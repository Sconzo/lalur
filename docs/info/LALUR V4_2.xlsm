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\Desktop\ECF Projeto\"/>
    </mc:Choice>
  </mc:AlternateContent>
  <xr:revisionPtr revIDLastSave="0" documentId="13_ncr:1_{3D425FB6-3051-4644-8CB7-CD67D21A7652}" xr6:coauthVersionLast="47" xr6:coauthVersionMax="47" xr10:uidLastSave="{00000000-0000-0000-0000-000000000000}"/>
  <bookViews>
    <workbookView xWindow="-120" yWindow="-120" windowWidth="20730" windowHeight="11760" tabRatio="771" activeTab="6" xr2:uid="{F28D00A6-7479-4F90-B578-551AB64D66A3}"/>
  </bookViews>
  <sheets>
    <sheet name="LALUR" sheetId="2" r:id="rId1"/>
    <sheet name="Processar" sheetId="68" r:id="rId2"/>
    <sheet name="BASE M" sheetId="18" r:id="rId3"/>
    <sheet name="ECF_M" sheetId="229" r:id="rId4"/>
    <sheet name="RESUMO M" sheetId="22" state="hidden" r:id="rId5"/>
    <sheet name="LANÇAMENTOS (412-462)" sheetId="7" r:id="rId6"/>
    <sheet name="Código - Histórico" sheetId="20" r:id="rId7"/>
    <sheet name="ECF_Modelo" sheetId="21" state="hidden" r:id="rId8"/>
  </sheets>
  <functionGroups builtInGroupCount="19"/>
  <definedNames>
    <definedName name="\0" localSheetId="0">#REF!</definedName>
    <definedName name="\0">#REF!</definedName>
    <definedName name="\a" localSheetId="0">#REF!</definedName>
    <definedName name="\a">#REF!</definedName>
    <definedName name="\b">#N/A</definedName>
    <definedName name="\C" localSheetId="0">#REF!</definedName>
    <definedName name="\C">#REF!</definedName>
    <definedName name="\d">#N/A</definedName>
    <definedName name="\e">#N/A</definedName>
    <definedName name="\g" localSheetId="0">#REF!</definedName>
    <definedName name="\g">#REF!</definedName>
    <definedName name="\h" localSheetId="0">#REF!</definedName>
    <definedName name="\h">#REF!</definedName>
    <definedName name="\I" localSheetId="0">#REF!</definedName>
    <definedName name="\I">#REF!</definedName>
    <definedName name="\j" localSheetId="0">#REF!</definedName>
    <definedName name="\j">#REF!</definedName>
    <definedName name="\k" localSheetId="0">#REF!</definedName>
    <definedName name="\k">#REF!</definedName>
    <definedName name="\M" localSheetId="0">#REF!</definedName>
    <definedName name="\M">#REF!</definedName>
    <definedName name="\n" localSheetId="0">#REF!</definedName>
    <definedName name="\n">#REF!</definedName>
    <definedName name="\P" localSheetId="0">#REF!</definedName>
    <definedName name="\P">#REF!</definedName>
    <definedName name="\PRINT_BALANCO" localSheetId="0">#REF!</definedName>
    <definedName name="\PRINT_BALANCO">#REF!</definedName>
    <definedName name="\q" localSheetId="0">#REF!</definedName>
    <definedName name="\q">#REF!</definedName>
    <definedName name="\s" localSheetId="0">#REF!</definedName>
    <definedName name="\s">#REF!</definedName>
    <definedName name="\t">#N/A</definedName>
    <definedName name="\x">#N/A</definedName>
    <definedName name="\Y" localSheetId="0">#REF!</definedName>
    <definedName name="\Y">#REF!</definedName>
    <definedName name="\Z">#REF!</definedName>
    <definedName name="__123Graph_A1" localSheetId="0" hidden="1">#REF!</definedName>
    <definedName name="__123Graph_A1" hidden="1">#REF!</definedName>
    <definedName name="__123Graph_A2" localSheetId="0" hidden="1">#REF!</definedName>
    <definedName name="__123Graph_A2" hidden="1">#REF!</definedName>
    <definedName name="__123Graph_A3" localSheetId="0" hidden="1">#REF!</definedName>
    <definedName name="__123Graph_A3" hidden="1">#REF!</definedName>
    <definedName name="__123Graph_B1" localSheetId="0" hidden="1">#REF!</definedName>
    <definedName name="__123Graph_B1" hidden="1">#REF!</definedName>
    <definedName name="__123Graph_B2" localSheetId="0" hidden="1">#REF!</definedName>
    <definedName name="__123Graph_B2" hidden="1">#REF!</definedName>
    <definedName name="__123Graph_B3" localSheetId="0" hidden="1">#REF!</definedName>
    <definedName name="__123Graph_B3" hidden="1">#REF!</definedName>
    <definedName name="__123Graph_C1" localSheetId="0" hidden="1">#REF!</definedName>
    <definedName name="__123Graph_C1" hidden="1">#REF!</definedName>
    <definedName name="__123Graph_C2" localSheetId="0" hidden="1">#REF!</definedName>
    <definedName name="__123Graph_C2" hidden="1">#REF!</definedName>
    <definedName name="__123Graph_C3" localSheetId="0" hidden="1">#REF!</definedName>
    <definedName name="__123Graph_C3" hidden="1">#REF!</definedName>
    <definedName name="__123Graph_D" localSheetId="0" hidden="1">#REF!</definedName>
    <definedName name="__123Graph_D" hidden="1">#REF!</definedName>
    <definedName name="__123Graph_D1" localSheetId="0" hidden="1">#REF!</definedName>
    <definedName name="__123Graph_D1" hidden="1">#REF!</definedName>
    <definedName name="__123Graph_D2" localSheetId="0" hidden="1">#REF!</definedName>
    <definedName name="__123Graph_D2" hidden="1">#REF!</definedName>
    <definedName name="__123Graph_D3" localSheetId="0" hidden="1">#REF!</definedName>
    <definedName name="__123Graph_D3" hidden="1">#REF!</definedName>
    <definedName name="__123Graph_E" localSheetId="0" hidden="1">#REF!</definedName>
    <definedName name="__123Graph_E" hidden="1">#REF!</definedName>
    <definedName name="__123Graph_E1" localSheetId="0" hidden="1">#REF!</definedName>
    <definedName name="__123Graph_E1" hidden="1">#REF!</definedName>
    <definedName name="__123Graph_E2" localSheetId="0" hidden="1">#REF!</definedName>
    <definedName name="__123Graph_E2" hidden="1">#REF!</definedName>
    <definedName name="__123Graph_E3" localSheetId="0" hidden="1">#REF!</definedName>
    <definedName name="__123Graph_E3" hidden="1">#REF!</definedName>
    <definedName name="__123Graph_F" localSheetId="0" hidden="1">#REF!</definedName>
    <definedName name="__123Graph_F" hidden="1">#REF!</definedName>
    <definedName name="__123Graph_F1" localSheetId="0" hidden="1">#REF!</definedName>
    <definedName name="__123Graph_F1" hidden="1">#REF!</definedName>
    <definedName name="__123Graph_F2" localSheetId="0" hidden="1">#REF!</definedName>
    <definedName name="__123Graph_F2" hidden="1">#REF!</definedName>
    <definedName name="__123Graph_F3" localSheetId="0" hidden="1">#REF!</definedName>
    <definedName name="__123Graph_F3" hidden="1">#REF!</definedName>
    <definedName name="__123Graph_X" localSheetId="0" hidden="1">#REF!</definedName>
    <definedName name="__123Graph_X" hidden="1">#REF!</definedName>
    <definedName name="__123Graph_X1" localSheetId="0" hidden="1">#REF!</definedName>
    <definedName name="__123Graph_X1" hidden="1">#REF!</definedName>
    <definedName name="__123Graph_X2" localSheetId="0" hidden="1">#REF!</definedName>
    <definedName name="__123Graph_X2" hidden="1">#REF!</definedName>
    <definedName name="__IntlFixup" hidden="1">TRUE</definedName>
    <definedName name="_1_0__123Grap" localSheetId="0" hidden="1">#REF!</definedName>
    <definedName name="_1_0__123Grap" hidden="1">#REF!</definedName>
    <definedName name="_1_SEME_DEPRECI">#REF!</definedName>
    <definedName name="_1_SEMESTRE">#REF!</definedName>
    <definedName name="_1_semestre_dep" localSheetId="0">#REF!</definedName>
    <definedName name="_1_semestre_dep">#REF!</definedName>
    <definedName name="_15_Nov" localSheetId="0">#REF!</definedName>
    <definedName name="_15_Nov">#REF!</definedName>
    <definedName name="_15_Nov2" localSheetId="0">#REF!</definedName>
    <definedName name="_15_Nov2">#REF!</definedName>
    <definedName name="_15_Out" localSheetId="0">#REF!</definedName>
    <definedName name="_15_Out">#REF!</definedName>
    <definedName name="_2_0__123Grap" localSheetId="0" hidden="1">#REF!</definedName>
    <definedName name="_2_0__123Grap" hidden="1">#REF!</definedName>
    <definedName name="_2_SEMESTRE" localSheetId="0">#REF!</definedName>
    <definedName name="_2_SEMESTRE">#REF!</definedName>
    <definedName name="_28_Ago_00" localSheetId="0">#REF!</definedName>
    <definedName name="_28_Ago_00">#REF!</definedName>
    <definedName name="_3" localSheetId="0">#REF!</definedName>
    <definedName name="_3">#REF!</definedName>
    <definedName name="_3_0__123Grap" localSheetId="0" hidden="1">#REF!</definedName>
    <definedName name="_3_0__123Grap" hidden="1">#REF!</definedName>
    <definedName name="_31_08_2000" localSheetId="0">#REF!</definedName>
    <definedName name="_31_08_2000">#REF!</definedName>
    <definedName name="_DAT1" localSheetId="0">#REF!</definedName>
    <definedName name="_DAT1">#REF!</definedName>
    <definedName name="_DAT10">"#REF!"</definedName>
    <definedName name="_DAT2" localSheetId="0">#REF!</definedName>
    <definedName name="_DAT2">#REF!</definedName>
    <definedName name="_DAT3" localSheetId="0">#REF!</definedName>
    <definedName name="_DAT3">#REF!</definedName>
    <definedName name="_DAT4" localSheetId="0">#REF!</definedName>
    <definedName name="_DAT4">#REF!</definedName>
    <definedName name="_DAT5" localSheetId="0">#REF!</definedName>
    <definedName name="_DAT5">#REF!</definedName>
    <definedName name="_DAT6" localSheetId="0">#REF!</definedName>
    <definedName name="_DAT6">#REF!</definedName>
    <definedName name="_DAT7" localSheetId="0">#REF!</definedName>
    <definedName name="_DAT7">#REF!</definedName>
    <definedName name="_DAT8" localSheetId="0">#REF!</definedName>
    <definedName name="_DAT8">#REF!</definedName>
    <definedName name="_DAT9" localSheetId="0">#REF!</definedName>
    <definedName name="_DAT9">#REF!</definedName>
    <definedName name="_DIA01" localSheetId="0">#REF!</definedName>
    <definedName name="_DIA01">#REF!</definedName>
    <definedName name="_DIA02" localSheetId="0">#REF!</definedName>
    <definedName name="_DIA02">#REF!</definedName>
    <definedName name="_DIA03" localSheetId="0">#REF!</definedName>
    <definedName name="_DIA03">#REF!</definedName>
    <definedName name="_DIA04" localSheetId="0">#REF!</definedName>
    <definedName name="_DIA04">#REF!</definedName>
    <definedName name="_DIA05" localSheetId="0">#REF!</definedName>
    <definedName name="_DIA05">#REF!</definedName>
    <definedName name="_DIA06" localSheetId="0">#REF!</definedName>
    <definedName name="_DIA06">#REF!</definedName>
    <definedName name="_DIA07" localSheetId="0">#REF!</definedName>
    <definedName name="_DIA07">#REF!</definedName>
    <definedName name="_DIA08" localSheetId="0">#REF!</definedName>
    <definedName name="_DIA08">#REF!</definedName>
    <definedName name="_DIA09" localSheetId="0">#REF!</definedName>
    <definedName name="_DIA09">#REF!</definedName>
    <definedName name="_DIA1" localSheetId="0">#REF!</definedName>
    <definedName name="_DIA1">#REF!</definedName>
    <definedName name="_DIA10" localSheetId="0">#REF!</definedName>
    <definedName name="_DIA10">#REF!</definedName>
    <definedName name="_DIA11" localSheetId="0">#REF!</definedName>
    <definedName name="_DIA11">#REF!</definedName>
    <definedName name="_DIA12" localSheetId="0">#REF!</definedName>
    <definedName name="_DIA12">#REF!</definedName>
    <definedName name="_DIA13" localSheetId="0">#REF!</definedName>
    <definedName name="_DIA13">#REF!</definedName>
    <definedName name="_DIA14" localSheetId="0">#REF!</definedName>
    <definedName name="_DIA14">#REF!</definedName>
    <definedName name="_DIA15" localSheetId="0">#REF!</definedName>
    <definedName name="_DIA15">#REF!</definedName>
    <definedName name="_DIA16" localSheetId="0">#REF!</definedName>
    <definedName name="_DIA16">#REF!</definedName>
    <definedName name="_DIA17" localSheetId="0">#REF!</definedName>
    <definedName name="_DIA17">#REF!</definedName>
    <definedName name="_DIA18" localSheetId="0">#REF!</definedName>
    <definedName name="_DIA18">#REF!</definedName>
    <definedName name="_DIA19" localSheetId="0">#REF!</definedName>
    <definedName name="_DIA19">#REF!</definedName>
    <definedName name="_DIA2" localSheetId="0">#REF!</definedName>
    <definedName name="_DIA2">#REF!</definedName>
    <definedName name="_DIA20" localSheetId="0">#REF!</definedName>
    <definedName name="_DIA20">#REF!</definedName>
    <definedName name="_DIA21" localSheetId="0">#REF!</definedName>
    <definedName name="_DIA21">#REF!</definedName>
    <definedName name="_DIA22" localSheetId="0">#REF!</definedName>
    <definedName name="_DIA22">#REF!</definedName>
    <definedName name="_DIA23" localSheetId="0">#REF!</definedName>
    <definedName name="_DIA23">#REF!</definedName>
    <definedName name="_DIA24" localSheetId="0">#REF!</definedName>
    <definedName name="_DIA24">#REF!</definedName>
    <definedName name="_DIA25" localSheetId="0">#REF!</definedName>
    <definedName name="_DIA25">#REF!</definedName>
    <definedName name="_DIA26" localSheetId="0">#REF!</definedName>
    <definedName name="_DIA26">#REF!</definedName>
    <definedName name="_DIA27" localSheetId="0">#REF!</definedName>
    <definedName name="_DIA27">#REF!</definedName>
    <definedName name="_DIA28" localSheetId="0">#REF!</definedName>
    <definedName name="_DIA28">#REF!</definedName>
    <definedName name="_DIA29" localSheetId="0">#REF!</definedName>
    <definedName name="_DIA29">#REF!</definedName>
    <definedName name="_DIA30" localSheetId="0">#REF!</definedName>
    <definedName name="_DIA30">#REF!</definedName>
    <definedName name="_DIA31" localSheetId="0">#REF!</definedName>
    <definedName name="_DIA31">#REF!</definedName>
    <definedName name="_Fill" localSheetId="0" hidden="1">#REF!</definedName>
    <definedName name="_Fill" hidden="1">#REF!</definedName>
    <definedName name="_GOTO_A1_" localSheetId="0">#REF!</definedName>
    <definedName name="_GOTO_A1_">#REF!</definedName>
    <definedName name="_IFC7" localSheetId="0">#REF!</definedName>
    <definedName name="_IFC7">#REF!</definedName>
    <definedName name="_isa2" localSheetId="0" hidden="1">{#N/A,#N/A,FALSE,"Aging Summary";#N/A,#N/A,FALSE,"Ratio Analysis";#N/A,#N/A,FALSE,"Test 120 Day Accts";#N/A,#N/A,FALSE,"Tickmarks"}</definedName>
    <definedName name="_isa2" hidden="1">{#N/A,#N/A,FALSE,"Aging Summary";#N/A,#N/A,FALSE,"Ratio Analysis";#N/A,#N/A,FALSE,"Test 120 Day Accts";#N/A,#N/A,FALSE,"Tickmarks"}</definedName>
    <definedName name="_KC1">#REF!</definedName>
    <definedName name="_KC10">#REF!</definedName>
    <definedName name="_KC101">#REF!</definedName>
    <definedName name="_KC102">#REF!</definedName>
    <definedName name="_KC103">#REF!</definedName>
    <definedName name="_KC105">#REF!</definedName>
    <definedName name="_KC106">#REF!</definedName>
    <definedName name="_KC107">#REF!</definedName>
    <definedName name="_KC108">#REF!</definedName>
    <definedName name="_KC109">#REF!</definedName>
    <definedName name="_KC11">#REF!</definedName>
    <definedName name="_KC12">#REF!</definedName>
    <definedName name="_KC13">#REF!</definedName>
    <definedName name="_KC137">#REF!</definedName>
    <definedName name="_KC138">#REF!</definedName>
    <definedName name="_KC14">#REF!</definedName>
    <definedName name="_KC140">#REF!</definedName>
    <definedName name="_KC145">#REF!</definedName>
    <definedName name="_KC146">#REF!</definedName>
    <definedName name="_KC147">#REF!</definedName>
    <definedName name="_KC148">#REF!</definedName>
    <definedName name="_KC149">#REF!</definedName>
    <definedName name="_KC15">#REF!</definedName>
    <definedName name="_KC155">#REF!</definedName>
    <definedName name="_KC16">#REF!</definedName>
    <definedName name="_KC164">#REF!</definedName>
    <definedName name="_KC165">#REF!</definedName>
    <definedName name="_KC166">#REF!</definedName>
    <definedName name="_KC167">#REF!</definedName>
    <definedName name="_KC168">#REF!</definedName>
    <definedName name="_KC169">#REF!</definedName>
    <definedName name="_KC17">#REF!</definedName>
    <definedName name="_KC170">#REF!</definedName>
    <definedName name="_KC171">#REF!</definedName>
    <definedName name="_KC172">#REF!</definedName>
    <definedName name="_KC18">#REF!</definedName>
    <definedName name="_KC19">#REF!</definedName>
    <definedName name="_KC2">#REF!</definedName>
    <definedName name="_KC20">#REF!</definedName>
    <definedName name="_KC21">#REF!</definedName>
    <definedName name="_KC22">#REF!</definedName>
    <definedName name="_KC23">#REF!</definedName>
    <definedName name="_KC24">#REF!</definedName>
    <definedName name="_KC25">#REF!</definedName>
    <definedName name="_KC26">#REF!</definedName>
    <definedName name="_KC27">#REF!</definedName>
    <definedName name="_KC28">#REF!</definedName>
    <definedName name="_KC29">#REF!</definedName>
    <definedName name="_KC3">#REF!</definedName>
    <definedName name="_KC30">#REF!</definedName>
    <definedName name="_KC31">#REF!</definedName>
    <definedName name="_KC32">#REF!</definedName>
    <definedName name="_KC33">#REF!</definedName>
    <definedName name="_KC34">#REF!</definedName>
    <definedName name="_KC35">#REF!</definedName>
    <definedName name="_KC36">#REF!</definedName>
    <definedName name="_KC37">#REF!</definedName>
    <definedName name="_KC38">#REF!</definedName>
    <definedName name="_KC39">#REF!</definedName>
    <definedName name="_KC4">#REF!</definedName>
    <definedName name="_KC40">#REF!</definedName>
    <definedName name="_KC41">#REF!</definedName>
    <definedName name="_KC42">#REF!</definedName>
    <definedName name="_KC43">#REF!</definedName>
    <definedName name="_KC44">#REF!</definedName>
    <definedName name="_KC45">#REF!</definedName>
    <definedName name="_KC46">#REF!</definedName>
    <definedName name="_KC47">#REF!</definedName>
    <definedName name="_KC48">#REF!</definedName>
    <definedName name="_KC49">#REF!</definedName>
    <definedName name="_KC5">#REF!</definedName>
    <definedName name="_KC50">#REF!</definedName>
    <definedName name="_KC51">#REF!</definedName>
    <definedName name="_KC52">#REF!</definedName>
    <definedName name="_KC53">#REF!</definedName>
    <definedName name="_KC54">#REF!</definedName>
    <definedName name="_KC55">#REF!</definedName>
    <definedName name="_KC56">#REF!</definedName>
    <definedName name="_KC57">#REF!</definedName>
    <definedName name="_KC58">#REF!</definedName>
    <definedName name="_KC59">#REF!</definedName>
    <definedName name="_KC6">#REF!</definedName>
    <definedName name="_KC60">#REF!</definedName>
    <definedName name="_KC61">#REF!</definedName>
    <definedName name="_KC62">#REF!</definedName>
    <definedName name="_KC63">#REF!</definedName>
    <definedName name="_KC64">#REF!</definedName>
    <definedName name="_KC7">#REF!</definedName>
    <definedName name="_KC8">#REF!</definedName>
    <definedName name="_KC9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L" localSheetId="0" hidden="1">{#N/A,#N/A,FALSE,"Aging Summary";#N/A,#N/A,FALSE,"Ratio Analysis";#N/A,#N/A,FALSE,"Test 120 Day Accts";#N/A,#N/A,FALSE,"Tickmarks"}</definedName>
    <definedName name="_L" hidden="1">{#N/A,#N/A,FALSE,"Aging Summary";#N/A,#N/A,FALSE,"Ratio Analysis";#N/A,#N/A,FALSE,"Test 120 Day Accts";#N/A,#N/A,FALSE,"Tickmarks"}</definedName>
    <definedName name="_MENUBRANCH_MEN" localSheetId="0">#REF!</definedName>
    <definedName name="_MENUBRANCH_MEN">#REF!</definedName>
    <definedName name="_MES1" localSheetId="0">#REF!</definedName>
    <definedName name="_MES1">#REF!</definedName>
    <definedName name="_MES2" localSheetId="0">#REF!</definedName>
    <definedName name="_MES2">#REF!</definedName>
    <definedName name="_MES3" localSheetId="0">#REF!</definedName>
    <definedName name="_MES3">#REF!</definedName>
    <definedName name="_Order1" hidden="1">255</definedName>
    <definedName name="_Order2" hidden="1">255</definedName>
    <definedName name="_PAG1" localSheetId="0">#REF!</definedName>
    <definedName name="_PAG1">#REF!</definedName>
    <definedName name="_PAG2" localSheetId="0">#REF!</definedName>
    <definedName name="_PAG2">#REF!</definedName>
    <definedName name="_PAG3" localSheetId="0">#REF!</definedName>
    <definedName name="_PAG3">#REF!</definedName>
    <definedName name="_PAG5" localSheetId="0">#REF!</definedName>
    <definedName name="_PAG5">#REF!</definedName>
    <definedName name="_PG1" localSheetId="0">#REF!</definedName>
    <definedName name="_PG1">#REF!</definedName>
    <definedName name="_PG2" localSheetId="0">#REF!</definedName>
    <definedName name="_PG2">#REF!</definedName>
    <definedName name="_PG3">#REF!</definedName>
    <definedName name="_QUA2" localSheetId="0">#REF!</definedName>
    <definedName name="_QUA2">#REF!</definedName>
    <definedName name="_QUA3" localSheetId="0">#REF!</definedName>
    <definedName name="_QUA3">#REF!</definedName>
    <definedName name="_QUA4" localSheetId="0">#REF!</definedName>
    <definedName name="_QUA4">#REF!</definedName>
    <definedName name="_QUA5" localSheetId="0">#REF!</definedName>
    <definedName name="_QUA5">#REF!</definedName>
    <definedName name="_R" localSheetId="0">#REF!</definedName>
    <definedName name="_R">#REF!</definedName>
    <definedName name="_Sort" localSheetId="0" hidden="1">#REF!</definedName>
    <definedName name="_Sort" hidden="1">#REF!</definedName>
    <definedName name="_TAB1" localSheetId="0">#REF!</definedName>
    <definedName name="_TAB1">#REF!</definedName>
    <definedName name="_TAB11" localSheetId="0">#REF!</definedName>
    <definedName name="_TAB11">#REF!</definedName>
    <definedName name="_TAB2" localSheetId="0">#REF!</definedName>
    <definedName name="_TAB2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x1" localSheetId="0">#REF!</definedName>
    <definedName name="_tax1">#REF!</definedName>
    <definedName name="_tax2" localSheetId="0">#REF!</definedName>
    <definedName name="_tax2">#REF!</definedName>
    <definedName name="_tax3" localSheetId="0">#REF!</definedName>
    <definedName name="_tax3">#REF!</definedName>
    <definedName name="_tax4" localSheetId="0">#REF!</definedName>
    <definedName name="_tax4">#REF!</definedName>
    <definedName name="_TE1" localSheetId="0">#REF!</definedName>
    <definedName name="_TE1">#REF!</definedName>
    <definedName name="a" localSheetId="0">#REF!</definedName>
    <definedName name="a">#REF!</definedName>
    <definedName name="A_PLAN_COMPLETA" localSheetId="0">#REF!</definedName>
    <definedName name="A_PLAN_COMPLETA">#REF!</definedName>
    <definedName name="A_PLAN_FISCAL" localSheetId="0">#REF!</definedName>
    <definedName name="A_PLAN_FISCAL">#REF!</definedName>
    <definedName name="A0" localSheetId="0">#REF!</definedName>
    <definedName name="A0">#REF!</definedName>
    <definedName name="à1469" localSheetId="0">#REF!</definedName>
    <definedName name="à1469">#REF!</definedName>
    <definedName name="Á470" localSheetId="0">#REF!</definedName>
    <definedName name="Á470">#REF!</definedName>
    <definedName name="aa">#REF!</definedName>
    <definedName name="aaa" localSheetId="0" hidden="1">{#N/A,#N/A,FALSE,"Aging Summary";#N/A,#N/A,FALSE,"Ratio Analysis";#N/A,#N/A,FALSE,"Test 120 Day Accts";#N/A,#N/A,FALSE,"Tickmarks"}</definedName>
    <definedName name="aaa" hidden="1">{#N/A,#N/A,FALSE,"Aging Summary";#N/A,#N/A,FALSE,"Ratio Analysis";#N/A,#N/A,FALSE,"Test 120 Day Accts";#N/A,#N/A,FALSE,"Tickmarks"}</definedName>
    <definedName name="ABR" localSheetId="0">#REF!</definedName>
    <definedName name="ABR">#REF!</definedName>
    <definedName name="ABRIL" localSheetId="0">#REF!</definedName>
    <definedName name="ABRIL">#REF!</definedName>
    <definedName name="ABRIL1" localSheetId="0">#REF!</definedName>
    <definedName name="ABRIL1">#REF!</definedName>
    <definedName name="AccessDatabase" hidden="1">"C:\Grupo Playcenter\Pmpsv_SA\Despesas_Corporativas\2002_06_Desp_Corp.mdb"</definedName>
    <definedName name="Account_Balance" localSheetId="0">#REF!</definedName>
    <definedName name="Account_Balance">#REF!</definedName>
    <definedName name="aclseleçãoestoque" localSheetId="0">#REF!</definedName>
    <definedName name="aclseleçãoestoque">#REF!</definedName>
    <definedName name="ACRUED" localSheetId="0">#REF!</definedName>
    <definedName name="ACRUED">#REF!</definedName>
    <definedName name="ACwvu.ACC." localSheetId="0" hidden="1">#REF!</definedName>
    <definedName name="ACwvu.ACC." hidden="1">#REF!</definedName>
    <definedName name="ACwvu.AFAC." localSheetId="0" hidden="1">#REF!</definedName>
    <definedName name="ACwvu.AFAC." hidden="1">#REF!</definedName>
    <definedName name="ACwvu.ELIMLUCRO." localSheetId="0" hidden="1">#REF!</definedName>
    <definedName name="ACwvu.ELIMLUCRO." hidden="1">#REF!</definedName>
    <definedName name="ACwvu.ESTOQUES." localSheetId="0" hidden="1">#REF!</definedName>
    <definedName name="ACwvu.ESTOQUES." hidden="1">#REF!</definedName>
    <definedName name="ACwvu.Fabio." localSheetId="0" hidden="1">#REF!</definedName>
    <definedName name="ACwvu.Fabio." hidden="1">#REF!</definedName>
    <definedName name="ACwvu.LPERDAS." localSheetId="0" hidden="1">#REF!</definedName>
    <definedName name="ACwvu.LPERDAS." hidden="1">#REF!</definedName>
    <definedName name="ACwvu.RES432." localSheetId="0" hidden="1">#REF!</definedName>
    <definedName name="ACwvu.RES432." hidden="1">#REF!</definedName>
    <definedName name="ACwvu.VERLUCRO." localSheetId="0" hidden="1">#REF!</definedName>
    <definedName name="ACwvu.VERLUCRO." hidden="1">#REF!</definedName>
    <definedName name="ad13osal" localSheetId="0">#REF!</definedName>
    <definedName name="ad13osal">#REF!</definedName>
    <definedName name="adcom" localSheetId="0">#REF!</definedName>
    <definedName name="adcom">#REF!</definedName>
    <definedName name="adforn" localSheetId="0">#REF!</definedName>
    <definedName name="adforn">#REF!</definedName>
    <definedName name="aDic97" localSheetId="0">#REF!</definedName>
    <definedName name="aDic97">#REF!</definedName>
    <definedName name="ADICOES" localSheetId="0">#REF!</definedName>
    <definedName name="ADICOES">#REF!</definedName>
    <definedName name="Administrative" localSheetId="0">#REF!</definedName>
    <definedName name="Administrative">#REF!</definedName>
    <definedName name="adsal" localSheetId="0">#REF!</definedName>
    <definedName name="adsal">#REF!</definedName>
    <definedName name="ADTO.DESPACHANTE" localSheetId="0">#REF!</definedName>
    <definedName name="ADTO.DESPACHANTE">#REF!</definedName>
    <definedName name="ADTO.FORN." localSheetId="0">#REF!</definedName>
    <definedName name="ADTO.FORN.">#REF!</definedName>
    <definedName name="ADTO.VIAGEM" localSheetId="0">#REF!</definedName>
    <definedName name="ADTO.VIAGEM">#REF!</definedName>
    <definedName name="ADTOCLIENTES" localSheetId="0">#REF!</definedName>
    <definedName name="ADTOCLIENTES">#REF!</definedName>
    <definedName name="advalem" localSheetId="0">#REF!</definedName>
    <definedName name="advalem">#REF!</definedName>
    <definedName name="adviag" localSheetId="0">#REF!</definedName>
    <definedName name="adviag">#REF!</definedName>
    <definedName name="AFs" localSheetId="0">#REF!</definedName>
    <definedName name="AFs">#REF!</definedName>
    <definedName name="AGENCIA" localSheetId="0">#REF!</definedName>
    <definedName name="AGENCIA">#REF!</definedName>
    <definedName name="AGO" localSheetId="0">#REF!</definedName>
    <definedName name="AGO">#REF!</definedName>
    <definedName name="Agosto" localSheetId="0">#REF!</definedName>
    <definedName name="Agosto">#REF!</definedName>
    <definedName name="AGUA" localSheetId="0">#REF!</definedName>
    <definedName name="AGUA">#REF!</definedName>
    <definedName name="AI_44" localSheetId="0">#REF!</definedName>
    <definedName name="AI_44">#REF!</definedName>
    <definedName name="AI01_01_01JANEIRO" localSheetId="0">#REF!</definedName>
    <definedName name="AI01_01_01JANEIRO">#REF!</definedName>
    <definedName name="AI01_01_02FEVEREIRO" localSheetId="0">#REF!</definedName>
    <definedName name="AI01_01_02FEVEREIRO">#REF!</definedName>
    <definedName name="AI01_01_03MARÇO" localSheetId="0">#REF!</definedName>
    <definedName name="AI01_01_03MARÇO">#REF!</definedName>
    <definedName name="AI01_01_04ABRIL" localSheetId="0">#REF!</definedName>
    <definedName name="AI01_01_04ABRIL">#REF!</definedName>
    <definedName name="AI01_01_05MAIO" localSheetId="0">#REF!</definedName>
    <definedName name="AI01_01_05MAIO">#REF!</definedName>
    <definedName name="AI01_01_06JUNHO" localSheetId="0">#REF!</definedName>
    <definedName name="AI01_01_06JUNHO">#REF!</definedName>
    <definedName name="AI01_01_07JULHO" localSheetId="0">#REF!</definedName>
    <definedName name="AI01_01_07JULHO">#REF!</definedName>
    <definedName name="AI01_01_08AGOSTO" localSheetId="0">#REF!</definedName>
    <definedName name="AI01_01_08AGOSTO">#REF!</definedName>
    <definedName name="AI01_01_09SETEMBRO" localSheetId="0">#REF!</definedName>
    <definedName name="AI01_01_09SETEMBRO">#REF!</definedName>
    <definedName name="AI01_01_10OUTUBRO" localSheetId="0">#REF!</definedName>
    <definedName name="AI01_01_10OUTUBRO">#REF!</definedName>
    <definedName name="AI01_01_11NOVEMBRO" localSheetId="0">#REF!</definedName>
    <definedName name="AI01_01_11NOVEMBRO">#REF!</definedName>
    <definedName name="AI01_01_12DEZEMBRO" localSheetId="0">#REF!</definedName>
    <definedName name="AI01_01_12DEZEMBRO">#REF!</definedName>
    <definedName name="AI02_01_VERIFICAÇÃO_01JANEIRO" localSheetId="0">#REF!</definedName>
    <definedName name="AI02_01_VERIFICAÇÃO_01JANEIRO">#REF!</definedName>
    <definedName name="AI03_01_VERIFICAÇÃO_02FEVEREIRO" localSheetId="0">#REF!</definedName>
    <definedName name="AI03_01_VERIFICAÇÃO_02FEVEREIRO">#REF!</definedName>
    <definedName name="AI04_01_VERIFICAÇÃO_03MARÇO" localSheetId="0">#REF!</definedName>
    <definedName name="AI04_01_VERIFICAÇÃO_03MARÇO">#REF!</definedName>
    <definedName name="AI05_01_VERIFICAÇÃO_04ABRIL" localSheetId="0">#REF!</definedName>
    <definedName name="AI05_01_VERIFICAÇÃO_04ABRIL">#REF!</definedName>
    <definedName name="AI06_01_VERIFICAÇÃO_05MAIO" localSheetId="0">#REF!</definedName>
    <definedName name="AI06_01_VERIFICAÇÃO_05MAIO">#REF!</definedName>
    <definedName name="AI07_01_VERIFICAÇÃO_06JULHO" localSheetId="0">#REF!</definedName>
    <definedName name="AI07_01_VERIFICAÇÃO_06JULHO">#REF!</definedName>
    <definedName name="AI08_01_VERIFICAÇÃO_07JULHO" localSheetId="0">#REF!</definedName>
    <definedName name="AI08_01_VERIFICAÇÃO_07JULHO">#REF!</definedName>
    <definedName name="AI09_01_VERIFICAÇÃO_08AGOSTO" localSheetId="0">#REF!</definedName>
    <definedName name="AI09_01_VERIFICAÇÃO_08AGOSTO">#REF!</definedName>
    <definedName name="AI10_01_VERIFICAÇÃO_09SETEMBRO" localSheetId="0">#REF!</definedName>
    <definedName name="AI10_01_VERIFICAÇÃO_09SETEMBRO">#REF!</definedName>
    <definedName name="AI11_01_VERIFICAÇÃO_10OUTUBRO" localSheetId="0">#REF!</definedName>
    <definedName name="AI11_01_VERIFICAÇÃO_10OUTUBRO">#REF!</definedName>
    <definedName name="AI12_01_VERIFICAÇÃO_11NOVEMBRO" localSheetId="0">#REF!</definedName>
    <definedName name="AI12_01_VERIFICAÇÃO_11NOVEMBRO">#REF!</definedName>
    <definedName name="AI13_01_VERIFICAÇÃO_12DEZEMBRO" localSheetId="0">#REF!</definedName>
    <definedName name="AI13_01_VERIFICAÇÃO_12DEZEMBRO">#REF!</definedName>
    <definedName name="AI14_01_VERIFICAÇÃO_13ACUMULADO" localSheetId="0">#REF!</definedName>
    <definedName name="AI14_01_VERIFICAÇÃO_13ACUMULADO">#REF!</definedName>
    <definedName name="AI38_01_01JANEIRO" localSheetId="0">#REF!</definedName>
    <definedName name="AI38_01_01JANEIRO">#REF!</definedName>
    <definedName name="AI38_01_02FEVEREIRO" localSheetId="0">#REF!</definedName>
    <definedName name="AI38_01_02FEVEREIRO">#REF!</definedName>
    <definedName name="AI38_01_03MARÇO" localSheetId="0">#REF!</definedName>
    <definedName name="AI38_01_03MARÇO">#REF!</definedName>
    <definedName name="AI38_01_04ABRIL" localSheetId="0">#REF!</definedName>
    <definedName name="AI38_01_04ABRIL">#REF!</definedName>
    <definedName name="AI38_01_05MAIO" localSheetId="0">#REF!</definedName>
    <definedName name="AI38_01_05MAIO">#REF!</definedName>
    <definedName name="AI38_01_06JUNHO" localSheetId="0">#REF!</definedName>
    <definedName name="AI38_01_06JUNHO">#REF!</definedName>
    <definedName name="AI38_01_07JULHO" localSheetId="0">#REF!</definedName>
    <definedName name="AI38_01_07JULHO">#REF!</definedName>
    <definedName name="AI38_01_08AGOSTO" localSheetId="0">#REF!</definedName>
    <definedName name="AI38_01_08AGOSTO">#REF!</definedName>
    <definedName name="AI38_01_09SETEMBRO" localSheetId="0">#REF!</definedName>
    <definedName name="AI38_01_09SETEMBRO">#REF!</definedName>
    <definedName name="AI38_01_10OUTUBRO" localSheetId="0">#REF!</definedName>
    <definedName name="AI38_01_10OUTUBRO">#REF!</definedName>
    <definedName name="AI38_01_11NOVEMBRO" localSheetId="0">#REF!</definedName>
    <definedName name="AI38_01_11NOVEMBRO">#REF!</definedName>
    <definedName name="AI38_01_12DEZEMBRO" localSheetId="0">#REF!</definedName>
    <definedName name="AI38_01_12DEZEMBRO">#REF!</definedName>
    <definedName name="AI38_02_01JANEIRO" localSheetId="0">#REF!</definedName>
    <definedName name="AI38_02_01JANEIRO">#REF!</definedName>
    <definedName name="AI38_02_02FEVEREIRO" localSheetId="0">#REF!</definedName>
    <definedName name="AI38_02_02FEVEREIRO">#REF!</definedName>
    <definedName name="AI38_02_03MARÇO" localSheetId="0">#REF!</definedName>
    <definedName name="AI38_02_03MARÇO">#REF!</definedName>
    <definedName name="AI38_02_04ABRIL" localSheetId="0">#REF!</definedName>
    <definedName name="AI38_02_04ABRIL">#REF!</definedName>
    <definedName name="AI38_02_05MAIO" localSheetId="0">#REF!</definedName>
    <definedName name="AI38_02_05MAIO">#REF!</definedName>
    <definedName name="AI38_02_06JUNHO" localSheetId="0">#REF!</definedName>
    <definedName name="AI38_02_06JUNHO">#REF!</definedName>
    <definedName name="AI38_02_07JULHO" localSheetId="0">#REF!</definedName>
    <definedName name="AI38_02_07JULHO">#REF!</definedName>
    <definedName name="AI38_02_08AGOSTO" localSheetId="0">#REF!</definedName>
    <definedName name="AI38_02_08AGOSTO">#REF!</definedName>
    <definedName name="AI38_02_09SETEMBRO" localSheetId="0">#REF!</definedName>
    <definedName name="AI38_02_09SETEMBRO">#REF!</definedName>
    <definedName name="AI38_02_10OUTUBRO" localSheetId="0">#REF!</definedName>
    <definedName name="AI38_02_10OUTUBRO">#REF!</definedName>
    <definedName name="AI38_02_11NOVEMBRO" localSheetId="0">#REF!</definedName>
    <definedName name="AI38_02_11NOVEMBRO">#REF!</definedName>
    <definedName name="AI38_02_12DEZEMBRO" localSheetId="0">#REF!</definedName>
    <definedName name="AI38_02_12DEZEMBRO">#REF!</definedName>
    <definedName name="AI38_03_04ABRIL" localSheetId="0">#REF!</definedName>
    <definedName name="AI38_03_04ABRIL">#REF!</definedName>
    <definedName name="AI38_04_04ABRIL" localSheetId="0">#REF!</definedName>
    <definedName name="AI38_04_04ABRIL">#REF!</definedName>
    <definedName name="AI38_05_04ABRIL" localSheetId="0">#REF!</definedName>
    <definedName name="AI38_05_04ABRIL">#REF!</definedName>
    <definedName name="AI38_06_04ABRIL" localSheetId="0">#REF!</definedName>
    <definedName name="AI38_06_04ABRIL">#REF!</definedName>
    <definedName name="AI38_07_04ABRIL" localSheetId="0">#REF!</definedName>
    <definedName name="AI38_07_04ABRIL">#REF!</definedName>
    <definedName name="AI38_08_04ABRIL" localSheetId="0">#REF!</definedName>
    <definedName name="AI38_08_04ABRIL">#REF!</definedName>
    <definedName name="AI38_09_04ABRIL" localSheetId="0">#REF!</definedName>
    <definedName name="AI38_09_04ABRIL">#REF!</definedName>
    <definedName name="AI38_10_04ABRIL" localSheetId="0">#REF!</definedName>
    <definedName name="AI38_10_04ABRIL">#REF!</definedName>
    <definedName name="AI38_11_04ABRIL" localSheetId="0">#REF!</definedName>
    <definedName name="AI38_11_04ABRIL">#REF!</definedName>
    <definedName name="AI38_12_04ABRIL" localSheetId="0">#REF!</definedName>
    <definedName name="AI38_12_04ABRIL">#REF!</definedName>
    <definedName name="AI38_13_04ABRIL" localSheetId="0">#REF!</definedName>
    <definedName name="AI38_13_04ABRIL">#REF!</definedName>
    <definedName name="AI38_14_04ABRIL" localSheetId="0">#REF!</definedName>
    <definedName name="AI38_14_04ABRIL">#REF!</definedName>
    <definedName name="AI38_15_04ABRIL" localSheetId="0">#REF!</definedName>
    <definedName name="AI38_15_04ABRIL">#REF!</definedName>
    <definedName name="AI38_16_04ABRIL" localSheetId="0">#REF!</definedName>
    <definedName name="AI38_16_04ABRIL">#REF!</definedName>
    <definedName name="AI38_17_04ABRIL" localSheetId="0">#REF!</definedName>
    <definedName name="AI38_17_04ABRIL">#REF!</definedName>
    <definedName name="AI38_18_04ABRIL" localSheetId="0">#REF!</definedName>
    <definedName name="AI38_18_04ABRIL">#REF!</definedName>
    <definedName name="AI38_19_04ABRIL" localSheetId="0">#REF!</definedName>
    <definedName name="AI38_19_04ABRIL">#REF!</definedName>
    <definedName name="AI38_20_04ABRIL" localSheetId="0">#REF!</definedName>
    <definedName name="AI38_20_04ABRIL">#REF!</definedName>
    <definedName name="AI38_21_04ABRIL" localSheetId="0">#REF!</definedName>
    <definedName name="AI38_21_04ABRIL">#REF!</definedName>
    <definedName name="AI38_22_04ABRIL" localSheetId="0">#REF!</definedName>
    <definedName name="AI38_22_04ABRIL">#REF!</definedName>
    <definedName name="AI38_23_04ABRIL" localSheetId="0">#REF!</definedName>
    <definedName name="AI38_23_04ABRIL">#REF!</definedName>
    <definedName name="AI38_24_04ABRIL" localSheetId="0">#REF!</definedName>
    <definedName name="AI38_24_04ABRIL">#REF!</definedName>
    <definedName name="AI38_25_04ABRIL" localSheetId="0">#REF!</definedName>
    <definedName name="AI38_25_04ABRIL">#REF!</definedName>
    <definedName name="AI38_26_04ABRIL" localSheetId="0">#REF!</definedName>
    <definedName name="AI38_26_04ABRIL">#REF!</definedName>
    <definedName name="AI38_27_04ABRIL" localSheetId="0">#REF!</definedName>
    <definedName name="AI38_27_04ABRIL">#REF!</definedName>
    <definedName name="AI38_28_04ABRIL" localSheetId="0">#REF!</definedName>
    <definedName name="AI38_28_04ABRIL">#REF!</definedName>
    <definedName name="AI38_29_04ABRIL" localSheetId="0">#REF!</definedName>
    <definedName name="AI38_29_04ABRIL">#REF!</definedName>
    <definedName name="AI38_30_04ABRIL" localSheetId="0">#REF!</definedName>
    <definedName name="AI38_30_04ABRIL">#REF!</definedName>
    <definedName name="AI38_31_04ABRIL" localSheetId="0">#REF!</definedName>
    <definedName name="AI38_31_04ABRIL">#REF!</definedName>
    <definedName name="AI38_32_04ABRIL" localSheetId="0">#REF!</definedName>
    <definedName name="AI38_32_04ABRIL">#REF!</definedName>
    <definedName name="AI38_33_04ABRIL" localSheetId="0">#REF!</definedName>
    <definedName name="AI38_33_04ABRIL">#REF!</definedName>
    <definedName name="AI38_34_04ABRIL" localSheetId="0">#REF!</definedName>
    <definedName name="AI38_34_04ABRIL">#REF!</definedName>
    <definedName name="AI38_35_04ABRIL" localSheetId="0">#REF!</definedName>
    <definedName name="AI38_35_04ABRIL">#REF!</definedName>
    <definedName name="AI38_36_04ABRIL" localSheetId="0">#REF!</definedName>
    <definedName name="AI38_36_04ABRIL">#REF!</definedName>
    <definedName name="AI38_37_04ABRIL" localSheetId="0">#REF!</definedName>
    <definedName name="AI38_37_04ABRIL">#REF!</definedName>
    <definedName name="AI38_38_04ABRIL" localSheetId="0">#REF!</definedName>
    <definedName name="AI38_38_04ABRIL">#REF!</definedName>
    <definedName name="AI38_39_04ABRIL" localSheetId="0">#REF!</definedName>
    <definedName name="AI38_39_04ABRIL">#REF!</definedName>
    <definedName name="AI38_40_04ABRIL" localSheetId="0">#REF!</definedName>
    <definedName name="AI38_40_04ABRIL">#REF!</definedName>
    <definedName name="AI38_41_04ABRIL" localSheetId="0">#REF!</definedName>
    <definedName name="AI38_41_04ABRIL">#REF!</definedName>
    <definedName name="AI38_42_04ABRIL" localSheetId="0">#REF!</definedName>
    <definedName name="AI38_42_04ABRIL">#REF!</definedName>
    <definedName name="AI38_43_04ABRIL" localSheetId="0">#REF!</definedName>
    <definedName name="AI38_43_04ABRIL">#REF!</definedName>
    <definedName name="AI38_44_04ABRIL" localSheetId="0">#REF!</definedName>
    <definedName name="AI38_44_04ABRIL">#REF!</definedName>
    <definedName name="AI38_45_04ABRIL" localSheetId="0">#REF!</definedName>
    <definedName name="AI38_45_04ABRIL">#REF!</definedName>
    <definedName name="AI38_46_04ABRIL" localSheetId="0">#REF!</definedName>
    <definedName name="AI38_46_04ABRIL">#REF!</definedName>
    <definedName name="AI38_47_04ABRIL" localSheetId="0">#REF!</definedName>
    <definedName name="AI38_47_04ABRIL">#REF!</definedName>
    <definedName name="AI38_48_04ABRIL" localSheetId="0">#REF!</definedName>
    <definedName name="AI38_48_04ABRIL">#REF!</definedName>
    <definedName name="AI38_49_04ABRIL" localSheetId="0">#REF!</definedName>
    <definedName name="AI38_49_04ABRIL">#REF!</definedName>
    <definedName name="AI38_50_04ABRIL" localSheetId="0">#REF!</definedName>
    <definedName name="AI38_50_04ABRIL">#REF!</definedName>
    <definedName name="AI43_01_FISCAL" localSheetId="0">#REF!</definedName>
    <definedName name="AI43_01_FISCAL">#REF!</definedName>
    <definedName name="alm">#REF!</definedName>
    <definedName name="almox" localSheetId="0">#REF!</definedName>
    <definedName name="almox">#REF!</definedName>
    <definedName name="ALUGUEL" localSheetId="0">#REF!</definedName>
    <definedName name="ALUGUEL">#REF!</definedName>
    <definedName name="aMarzo98" localSheetId="0">#REF!</definedName>
    <definedName name="aMarzo98">#REF!</definedName>
    <definedName name="Amcel" localSheetId="0">#REF!</definedName>
    <definedName name="Amcel">#REF!</definedName>
    <definedName name="amount" localSheetId="0">#REF!</definedName>
    <definedName name="amount">#REF!</definedName>
    <definedName name="AMSA" localSheetId="0">#REF!</definedName>
    <definedName name="AMSA">#REF!</definedName>
    <definedName name="ANALITIC" localSheetId="0">#REF!</definedName>
    <definedName name="ANALITIC">#REF!</definedName>
    <definedName name="ANALITIC2" localSheetId="0">#REF!</definedName>
    <definedName name="ANALITIC2">#REF!</definedName>
    <definedName name="ANALITIC3" localSheetId="0">#REF!</definedName>
    <definedName name="ANALITIC3">#REF!</definedName>
    <definedName name="ANALITIC4" localSheetId="0">#REF!</definedName>
    <definedName name="ANALITIC4">#REF!</definedName>
    <definedName name="ANALITIC5" localSheetId="0">#REF!</definedName>
    <definedName name="ANALITIC5">#REF!</definedName>
    <definedName name="ANALITICOS" localSheetId="0">#REF!</definedName>
    <definedName name="ANALITICOS">#REF!</definedName>
    <definedName name="anex1" localSheetId="0">#REF!</definedName>
    <definedName name="anex1">#REF!</definedName>
    <definedName name="ANEXO3">#N/A</definedName>
    <definedName name="ANEXO99" localSheetId="0">#REF!</definedName>
    <definedName name="ANEXO99">#REF!</definedName>
    <definedName name="ano" localSheetId="0">#REF!</definedName>
    <definedName name="ano">#REF!</definedName>
    <definedName name="ANORSA" localSheetId="0">#REF!</definedName>
    <definedName name="ANORSA">#REF!</definedName>
    <definedName name="Anos_do_Empréstimo">#REF!</definedName>
    <definedName name="anscount" hidden="1">2</definedName>
    <definedName name="ANTECIPADAS" localSheetId="0">#REF!</definedName>
    <definedName name="ANTECIPADAS">#REF!</definedName>
    <definedName name="ap" hidden="1">#REF!</definedName>
    <definedName name="APLICAÇ_ES" localSheetId="0">#REF!</definedName>
    <definedName name="APLICAÇ_ES">#REF!</definedName>
    <definedName name="APLICACAO" localSheetId="0">#REF!</definedName>
    <definedName name="APLICACAO">#REF!</definedName>
    <definedName name="APLICAÇÕES" localSheetId="0">#REF!</definedName>
    <definedName name="APLICAÇÕES">#REF!</definedName>
    <definedName name="apliliqimsaf" localSheetId="0">#REF!</definedName>
    <definedName name="apliliqimsaf">#REF!</definedName>
    <definedName name="apliqimun" localSheetId="0">#REF!</definedName>
    <definedName name="apliqimun">#REF!</definedName>
    <definedName name="ARA_Threshold">#REF!</definedName>
    <definedName name="ARA_THREShOLD1" localSheetId="0">#REF!</definedName>
    <definedName name="ARA_THREShOLD1">#REF!</definedName>
    <definedName name="ARA_THREShOLD2" localSheetId="0">#REF!</definedName>
    <definedName name="ARA_THREShOLD2">#REF!</definedName>
    <definedName name="ARA_THREShOLD3" localSheetId="0">#REF!</definedName>
    <definedName name="ARA_THREShOLD3">#REF!</definedName>
    <definedName name="ARA_THREShOLD4" localSheetId="0">#REF!</definedName>
    <definedName name="ARA_THREShOLD4">#REF!</definedName>
    <definedName name="ARA_THREShOLD5" localSheetId="0">#REF!</definedName>
    <definedName name="ARA_THREShOLD5">#REF!</definedName>
    <definedName name="ARA_THREShOLD6" localSheetId="0">#REF!</definedName>
    <definedName name="ARA_THREShOLD6">#REF!</definedName>
    <definedName name="aRA_THRESOLD" localSheetId="0">#REF!</definedName>
    <definedName name="aRA_THRESOLD">#REF!</definedName>
    <definedName name="_xlnm.Extract" localSheetId="0">#REF!</definedName>
    <definedName name="_xlnm.Extract">#REF!</definedName>
    <definedName name="_xlnm.Print_Area" localSheetId="0">LALUR!$G$1:$U$22</definedName>
    <definedName name="_xlnm.Print_Area">#REF!</definedName>
    <definedName name="ÁREA_IMPRESSÃO_" localSheetId="0">#REF!</definedName>
    <definedName name="ÁREA_IMPRESSÃO_">#REF!</definedName>
    <definedName name="Área_impressão_IM" localSheetId="0">#REF!</definedName>
    <definedName name="Área_impressão_IM">#REF!</definedName>
    <definedName name="ARP_Threshold">#REF!</definedName>
    <definedName name="ARP_THRESHOLD1" localSheetId="0">#REF!</definedName>
    <definedName name="ARP_THRESHOLD1">#REF!</definedName>
    <definedName name="ARP_Threshold2">#REF!</definedName>
    <definedName name="ARP_THRESHOLD3" localSheetId="0">#REF!</definedName>
    <definedName name="ARP_THRESHOLD3">#REF!</definedName>
    <definedName name="ARP_THRESHOLD4" localSheetId="0">#REF!</definedName>
    <definedName name="ARP_THRESHOLD4">#REF!</definedName>
    <definedName name="ARP_THRESHOLD5" localSheetId="0">#REF!</definedName>
    <definedName name="ARP_THRESHOLD5">#REF!</definedName>
    <definedName name="ARP_THRESHOLD6" localSheetId="0">#REF!</definedName>
    <definedName name="ARP_THRESHOLD6">#REF!</definedName>
    <definedName name="ARP_TRESHOLD" localSheetId="0">#REF!</definedName>
    <definedName name="ARP_TRESHOLD">#REF!</definedName>
    <definedName name="AS2DocOpenMode" hidden="1">"AS2DocumentEdit"</definedName>
    <definedName name="AS2HasNoAutoHeaderFooter" hidden="1">" "</definedName>
    <definedName name="AS2NamedRange" hidden="1">9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c" localSheetId="0">#REF!</definedName>
    <definedName name="asc">#REF!</definedName>
    <definedName name="ASGREQHÑY3" localSheetId="0" hidden="1">#REF!</definedName>
    <definedName name="ASGREQHÑY3" hidden="1">#REF!</definedName>
    <definedName name="ASRRYJHEYRMT" localSheetId="0" hidden="1">#REF!</definedName>
    <definedName name="ASRRYJHEYRMT" hidden="1">#REF!</definedName>
    <definedName name="Assets" localSheetId="0">LALUR!Assets</definedName>
    <definedName name="Assets">[0]!Assets</definedName>
    <definedName name="AssetTag">#REF!</definedName>
    <definedName name="ASSIST.MEDICA" localSheetId="0">#REF!</definedName>
    <definedName name="ASSIST.MEDICA">#REF!</definedName>
    <definedName name="ASSUMP_2" localSheetId="0">#REF!</definedName>
    <definedName name="ASSUMP_2">#REF!</definedName>
    <definedName name="AstoArg" localSheetId="0">#REF!</definedName>
    <definedName name="AstoArg">#REF!</definedName>
    <definedName name="ATIVO" localSheetId="0">#REF!</definedName>
    <definedName name="ATIVO">#REF!</definedName>
    <definedName name="Ativo_biológico">#REF!</definedName>
    <definedName name="Ativo_Imobilizado" localSheetId="0">#REF!</definedName>
    <definedName name="Ativo_Imobilizado">#REF!</definedName>
    <definedName name="Ativos_Vjr">#REF!</definedName>
    <definedName name="AUMCAPITAL" localSheetId="0">#REF!</definedName>
    <definedName name="AUMCAPITAL">#REF!</definedName>
    <definedName name="az" localSheetId="0" hidden="1">#REF!</definedName>
    <definedName name="az" hidden="1">#REF!</definedName>
    <definedName name="B" localSheetId="0">#REF!</definedName>
    <definedName name="B">#REF!</definedName>
    <definedName name="B0" localSheetId="0">#REF!</definedName>
    <definedName name="B0">#REF!</definedName>
    <definedName name="baixas" localSheetId="0">#REF!</definedName>
    <definedName name="baixas">#REF!</definedName>
    <definedName name="BALAZEROS" localSheetId="0">#REF!</definedName>
    <definedName name="BALAZEROS">#REF!</definedName>
    <definedName name="BALCOGNOSRJ">#REF!</definedName>
    <definedName name="BALCOGNOSSP">#REF!</definedName>
    <definedName name="BALGRAF" localSheetId="0">#REF!</definedName>
    <definedName name="BALGRAF">#REF!</definedName>
    <definedName name="BalType" hidden="1">TRUE</definedName>
    <definedName name="BALVPR" localSheetId="0">#REF!</definedName>
    <definedName name="BALVPR">#REF!</definedName>
    <definedName name="banco" localSheetId="0">#REF!</definedName>
    <definedName name="banco">#REF!</definedName>
    <definedName name="Banco_dados_IM" localSheetId="0">#REF!</definedName>
    <definedName name="Banco_dados_IM">#REF!</definedName>
    <definedName name="_xlnm.Database" localSheetId="0">#REF!</definedName>
    <definedName name="_xlnm.Database">#REF!</definedName>
    <definedName name="BANCOS" localSheetId="0">#REF!</definedName>
    <definedName name="BANCOS">#REF!</definedName>
    <definedName name="BASE">#REF!</definedName>
    <definedName name="basic_level" localSheetId="0">#REF!</definedName>
    <definedName name="basic_level">#REF!</definedName>
    <definedName name="BAYER1" localSheetId="0">#REF!</definedName>
    <definedName name="BAYER1">#REF!</definedName>
    <definedName name="BAYER10" localSheetId="0">#REF!</definedName>
    <definedName name="BAYER10">#REF!</definedName>
    <definedName name="BAYER10JUROS" localSheetId="0">#REF!</definedName>
    <definedName name="BAYER10JUROS">#REF!</definedName>
    <definedName name="BAYER11" localSheetId="0">#REF!</definedName>
    <definedName name="BAYER11">#REF!</definedName>
    <definedName name="BAYER11JUROS" localSheetId="0">#REF!</definedName>
    <definedName name="BAYER11JUROS">#REF!</definedName>
    <definedName name="BAYER1JUROS" localSheetId="0">#REF!</definedName>
    <definedName name="BAYER1JUROS">#REF!</definedName>
    <definedName name="BAYER8" localSheetId="0">#REF!</definedName>
    <definedName name="BAYER8">#REF!</definedName>
    <definedName name="BAYER8JUROS" localSheetId="0">#REF!</definedName>
    <definedName name="BAYER8JUROS">#REF!</definedName>
    <definedName name="BAYER9" localSheetId="0">#REF!</definedName>
    <definedName name="BAYER9">#REF!</definedName>
    <definedName name="BAYER9JUROS" localSheetId="0">#REF!</definedName>
    <definedName name="BAYER9JUROS">#REF!</definedName>
    <definedName name="bb">#REF!</definedName>
    <definedName name="BC_D_PI" localSheetId="0">#REF!</definedName>
    <definedName name="BC_D_PI">#REF!</definedName>
    <definedName name="BC_T_PI" localSheetId="0">#REF!</definedName>
    <definedName name="BC_T_PI">#REF!</definedName>
    <definedName name="bco_custos">#REF!</definedName>
    <definedName name="BD_YTS" localSheetId="0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D_YTS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BEGIN" localSheetId="0">#REF!</definedName>
    <definedName name="BEGIN">#REF!</definedName>
    <definedName name="BG_Del" hidden="1">15</definedName>
    <definedName name="BG_Ins" hidden="1">4</definedName>
    <definedName name="BG_Mod" hidden="1">6</definedName>
    <definedName name="BIO" localSheetId="0">#REF!</definedName>
    <definedName name="BIO">#REF!</definedName>
    <definedName name="BL_D_PF" localSheetId="0">#REF!</definedName>
    <definedName name="BL_D_PF">#REF!</definedName>
    <definedName name="BL_D_PI" localSheetId="0">#REF!</definedName>
    <definedName name="BL_D_PI">#REF!</definedName>
    <definedName name="BL_D_PP" localSheetId="0">#REF!</definedName>
    <definedName name="BL_D_PP">#REF!</definedName>
    <definedName name="BL_T_PF" localSheetId="0">#REF!</definedName>
    <definedName name="BL_T_PF">#REF!</definedName>
    <definedName name="BL_T_PI" localSheetId="0">#REF!</definedName>
    <definedName name="BL_T_PI">#REF!</definedName>
    <definedName name="BL_T_PP" localSheetId="0">#REF!</definedName>
    <definedName name="BL_T_PP">#REF!</definedName>
    <definedName name="BNDESA" localSheetId="0">#REF!</definedName>
    <definedName name="BNDESA">#REF!</definedName>
    <definedName name="BNDESB" localSheetId="0">#REF!</definedName>
    <definedName name="BNDESB">#REF!</definedName>
    <definedName name="BNDESC" localSheetId="0">#REF!</definedName>
    <definedName name="BNDESC">#REF!</definedName>
    <definedName name="BNDESD" localSheetId="0">#REF!</definedName>
    <definedName name="BNDESD">#REF!</definedName>
    <definedName name="BOI" localSheetId="0">#REF!</definedName>
    <definedName name="BOI">#REF!</definedName>
    <definedName name="boxes" localSheetId="0">#REF!</definedName>
    <definedName name="boxes">#REF!</definedName>
    <definedName name="BR">#REF!</definedName>
    <definedName name="BR_D_PI" localSheetId="0">#REF!</definedName>
    <definedName name="BR_D_PI">#REF!</definedName>
    <definedName name="BR_T_PI" localSheetId="0">#REF!</definedName>
    <definedName name="BR_T_PI">#REF!</definedName>
    <definedName name="bradesc" localSheetId="0">#REF!</definedName>
    <definedName name="bradesc">#REF!</definedName>
    <definedName name="BT_D_PI" localSheetId="0">#REF!</definedName>
    <definedName name="BT_D_PI">#REF!</definedName>
    <definedName name="BT_D_PP" localSheetId="0">#REF!</definedName>
    <definedName name="BT_D_PP">#REF!</definedName>
    <definedName name="BT_T_PI" localSheetId="0">#REF!</definedName>
    <definedName name="BT_T_PI">#REF!</definedName>
    <definedName name="BT_T_PP" localSheetId="0">#REF!</definedName>
    <definedName name="BT_T_PP">#REF!</definedName>
    <definedName name="BTN" localSheetId="0">#REF!</definedName>
    <definedName name="BTN">#REF!</definedName>
    <definedName name="BTNANT" localSheetId="0">#REF!</definedName>
    <definedName name="BTNANT">#REF!</definedName>
    <definedName name="BTNATU" localSheetId="0">#REF!</definedName>
    <definedName name="BTNATU">#REF!</definedName>
    <definedName name="BuiltIn_Print_Area" localSheetId="0">#REF!</definedName>
    <definedName name="BuiltIn_Print_Area">#REF!</definedName>
    <definedName name="BuiltIn_Print_Area___0" localSheetId="0">#REF!</definedName>
    <definedName name="BuiltIn_Print_Area___0">#REF!</definedName>
    <definedName name="BuiltIn_Print_Area___2" localSheetId="0">#REF!</definedName>
    <definedName name="BuiltIn_Print_Area___2">#REF!</definedName>
    <definedName name="BuiltIn_Print_Area___3" localSheetId="0">#REF!</definedName>
    <definedName name="BuiltIn_Print_Area___3">#REF!</definedName>
    <definedName name="button_area_1" localSheetId="0">#REF!</definedName>
    <definedName name="button_area_1">#REF!</definedName>
    <definedName name="BV" localSheetId="0">#REF!</definedName>
    <definedName name="BV">#REF!</definedName>
    <definedName name="BVAP" localSheetId="0">#REF!</definedName>
    <definedName name="BVAP">#REF!</definedName>
    <definedName name="BVDEMO" localSheetId="0">#REF!</definedName>
    <definedName name="BVDEMO">#REF!</definedName>
    <definedName name="C_" localSheetId="0">#REF!</definedName>
    <definedName name="C_">#REF!</definedName>
    <definedName name="cabeçalho">#REF!</definedName>
    <definedName name="cacoco" localSheetId="0">#REF!</definedName>
    <definedName name="cacoco">#REF!</definedName>
    <definedName name="CAIXA" localSheetId="0">#REF!</definedName>
    <definedName name="CAIXA">#REF!</definedName>
    <definedName name="CAIXA_WO" localSheetId="0">#REF!</definedName>
    <definedName name="CAIXA_WO">#REF!</definedName>
    <definedName name="caixa1" localSheetId="0">#REF!</definedName>
    <definedName name="caixa1">#REF!</definedName>
    <definedName name="CAL" localSheetId="0">#REF!</definedName>
    <definedName name="CAL">#REF!</definedName>
    <definedName name="CalcProd" localSheetId="0">#REF!</definedName>
    <definedName name="CalcProd">#REF!</definedName>
    <definedName name="CalcSale" localSheetId="0">#REF!</definedName>
    <definedName name="CalcSale">#REF!</definedName>
    <definedName name="canpar" localSheetId="0">#REF!</definedName>
    <definedName name="canpar">#REF!</definedName>
    <definedName name="CAP" localSheetId="0">#REF!</definedName>
    <definedName name="CAP">#REF!</definedName>
    <definedName name="CAPA" localSheetId="0">#REF!</definedName>
    <definedName name="CAPA">#REF!</definedName>
    <definedName name="CAPCOLIG" localSheetId="0">#REF!</definedName>
    <definedName name="CAPCOLIG">#REF!</definedName>
    <definedName name="casa" localSheetId="0">#REF!</definedName>
    <definedName name="casa">#REF!</definedName>
    <definedName name="Cat_1a" localSheetId="0">#REF!</definedName>
    <definedName name="Cat_1a">#REF!</definedName>
    <definedName name="Cat_1A_PR" localSheetId="0">#REF!</definedName>
    <definedName name="Cat_1A_PR">#REF!</definedName>
    <definedName name="Cat_1A_SP" localSheetId="0">#REF!</definedName>
    <definedName name="Cat_1A_SP">#REF!</definedName>
    <definedName name="Cat_1b" localSheetId="0">#REF!</definedName>
    <definedName name="Cat_1b">#REF!</definedName>
    <definedName name="Cat_1B_PR" localSheetId="0">#REF!</definedName>
    <definedName name="Cat_1B_PR">#REF!</definedName>
    <definedName name="Cat_1B_SP" localSheetId="0">#REF!</definedName>
    <definedName name="Cat_1B_SP">#REF!</definedName>
    <definedName name="Cat_1c" localSheetId="0">#REF!</definedName>
    <definedName name="Cat_1c">#REF!</definedName>
    <definedName name="Cat_1C_PR" localSheetId="0">#REF!</definedName>
    <definedName name="Cat_1C_PR">#REF!</definedName>
    <definedName name="Cat_1C_SP" localSheetId="0">#REF!</definedName>
    <definedName name="Cat_1C_SP">#REF!</definedName>
    <definedName name="Cat_1d" localSheetId="0">#REF!</definedName>
    <definedName name="Cat_1d">#REF!</definedName>
    <definedName name="Cat_1D_PR" localSheetId="0">#REF!</definedName>
    <definedName name="Cat_1D_PR">#REF!</definedName>
    <definedName name="Cat_1D_SP" localSheetId="0">#REF!</definedName>
    <definedName name="Cat_1D_SP">#REF!</definedName>
    <definedName name="Cat_2a" localSheetId="0">#REF!</definedName>
    <definedName name="Cat_2a">#REF!</definedName>
    <definedName name="Cat_2b" localSheetId="0">#REF!</definedName>
    <definedName name="Cat_2b">#REF!</definedName>
    <definedName name="Cat_2c" localSheetId="0">#REF!</definedName>
    <definedName name="Cat_2c">#REF!</definedName>
    <definedName name="Cat_3" localSheetId="0">#REF!</definedName>
    <definedName name="Cat_3">#REF!</definedName>
    <definedName name="Cat_4a" localSheetId="0">#REF!</definedName>
    <definedName name="Cat_4a">#REF!</definedName>
    <definedName name="Cat_4b" localSheetId="0">#REF!</definedName>
    <definedName name="Cat_4b">#REF!</definedName>
    <definedName name="Cat_4B_SP" localSheetId="0">#REF!</definedName>
    <definedName name="Cat_4B_SP">#REF!</definedName>
    <definedName name="Cat_4d" localSheetId="0">#REF!</definedName>
    <definedName name="Cat_4d">#REF!</definedName>
    <definedName name="Cat_4D_SP" localSheetId="0">#REF!</definedName>
    <definedName name="Cat_4D_SP">#REF!</definedName>
    <definedName name="Cat_5a" localSheetId="0">#REF!</definedName>
    <definedName name="Cat_5a">#REF!</definedName>
    <definedName name="Cat_5A_AP" localSheetId="0">#REF!</definedName>
    <definedName name="Cat_5A_AP">#REF!</definedName>
    <definedName name="Cat_5b" localSheetId="0">#REF!</definedName>
    <definedName name="Cat_5b">#REF!</definedName>
    <definedName name="Cat_5B_AP" localSheetId="0">#REF!</definedName>
    <definedName name="Cat_5B_AP">#REF!</definedName>
    <definedName name="Cat_5B_MS" localSheetId="0">#REF!</definedName>
    <definedName name="Cat_5B_MS">#REF!</definedName>
    <definedName name="Cat_5d" localSheetId="0">#REF!</definedName>
    <definedName name="Cat_5d">#REF!</definedName>
    <definedName name="Cat_5D_AP" localSheetId="0">#REF!</definedName>
    <definedName name="Cat_5D_AP">#REF!</definedName>
    <definedName name="Cat_5D_MS" localSheetId="0">#REF!</definedName>
    <definedName name="Cat_5D_MS">#REF!</definedName>
    <definedName name="CATALAGOS" localSheetId="0">#REF!</definedName>
    <definedName name="CATALAGOS">#REF!</definedName>
    <definedName name="Categoryss" localSheetId="0">#REF!</definedName>
    <definedName name="Categoryss">#REF!</definedName>
    <definedName name="CBA.000.C.0.12.2001.00.01.22203010001">10709</definedName>
    <definedName name="CC">#REF!</definedName>
    <definedName name="CC_CTA_CTB">#REF!</definedName>
    <definedName name="CCC" localSheetId="0">#REF!</definedName>
    <definedName name="CCC">#REF!</definedName>
    <definedName name="cccccc" localSheetId="0" hidden="1">{"PARTE1",#N/A,FALSE,"Plan1"}</definedName>
    <definedName name="cccccc" hidden="1">{"PARTE1",#N/A,FALSE,"Plan1"}</definedName>
    <definedName name="ccccccc">#REF!</definedName>
    <definedName name="CCT" localSheetId="0">#REF!</definedName>
    <definedName name="CCT">#REF!</definedName>
    <definedName name="cdb" localSheetId="0" hidden="1">{"PARTE1",#N/A,FALSE,"Plan1"}</definedName>
    <definedName name="cdb" hidden="1">{"PARTE1",#N/A,FALSE,"Plan1"}</definedName>
    <definedName name="cdcdc" hidden="1">1</definedName>
    <definedName name="celltips_area" localSheetId="0">#REF!</definedName>
    <definedName name="celltips_area">#REF!</definedName>
    <definedName name="cfv">#REF!</definedName>
    <definedName name="ChamfloraAP" localSheetId="0">#REF!</definedName>
    <definedName name="ChamfloraAP">#REF!</definedName>
    <definedName name="ChamfloraMS" localSheetId="0">#REF!</definedName>
    <definedName name="ChamfloraMS">#REF!</definedName>
    <definedName name="ChamfloraSP" localSheetId="0">#REF!</definedName>
    <definedName name="ChamfloraSP">#REF!</definedName>
    <definedName name="CHAPECÓ" localSheetId="0">#REF!</definedName>
    <definedName name="CHAPECÓ">#REF!</definedName>
    <definedName name="chdevter" localSheetId="0">#REF!</definedName>
    <definedName name="chdevter">#REF!</definedName>
    <definedName name="checa_qtde">#REF!</definedName>
    <definedName name="checa_transf">#REF!</definedName>
    <definedName name="Cheque" localSheetId="0">#REF!</definedName>
    <definedName name="Cheque">#REF!</definedName>
    <definedName name="chequepre" localSheetId="0">#REF!</definedName>
    <definedName name="chequepre">#REF!</definedName>
    <definedName name="circularização" hidden="1">"AS2DocumentBrowse"</definedName>
    <definedName name="Clientes">#REF!</definedName>
    <definedName name="cnefjkcn" localSheetId="0" hidden="1">{#N/A,#N/A,FALSE,"Aging Summary";#N/A,#N/A,FALSE,"Ratio Analysis";#N/A,#N/A,FALSE,"Test 120 Day Accts";#N/A,#N/A,FALSE,"Tickmarks"}</definedName>
    <definedName name="cnefjkcn" hidden="1">{#N/A,#N/A,FALSE,"Aging Summary";#N/A,#N/A,FALSE,"Ratio Analysis";#N/A,#N/A,FALSE,"Test 120 Day Accts";#N/A,#N/A,FALSE,"Tickmarks"}</definedName>
    <definedName name="COD" localSheetId="0">#REF!</definedName>
    <definedName name="COD">#REF!</definedName>
    <definedName name="CODFINAN" localSheetId="0">#REF!</definedName>
    <definedName name="CODFINAN">#REF!</definedName>
    <definedName name="Codfinanc" localSheetId="0">LALUR!Codfinanc</definedName>
    <definedName name="Codfinanc">[0]!Codfinanc</definedName>
    <definedName name="cofi" hidden="1">15</definedName>
    <definedName name="COLIGATIVO" localSheetId="0">#REF!</definedName>
    <definedName name="COLIGATIVO">#REF!</definedName>
    <definedName name="COLIGPASSIVO" localSheetId="0">#REF!</definedName>
    <definedName name="COLIGPASSIVO">#REF!</definedName>
    <definedName name="COMIDA">#N/A</definedName>
    <definedName name="COMLOAN" localSheetId="0">#REF!</definedName>
    <definedName name="COMLOAN">#REF!</definedName>
    <definedName name="COMLOANJUROS" localSheetId="0">#REF!</definedName>
    <definedName name="COMLOANJUROS">#REF!</definedName>
    <definedName name="COMPENSAÇÃO_CONFINS_COM_FINSOCIAL" localSheetId="0">#REF!</definedName>
    <definedName name="COMPENSAÇÃO_CONFINS_COM_FINSOCIAL">#REF!</definedName>
    <definedName name="COMPENSAÇÃO_INDÉBITO_CONT_PREVIDENCIÁRIA" localSheetId="0">#REF!</definedName>
    <definedName name="COMPENSAÇÃO_INDÉBITO_CONT_PREVIDENCIÁRIA">#REF!</definedName>
    <definedName name="COMPENSAÇÃO_IPC_BTNF_90" localSheetId="0">#REF!</definedName>
    <definedName name="COMPENSAÇÃO_IPC_BTNF_90">#REF!</definedName>
    <definedName name="COMPULSORIO" localSheetId="0">#REF!</definedName>
    <definedName name="COMPULSORIO">#REF!</definedName>
    <definedName name="conci" localSheetId="0">#REF!</definedName>
    <definedName name="conci">#REF!</definedName>
    <definedName name="CONCI1" localSheetId="0">#REF!</definedName>
    <definedName name="CONCI1">#REF!</definedName>
    <definedName name="Conciliacao" localSheetId="0">#REF!</definedName>
    <definedName name="Conciliacao">#REF!</definedName>
    <definedName name="conconre" localSheetId="0">#REF!</definedName>
    <definedName name="conconre">#REF!</definedName>
    <definedName name="congarcit" localSheetId="0">#REF!</definedName>
    <definedName name="congarcit">#REF!</definedName>
    <definedName name="congaruni" localSheetId="0">#REF!</definedName>
    <definedName name="congaruni">#REF!</definedName>
    <definedName name="CONS" localSheetId="0">#REF!</definedName>
    <definedName name="CONS">#REF!</definedName>
    <definedName name="consinrec" localSheetId="0">#REF!</definedName>
    <definedName name="consinrec">#REF!</definedName>
    <definedName name="CONSOL">#REF!</definedName>
    <definedName name="consolida">#REF!</definedName>
    <definedName name="CONSOLIDADO" localSheetId="0">#REF!</definedName>
    <definedName name="CONSOLIDADO">#REF!</definedName>
    <definedName name="CONTA">#REF!</definedName>
    <definedName name="CONTA1" localSheetId="0">#REF!</definedName>
    <definedName name="CONTA1">#REF!</definedName>
    <definedName name="contab_celular" localSheetId="0">#REF!</definedName>
    <definedName name="contab_celular">#REF!</definedName>
    <definedName name="contab_mensal" localSheetId="0">#REF!</definedName>
    <definedName name="contab_mensal">#REF!</definedName>
    <definedName name="contab_monitor" localSheetId="0">#REF!</definedName>
    <definedName name="contab_monitor">#REF!</definedName>
    <definedName name="CONTABIL0101" localSheetId="0">#REF!</definedName>
    <definedName name="CONTABIL0101">#REF!</definedName>
    <definedName name="CONTABIL0102" localSheetId="0">#REF!</definedName>
    <definedName name="CONTABIL0102">#REF!</definedName>
    <definedName name="CONTABIL0103" localSheetId="0">#REF!</definedName>
    <definedName name="CONTABIL0103">#REF!</definedName>
    <definedName name="CONTABIL0281" localSheetId="0">#REF!</definedName>
    <definedName name="CONTABIL0281">#REF!</definedName>
    <definedName name="CONTABIL0282" localSheetId="0">#REF!</definedName>
    <definedName name="CONTABIL0282">#REF!</definedName>
    <definedName name="CONTABIL0283" localSheetId="0">#REF!</definedName>
    <definedName name="CONTABIL0283">#REF!</definedName>
    <definedName name="CONTABIL044" localSheetId="0">#REF!</definedName>
    <definedName name="CONTABIL044">#REF!</definedName>
    <definedName name="CONTABILIDADE" localSheetId="0">#REF!</definedName>
    <definedName name="CONTABILIDADE">#REF!</definedName>
    <definedName name="CONTABILIDADE1" localSheetId="0">#REF!</definedName>
    <definedName name="CONTABILIDADE1">#REF!</definedName>
    <definedName name="Contas">#REF!</definedName>
    <definedName name="CONTASUB" localSheetId="0">#REF!</definedName>
    <definedName name="CONTASUB">#REF!</definedName>
    <definedName name="CONTASUB1" localSheetId="0">#REF!</definedName>
    <definedName name="CONTASUB1">#REF!</definedName>
    <definedName name="CONTR.ASSINAT." localSheetId="0">#REF!</definedName>
    <definedName name="CONTR.ASSINAT.">#REF!</definedName>
    <definedName name="Contr.Lotes" localSheetId="0">#REF!</definedName>
    <definedName name="Contr.Lotes">#REF!</definedName>
    <definedName name="CONVENIO" localSheetId="0">#REF!</definedName>
    <definedName name="CONVENIO">#REF!</definedName>
    <definedName name="convers" localSheetId="0">#REF!</definedName>
    <definedName name="convers">#REF!</definedName>
    <definedName name="coopercitrus" localSheetId="0">#REF!</definedName>
    <definedName name="coopercitrus">#REF!</definedName>
    <definedName name="COQUECALCINADO" localSheetId="0">#REF!</definedName>
    <definedName name="COQUECALCINADO">#REF!</definedName>
    <definedName name="COQUEVERDE" localSheetId="0">#REF!</definedName>
    <definedName name="COQUEVERDE">#REF!</definedName>
    <definedName name="CORPOR" localSheetId="0">#REF!</definedName>
    <definedName name="CORPOR">#REF!</definedName>
    <definedName name="COTACO">#N/A</definedName>
    <definedName name="COVECO">#N/A</definedName>
    <definedName name="CPC" localSheetId="0">#REF!</definedName>
    <definedName name="CPC">#REF!</definedName>
    <definedName name="CPCINPUT" localSheetId="0">#REF!</definedName>
    <definedName name="CPCINPUT">#REF!</definedName>
    <definedName name="CPCINPUTPRINT" localSheetId="0">#REF!</definedName>
    <definedName name="CPCINPUTPRINT">#REF!</definedName>
    <definedName name="CPRAZO" localSheetId="0">#REF!</definedName>
    <definedName name="CPRAZO">#REF!</definedName>
    <definedName name="cpv" localSheetId="0">#REF!</definedName>
    <definedName name="cpv">#REF!</definedName>
    <definedName name="CRAG">#REF!</definedName>
    <definedName name="CRAGGR">#REF!</definedName>
    <definedName name="CRAGGRRJ">#REF!</definedName>
    <definedName name="CRAGRJ">#REF!</definedName>
    <definedName name="CRIT" localSheetId="0">#REF!</definedName>
    <definedName name="CRIT">#REF!</definedName>
    <definedName name="_xlnm.Criteria" localSheetId="0">#REF!</definedName>
    <definedName name="_xlnm.Criteria">#REF!</definedName>
    <definedName name="Critérios_IM" localSheetId="0">#REF!</definedName>
    <definedName name="Critérios_IM">#REF!</definedName>
    <definedName name="csa" localSheetId="0">#REF!</definedName>
    <definedName name="csa">#REF!</definedName>
    <definedName name="CSSL" localSheetId="0" hidden="1">{#N/A,#N/A,FALSE,"IR E CS 1997";#N/A,#N/A,FALSE,"PR ND";#N/A,#N/A,FALSE,"8191";#N/A,#N/A,FALSE,"8383";#N/A,#N/A,FALSE,"MP 1024";#N/A,#N/A,FALSE,"AD_EX_97";#N/A,#N/A,FALSE,"BD 97"}</definedName>
    <definedName name="CSSL" hidden="1">{#N/A,#N/A,FALSE,"IR E CS 1997";#N/A,#N/A,FALSE,"PR ND";#N/A,#N/A,FALSE,"8191";#N/A,#N/A,FALSE,"8383";#N/A,#N/A,FALSE,"MP 1024";#N/A,#N/A,FALSE,"AD_EX_97";#N/A,#N/A,FALSE,"BD 97"}</definedName>
    <definedName name="CSSL1" localSheetId="0">#REF!</definedName>
    <definedName name="CSSL1">#REF!</definedName>
    <definedName name="CSSL1998" localSheetId="0" hidden="1">{#N/A,#N/A,FALSE,"IR E CS 1997";#N/A,#N/A,FALSE,"PR ND";#N/A,#N/A,FALSE,"8191";#N/A,#N/A,FALSE,"8383";#N/A,#N/A,FALSE,"MP 1024";#N/A,#N/A,FALSE,"AD_EX_97";#N/A,#N/A,FALSE,"BD 97"}</definedName>
    <definedName name="CSSL1998" hidden="1">{#N/A,#N/A,FALSE,"IR E CS 1997";#N/A,#N/A,FALSE,"PR ND";#N/A,#N/A,FALSE,"8191";#N/A,#N/A,FALSE,"8383";#N/A,#N/A,FALSE,"MP 1024";#N/A,#N/A,FALSE,"AD_EX_97";#N/A,#N/A,FALSE,"BD 97"}</definedName>
    <definedName name="CSSL2" localSheetId="0">#REF!</definedName>
    <definedName name="CSSL2">#REF!</definedName>
    <definedName name="CST_CTR_MI_INP_IAF_CRON" localSheetId="0">#REF!</definedName>
    <definedName name="CST_CTR_MI_INP_IAF_CRON">#REF!</definedName>
    <definedName name="Cta_nov">#REF!</definedName>
    <definedName name="CTA25007_2003" localSheetId="0">#REF!</definedName>
    <definedName name="CTA25007_2003">#REF!</definedName>
    <definedName name="CTA25064_2003" localSheetId="0">#REF!</definedName>
    <definedName name="CTA25064_2003">#REF!</definedName>
    <definedName name="CTA25072_2003" localSheetId="0">#REF!</definedName>
    <definedName name="CTA25072_2003">#REF!</definedName>
    <definedName name="CTAS.RECEBER" localSheetId="0">#REF!</definedName>
    <definedName name="CTAS.RECEBER">#REF!</definedName>
    <definedName name="ctbradesco" localSheetId="0">#REF!</definedName>
    <definedName name="ctbradesco">#REF!</definedName>
    <definedName name="Ctcontab" localSheetId="0">#REF!</definedName>
    <definedName name="Ctcontab">#REF!</definedName>
    <definedName name="ctunibanco" localSheetId="0">#REF!</definedName>
    <definedName name="ctunibanco">#REF!</definedName>
    <definedName name="currAR" localSheetId="0">#REF!</definedName>
    <definedName name="currAR">#REF!</definedName>
    <definedName name="currCE" localSheetId="0">#REF!</definedName>
    <definedName name="currCE">#REF!</definedName>
    <definedName name="currCF" localSheetId="0">#REF!</definedName>
    <definedName name="currCF">#REF!</definedName>
    <definedName name="CUSTO" localSheetId="0">#REF!</definedName>
    <definedName name="CUSTO">#REF!</definedName>
    <definedName name="Customer" localSheetId="0">#REF!</definedName>
    <definedName name="Customer">#REF!</definedName>
    <definedName name="Custos">#REF!,#REF!</definedName>
    <definedName name="cwlksd" localSheetId="0" hidden="1">{#N/A,#N/A,FALSE,"Aging Summary";#N/A,#N/A,FALSE,"Ratio Analysis";#N/A,#N/A,FALSE,"Test 120 Day Accts";#N/A,#N/A,FALSE,"Tickmarks"}</definedName>
    <definedName name="cwlksd" hidden="1">{#N/A,#N/A,FALSE,"Aging Summary";#N/A,#N/A,FALSE,"Ratio Analysis";#N/A,#N/A,FALSE,"Test 120 Day Accts";#N/A,#N/A,FALSE,"Tickmarks"}</definedName>
    <definedName name="CX.COMPRAS" localSheetId="0">#REF!</definedName>
    <definedName name="CX.COMPRAS">#REF!</definedName>
    <definedName name="CY_Accounts_Receivable" localSheetId="0">#REF!</definedName>
    <definedName name="CY_Accounts_Receivable">#REF!</definedName>
    <definedName name="CY_Administration" localSheetId="0">#REF!</definedName>
    <definedName name="CY_Administration">#REF!</definedName>
    <definedName name="CY_Cash" localSheetId="0">#REF!</definedName>
    <definedName name="CY_Cash">#REF!</definedName>
    <definedName name="CY_Cash_Div_Dec" localSheetId="0">#REF!</definedName>
    <definedName name="CY_Cash_Div_Dec">#REF!</definedName>
    <definedName name="CY_Common_Equity" localSheetId="0">#REF!</definedName>
    <definedName name="CY_Common_Equity">#REF!</definedName>
    <definedName name="CY_Cost_of_Sales" localSheetId="0">#REF!</definedName>
    <definedName name="CY_Cost_of_Sales">#REF!</definedName>
    <definedName name="CY_Current_Liabilities" localSheetId="0">#REF!</definedName>
    <definedName name="CY_Current_Liabilities">#REF!</definedName>
    <definedName name="CY_Depreciation" localSheetId="0">#REF!</definedName>
    <definedName name="CY_Depreciation">#REF!</definedName>
    <definedName name="CY_Gross_Profit" localSheetId="0">#REF!</definedName>
    <definedName name="CY_Gross_Profit">#REF!</definedName>
    <definedName name="CY_Inc_Bef_Tax" localSheetId="0">#REF!</definedName>
    <definedName name="CY_Inc_Bef_Tax">#REF!</definedName>
    <definedName name="CY_Intangible_Assets" localSheetId="0">#REF!</definedName>
    <definedName name="CY_Intangible_Assets">#REF!</definedName>
    <definedName name="CY_Interest_Expense" localSheetId="0">#REF!</definedName>
    <definedName name="CY_Interest_Expense">#REF!</definedName>
    <definedName name="CY_Inventory" localSheetId="0">#REF!</definedName>
    <definedName name="CY_Inventory">#REF!</definedName>
    <definedName name="CY_LIABIL_EQUITY" localSheetId="0">#REF!</definedName>
    <definedName name="CY_LIABIL_EQUITY">#REF!</definedName>
    <definedName name="CY_LT_Debt" localSheetId="0">#REF!</definedName>
    <definedName name="CY_LT_Debt">#REF!</definedName>
    <definedName name="CY_Market_Value_of_Equity" localSheetId="0">#REF!</definedName>
    <definedName name="CY_Market_Value_of_Equity">#REF!</definedName>
    <definedName name="CY_Marketable_Sec" localSheetId="0">#REF!</definedName>
    <definedName name="CY_Marketable_Sec">#REF!</definedName>
    <definedName name="CY_NET_PROFIT" localSheetId="0">#REF!</definedName>
    <definedName name="CY_NET_PROFIT">#REF!</definedName>
    <definedName name="CY_Net_Revenue" localSheetId="0">#REF!</definedName>
    <definedName name="CY_Net_Revenue">#REF!</definedName>
    <definedName name="CY_Operating_Income" localSheetId="0">#REF!</definedName>
    <definedName name="CY_Operating_Income">#REF!</definedName>
    <definedName name="CY_Other" localSheetId="0">#REF!</definedName>
    <definedName name="CY_Other">#REF!</definedName>
    <definedName name="CY_Other_Curr_Assets" localSheetId="0">#REF!</definedName>
    <definedName name="CY_Other_Curr_Assets">#REF!</definedName>
    <definedName name="CY_Other_LT_Assets" localSheetId="0">#REF!</definedName>
    <definedName name="CY_Other_LT_Assets">#REF!</definedName>
    <definedName name="CY_Other_LT_Liabilities" localSheetId="0">#REF!</definedName>
    <definedName name="CY_Other_LT_Liabilities">#REF!</definedName>
    <definedName name="CY_Preferred_Stock" localSheetId="0">#REF!</definedName>
    <definedName name="CY_Preferred_Stock">#REF!</definedName>
    <definedName name="CY_QUICK_ASSETS" localSheetId="0">#REF!</definedName>
    <definedName name="CY_QUICK_ASSETS">#REF!</definedName>
    <definedName name="CY_Retained_Earnings" localSheetId="0">#REF!</definedName>
    <definedName name="CY_Retained_Earnings">#REF!</definedName>
    <definedName name="CY_Selling" localSheetId="0">#REF!</definedName>
    <definedName name="CY_Selling">#REF!</definedName>
    <definedName name="CY_Tangible_Assets" localSheetId="0">#REF!</definedName>
    <definedName name="CY_Tangible_Assets">#REF!</definedName>
    <definedName name="CY_Tangible_Net_Worth" localSheetId="0">#REF!</definedName>
    <definedName name="CY_Tangible_Net_Worth">#REF!</definedName>
    <definedName name="CY_Taxes" localSheetId="0">#REF!</definedName>
    <definedName name="CY_Taxes">#REF!</definedName>
    <definedName name="CY_TOTAL_ASSETS" localSheetId="0">#REF!</definedName>
    <definedName name="CY_TOTAL_ASSETS">#REF!</definedName>
    <definedName name="CY_TOTAL_CURR_ASSETS" localSheetId="0">#REF!</definedName>
    <definedName name="CY_TOTAL_CURR_ASSETS">#REF!</definedName>
    <definedName name="CY_TOTAL_DEBT" localSheetId="0">#REF!</definedName>
    <definedName name="CY_TOTAL_DEBT">#REF!</definedName>
    <definedName name="CY_TOTAL_EQUITY" localSheetId="0">#REF!</definedName>
    <definedName name="CY_TOTAL_EQUITY">#REF!</definedName>
    <definedName name="CY_Weighted_Average" localSheetId="0">#REF!</definedName>
    <definedName name="CY_Weighted_Average">#REF!</definedName>
    <definedName name="CY_Working_Capital" localSheetId="0">#REF!</definedName>
    <definedName name="CY_Working_Capital">#REF!</definedName>
    <definedName name="d" hidden="1">2</definedName>
    <definedName name="D_C" localSheetId="0">#REF!</definedName>
    <definedName name="D_C">#REF!</definedName>
    <definedName name="DATA" localSheetId="0">#REF!</definedName>
    <definedName name="DATA">#REF!</definedName>
    <definedName name="data1" localSheetId="0">#REF!</definedName>
    <definedName name="data1">#REF!</definedName>
    <definedName name="data10" localSheetId="0">#REF!</definedName>
    <definedName name="data10">#REF!</definedName>
    <definedName name="data11" localSheetId="0">#REF!</definedName>
    <definedName name="data11">#REF!</definedName>
    <definedName name="data12" localSheetId="0">#REF!</definedName>
    <definedName name="data12">#REF!</definedName>
    <definedName name="data13" localSheetId="0">#REF!</definedName>
    <definedName name="data13">#REF!</definedName>
    <definedName name="data14" localSheetId="0">#REF!</definedName>
    <definedName name="data14">#REF!</definedName>
    <definedName name="data15" localSheetId="0">#REF!</definedName>
    <definedName name="data15">#REF!</definedName>
    <definedName name="data16" localSheetId="0">#REF!</definedName>
    <definedName name="data16">#REF!</definedName>
    <definedName name="data17" localSheetId="0">#REF!</definedName>
    <definedName name="data17">#REF!</definedName>
    <definedName name="data18" localSheetId="0">#REF!</definedName>
    <definedName name="data18">#REF!</definedName>
    <definedName name="data19" localSheetId="0">#REF!</definedName>
    <definedName name="data19">#REF!</definedName>
    <definedName name="data2" localSheetId="0">#REF!</definedName>
    <definedName name="data2">#REF!</definedName>
    <definedName name="data20" localSheetId="0">#REF!</definedName>
    <definedName name="data20">#REF!</definedName>
    <definedName name="data21" localSheetId="0">#REF!</definedName>
    <definedName name="data21">#REF!</definedName>
    <definedName name="data22" localSheetId="0">#REF!</definedName>
    <definedName name="data22">#REF!</definedName>
    <definedName name="data23" localSheetId="0">#REF!</definedName>
    <definedName name="data23">#REF!</definedName>
    <definedName name="data24" localSheetId="0">#REF!</definedName>
    <definedName name="data24">#REF!</definedName>
    <definedName name="data25" localSheetId="0">#REF!</definedName>
    <definedName name="data25">#REF!</definedName>
    <definedName name="data26" localSheetId="0">#REF!</definedName>
    <definedName name="data26">#REF!</definedName>
    <definedName name="data27" localSheetId="0">#REF!</definedName>
    <definedName name="data27">#REF!</definedName>
    <definedName name="data28" localSheetId="0">#REF!</definedName>
    <definedName name="data28">#REF!</definedName>
    <definedName name="data29" localSheetId="0">#REF!</definedName>
    <definedName name="data29">#REF!</definedName>
    <definedName name="data3" localSheetId="0">#REF!</definedName>
    <definedName name="data3">#REF!</definedName>
    <definedName name="data30" localSheetId="0">#REF!</definedName>
    <definedName name="data30">#REF!</definedName>
    <definedName name="data31" localSheetId="0">#REF!</definedName>
    <definedName name="data31">#REF!</definedName>
    <definedName name="data32" localSheetId="0">#REF!</definedName>
    <definedName name="data32">#REF!</definedName>
    <definedName name="data33" localSheetId="0">#REF!</definedName>
    <definedName name="data33">#REF!</definedName>
    <definedName name="data34" localSheetId="0">#REF!</definedName>
    <definedName name="data34">#REF!</definedName>
    <definedName name="data35" localSheetId="0">#REF!</definedName>
    <definedName name="data35">#REF!</definedName>
    <definedName name="data36" localSheetId="0">#REF!</definedName>
    <definedName name="data36">#REF!</definedName>
    <definedName name="data37" localSheetId="0">#REF!</definedName>
    <definedName name="data37">#REF!</definedName>
    <definedName name="data38" localSheetId="0">#REF!</definedName>
    <definedName name="data38">#REF!</definedName>
    <definedName name="data39" localSheetId="0">#REF!</definedName>
    <definedName name="data39">#REF!</definedName>
    <definedName name="data4" localSheetId="0">#REF!</definedName>
    <definedName name="data4">#REF!</definedName>
    <definedName name="data40" localSheetId="0">#REF!</definedName>
    <definedName name="data40">#REF!</definedName>
    <definedName name="data41" localSheetId="0">#REF!</definedName>
    <definedName name="data41">#REF!</definedName>
    <definedName name="data42" localSheetId="0">#REF!</definedName>
    <definedName name="data42">#REF!</definedName>
    <definedName name="data43" localSheetId="0">#REF!</definedName>
    <definedName name="data43">#REF!</definedName>
    <definedName name="data44" localSheetId="0">#REF!</definedName>
    <definedName name="data44">#REF!</definedName>
    <definedName name="data45" localSheetId="0">#REF!</definedName>
    <definedName name="data45">#REF!</definedName>
    <definedName name="data46" localSheetId="0">#REF!</definedName>
    <definedName name="data46">#REF!</definedName>
    <definedName name="data47" localSheetId="0">#REF!</definedName>
    <definedName name="data47">#REF!</definedName>
    <definedName name="data48" localSheetId="0">#REF!</definedName>
    <definedName name="data48">#REF!</definedName>
    <definedName name="data49" localSheetId="0">#REF!</definedName>
    <definedName name="data49">#REF!</definedName>
    <definedName name="data5" localSheetId="0">#REF!</definedName>
    <definedName name="data5">#REF!</definedName>
    <definedName name="data50" localSheetId="0">#REF!</definedName>
    <definedName name="data50">#REF!</definedName>
    <definedName name="data51" localSheetId="0">#REF!</definedName>
    <definedName name="data51">#REF!</definedName>
    <definedName name="data52" localSheetId="0">#REF!</definedName>
    <definedName name="data52">#REF!</definedName>
    <definedName name="data53" localSheetId="0">#REF!</definedName>
    <definedName name="data53">#REF!</definedName>
    <definedName name="data54" localSheetId="0">#REF!</definedName>
    <definedName name="data54">#REF!</definedName>
    <definedName name="data55" localSheetId="0">#REF!</definedName>
    <definedName name="data55">#REF!</definedName>
    <definedName name="data56" localSheetId="0">#REF!</definedName>
    <definedName name="data56">#REF!</definedName>
    <definedName name="data57" localSheetId="0">#REF!</definedName>
    <definedName name="data57">#REF!</definedName>
    <definedName name="data58" localSheetId="0">#REF!</definedName>
    <definedName name="data58">#REF!</definedName>
    <definedName name="data59" localSheetId="0">#REF!</definedName>
    <definedName name="data59">#REF!</definedName>
    <definedName name="data6" localSheetId="0">#REF!</definedName>
    <definedName name="data6">#REF!</definedName>
    <definedName name="data60" localSheetId="0">#REF!</definedName>
    <definedName name="data60">#REF!</definedName>
    <definedName name="data61" localSheetId="0">#REF!</definedName>
    <definedName name="data61">#REF!</definedName>
    <definedName name="data62" localSheetId="0">#REF!</definedName>
    <definedName name="data62">#REF!</definedName>
    <definedName name="data63" localSheetId="0">#REF!</definedName>
    <definedName name="data63">#REF!</definedName>
    <definedName name="data64" localSheetId="0">#REF!</definedName>
    <definedName name="data64">#REF!</definedName>
    <definedName name="data65" localSheetId="0">#REF!</definedName>
    <definedName name="data65">#REF!</definedName>
    <definedName name="data66" localSheetId="0">#REF!</definedName>
    <definedName name="data66">#REF!</definedName>
    <definedName name="data67" localSheetId="0">#REF!</definedName>
    <definedName name="data67">#REF!</definedName>
    <definedName name="data68" localSheetId="0">#REF!</definedName>
    <definedName name="data68">#REF!</definedName>
    <definedName name="data69" localSheetId="0">#REF!</definedName>
    <definedName name="data69">#REF!</definedName>
    <definedName name="data7" localSheetId="0">#REF!</definedName>
    <definedName name="data7">#REF!</definedName>
    <definedName name="data70" localSheetId="0">#REF!</definedName>
    <definedName name="data70">#REF!</definedName>
    <definedName name="data8" localSheetId="0">#REF!</definedName>
    <definedName name="data8">#REF!</definedName>
    <definedName name="data9" localSheetId="0">#REF!</definedName>
    <definedName name="data9">#REF!</definedName>
    <definedName name="Days" localSheetId="0">#REF!</definedName>
    <definedName name="Days">#REF!</definedName>
    <definedName name="DBAG">#REF!</definedName>
    <definedName name="DBAGGR">#REF!</definedName>
    <definedName name="DBAGGRRJ">#REF!</definedName>
    <definedName name="DBAGRJ">#REF!</definedName>
    <definedName name="dbAJ_Fornecedores" localSheetId="0">#REF!</definedName>
    <definedName name="dbAJ_Fornecedores">#REF!</definedName>
    <definedName name="dd">#REF!</definedName>
    <definedName name="de">#REF!</definedName>
    <definedName name="DEBENLP" localSheetId="0">#REF!</definedName>
    <definedName name="DEBENLP">#REF!</definedName>
    <definedName name="Debentures_apagar">#REF!</definedName>
    <definedName name="Deduções">#REF!,#REF!</definedName>
    <definedName name="Dedutível" localSheetId="0">#REF!</definedName>
    <definedName name="Dedutível">#REF!</definedName>
    <definedName name="DEL.000.0000.1010101">"                    Caixa"</definedName>
    <definedName name="DEL.000.0000.101010105">"                         Valores a Depositar"</definedName>
    <definedName name="DEL.000.0000.1010102">"                    Bancos Conta Movimento"</definedName>
    <definedName name="DEL.000.0000.101010201016">"                              Bradesco - Pagto Serv. da Divida 137.153"</definedName>
    <definedName name="DEL.000.0000.1010103">"                    Aplicações de Liquidez Imediata"</definedName>
    <definedName name="DEL.000.0000.10102">"               Contas a Receber"</definedName>
    <definedName name="DEL.000.0000.101020102004">"                              AVI a Receber da Ponte S/A"</definedName>
    <definedName name="DEL.000.0000.101030102001">"                              Adiantamento a Fornecedores"</definedName>
    <definedName name="DEL.000.0000.101030102002">"                              Adiantamento a Candido Ortiz"</definedName>
    <definedName name="DEL.000.0000.101030103001">"                              Adiantamento Salarial"</definedName>
    <definedName name="DEL.000.0000.101030103002">"                              Adiantamento de Ferias"</definedName>
    <definedName name="DEL.000.0000.101030103003">"                              Adiantamento de 13 Salário"</definedName>
    <definedName name="DEL.000.0000.101030103099">"                              Outros Adiantamentos"</definedName>
    <definedName name="DEL.000.0000.101030104001">"                              Adiantamentos de Despesas e Viagens"</definedName>
    <definedName name="DEL.000.0000.101040201001">"                              Imposto de Renda a Estimado a Compensar"</definedName>
    <definedName name="DEL.000.0000.101040201002">"                              Contribuição Social Estimado a Compensar"</definedName>
    <definedName name="DEL.000.0000.10106">"               Investimentos Temporários"</definedName>
    <definedName name="DEL.000.0000.102040101001">"                              IR s/ aplicações Financeiras"</definedName>
    <definedName name="DEL.000.0000.102040101002">"                              IRRF s/Aplicações Financeiras"</definedName>
    <definedName name="DEL.000.0000.102040202001">"                              IR Diferido"</definedName>
    <definedName name="DEL.000.0000.102040202002">"                              Contribui‡Æo Social Diferido"</definedName>
    <definedName name="DEL.000.0000.102050102001">"                              ISS"</definedName>
    <definedName name="DEL.000.0000.103030101">"                         mobiliários"</definedName>
    <definedName name="DEL.000.0000.103030102">"                         Equipamentos"</definedName>
    <definedName name="DEL.000.0000.103030103">"                         Veículos e Equipamentos de Atendimento a"</definedName>
    <definedName name="DEL.000.0000.103030104">"                         Sistemas"</definedName>
    <definedName name="DEL.000.0000.103030105">"                         Direitos de Uso"</definedName>
    <definedName name="DEL.000.0000.103030124">"                         Dispositivos de Proteção e Segurança"</definedName>
    <definedName name="DEL.000.0000.103030125">"                         Pavimentos"</definedName>
    <definedName name="DEL.000.0000.103030126">"                         Projetos"</definedName>
    <definedName name="DEL.000.0000.103030127">"                         Investimentos Ambiental"</definedName>
    <definedName name="DEL.000.0000.103030128">"                         Obras de Artes Especiais"</definedName>
    <definedName name="DEL.000.0000.103030129">"                         Obras de Artes Correntes"</definedName>
    <definedName name="DEL.000.0000.103030130">"                         Acessos-Trevos-Entroncamentos-Retornos"</definedName>
    <definedName name="DEL.000.0000.103030131">"                         instalações e Mobilizações de Canteiros"</definedName>
    <definedName name="DEL.000.0000.103030133">"                         Outras Obras e Melhorias do Bem canses."</definedName>
    <definedName name="DEL.000.0000.103030134">"                         Passarelas"</definedName>
    <definedName name="DEL.000.0000.103030135">"                         Iluminações e instalações Elétricas"</definedName>
    <definedName name="DEL.000.0000.103030136">"                         Sinalizações"</definedName>
    <definedName name="DEL.000.0000.103030137">"                         edificações Operacionais e de Apoio"</definedName>
    <definedName name="DEL.000.0000.103030138">"                         Terraplenagem"</definedName>
    <definedName name="DEL.000.0000.103030139">"                         Serviços Preliminares / Complementares"</definedName>
    <definedName name="DEL.000.0000.103030201">"                         mobiliários"</definedName>
    <definedName name="DEL.000.0000.103030202">"                         Equipamentos"</definedName>
    <definedName name="DEL.000.0000.103030203">"                         veículos e Equipamentos de Atendimento a"</definedName>
    <definedName name="DEL.000.0000.103030204">"                         Sistemas"</definedName>
    <definedName name="DEL.000.0000.103030205">"                         Direitos de Uso"</definedName>
    <definedName name="DEL.000.0000.103030224">"                         Dispositivos de proteção e Segurança"</definedName>
    <definedName name="DEL.000.0000.103030225">"                         Pavimentos"</definedName>
    <definedName name="DEL.000.0000.103030226">"                         Projetos"</definedName>
    <definedName name="DEL.000.0000.103030227">"                         Investimentos Ambiental"</definedName>
    <definedName name="DEL.000.0000.103030228">"                         Obras de Artes Especiais"</definedName>
    <definedName name="DEL.000.0000.103030229">"                         Obras de Artes Correntes"</definedName>
    <definedName name="DEL.000.0000.103030230">"                         Acessos-Trevos-Entroncamentos-Retornos e"</definedName>
    <definedName name="DEL.000.0000.103030231">"                         instalações e Imobilizações de Canteiros"</definedName>
    <definedName name="DEL.000.0000.103030233">"                         Outras Obras e Melhorias do Bem canses."</definedName>
    <definedName name="DEL.000.0000.103030234">"                         Passarelas"</definedName>
    <definedName name="DEL.000.0000.103030235">"                         iluminações e instalações elétricas"</definedName>
    <definedName name="DEL.000.0000.103030236">"                         sinalizações"</definedName>
    <definedName name="DEL.000.0000.103030237">"                         edificações Operacionais e de Apoio"</definedName>
    <definedName name="DEL.000.0000.103030238">"                         Terraplenagem"</definedName>
    <definedName name="DEL.000.0000.103030239">"                         serviços Preliminares / Complementares"</definedName>
    <definedName name="DEL.000.0000.103031120">"                         Obras em Andamento"</definedName>
    <definedName name="DEL.000.0000.103031199">"                         Imobilizado a Classificar"</definedName>
    <definedName name="DEL.000.0000.1210102">"                         TITULOS PUBLICOS"</definedName>
    <definedName name="DEL.000.0000.201030101001">"                              Fornecedores de Materiais"</definedName>
    <definedName name="DEL.000.0000.201030101002">"                              Fornecedores de serviços"</definedName>
    <definedName name="DEL.000.0000.201030101003">"                              Adiantamentos de Fornecedores"</definedName>
    <definedName name="DEL.000.0000.201030101004">"                              Contratos Assinados"</definedName>
    <definedName name="DEL.000.0000.201030101005">"                              Repasses a Efetuar"</definedName>
    <definedName name="DEL.000.0000.201030102002">"                              cauções Fornecedores de serviços"</definedName>
    <definedName name="DEL.000.0000.201040101001">"                              salários a Pagar"</definedName>
    <definedName name="DEL.000.0000.201040101002">"                              Rescisões Trabalhistas"</definedName>
    <definedName name="DEL.000.0000.201040101003">"                              Pensão Alimentícia"</definedName>
    <definedName name="DEL.000.0000.201040101004">"                              Honorários da Diretoria"</definedName>
    <definedName name="DEL.000.0000.201040101005">"                              honorários do Conselho de Administração"</definedName>
    <definedName name="DEL.000.0000.201040101006">"                              Assistência Medica"</definedName>
    <definedName name="DEL.000.0000.201040101007">"                              Pis-Pasep a Pagar (Convenio Caixa Econ)"</definedName>
    <definedName name="DEL.000.0000.201040101008">"                              PLR-Participação no Resultado a Pagar"</definedName>
    <definedName name="DEL.000.0000.201040101009">"                              Valores a Classificar"</definedName>
    <definedName name="DEL.000.0000.201040201001">"                              INSS"</definedName>
    <definedName name="DEL.000.0000.201040201002">"                              FGTS"</definedName>
    <definedName name="DEL.000.0000.201040201003">"                              Salario Educacao"</definedName>
    <definedName name="DEL.000.0000.201040201004">"                              SESI / SENAI"</definedName>
    <definedName name="DEL.000.0000.201040202001">"                              Contribuicao Sindical"</definedName>
    <definedName name="DEL.000.0000.201040203001">"                              Seguro de Vida em Grupo"</definedName>
    <definedName name="DEL.000.0000.201050101001">"                              Imposto de Renda de Terceiros"</definedName>
    <definedName name="DEL.000.0000.201050101002">"                              INSS de Terceiros"</definedName>
    <definedName name="DEL.000.0000.201050102001">"                              COFINS a Recolher"</definedName>
    <definedName name="DEL.000.0000.201050102002">"                              PIS a Recolher"</definedName>
    <definedName name="DEL.000.0000.201050102003">"                              ISS a Recolher"</definedName>
    <definedName name="DEL.000.0000.201080101001">"                              provisão para 13o salário"</definedName>
    <definedName name="DEL.000.0000.201080101002">"                              provisão de Ferias"</definedName>
    <definedName name="DEL.000.0000.201080101099">"                              Recebimentos a Classificar"</definedName>
    <definedName name="DEL.000.0000.21102020015">"                              ALCATEL/CEGELEC LIB 01/07"</definedName>
    <definedName name="DEL.000.0000.21102020016">"                              ALCATEL/CEGELEC LIB 08/11"</definedName>
    <definedName name="DEL.000.0000.21102020017">"                              CS ROUTE LIB 01/02"</definedName>
    <definedName name="DEL.000.0000.22102020014">"                              ALCATEL/CEGELEC LIB 01/07"</definedName>
    <definedName name="DEL.000.0000.22102020015">"                              ALCATEL/CEGELEC LIB 08/11"</definedName>
    <definedName name="DEL.000.0000.22102020016">"                              CS ROUTE LIB 01/02"</definedName>
    <definedName name="DEL.000.0000.44101010019">"                              JUROS S/ EMPRESTIMO LONGO PRAZ"</definedName>
    <definedName name="DEL.000.0000.44101020005">"                              VARIACAO CAMBIAL S/FINANCIAMEN"</definedName>
    <definedName name="DEL.000.0000.44101020008">"                              VARIACAO CAMBIAL S/FINANCIAMEN"</definedName>
    <definedName name="DEL.060.0000.1010101">"                    Caixa"</definedName>
    <definedName name="DEL.060.0000.101010105">"                         Valores a Depositar"</definedName>
    <definedName name="DEL.060.0000.1010102">"                    Bancos Conta Movimento"</definedName>
    <definedName name="DEL.060.0000.1010103">"                    Aplicações de Liquidez Imediata"</definedName>
    <definedName name="DEL.060.0000.10102">"               Contas a Receber"</definedName>
    <definedName name="DEL.060.0000.101030102001">"                              Adiantamento a Fornecedores"</definedName>
    <definedName name="DEL.060.0000.101030102002">"                              Adiantamento a Candido Ortiz"</definedName>
    <definedName name="DEL.060.0000.101030103001">"                              Adiantamento Salarial"</definedName>
    <definedName name="DEL.060.0000.101030103002">"                              Adiantamento de Ferias"</definedName>
    <definedName name="DEL.060.0000.101030103003">"                              Adiantamento de 13 Salário"</definedName>
    <definedName name="DEL.060.0000.101030103099">"                              Outros Adiantamentos"</definedName>
    <definedName name="DEL.060.0000.101030104001">"                              Adiantamentos de Despesas e Viagens"</definedName>
    <definedName name="DEL.060.0000.101040201001">"                              Imposto de Renda a Estimado a Compensar"</definedName>
    <definedName name="DEL.060.0000.101040201002">"                              Contribuição Social Estimado a Compensar"</definedName>
    <definedName name="DEL.060.0000.10106">"               Investimentos Temporários"</definedName>
    <definedName name="DEL.060.0000.10108">"               Despesas Antecipadas"</definedName>
    <definedName name="DEL.060.0000.102010201001">"                              Bradesco Reserva 329.566-4"</definedName>
    <definedName name="DEL.060.0000.102040101001">"                              IR s/ aplicações Financeiras"</definedName>
    <definedName name="DEL.060.0000.102040202001">"                              IR Diferido"</definedName>
    <definedName name="DEL.060.0000.102040202002">"                              Contribui‡Æo Social Diferido"</definedName>
    <definedName name="DEL.060.0000.102050102">"                         depósitos para Recursos Tributários"</definedName>
    <definedName name="DEL.060.0000.102050102001">"                              ISS"</definedName>
    <definedName name="DEL.060.0000.102050103">"                         Ações Cíveis"</definedName>
    <definedName name="DEL.060.0000.10206">"               Despesas Antecipadas"</definedName>
    <definedName name="DEL.060.0000.103030101">"                         mobiliários"</definedName>
    <definedName name="DEL.060.0000.103030102">"                         Equipamentos"</definedName>
    <definedName name="DEL.060.0000.103030103">"                         Veículos e Equipamentos de Atendimento a"</definedName>
    <definedName name="DEL.060.0000.103030104">"                         Sistemas"</definedName>
    <definedName name="DEL.060.0000.103030105">"                         Direitos de Uso"</definedName>
    <definedName name="DEL.060.0000.103030125">"                         Pavimentos"</definedName>
    <definedName name="DEL.060.0000.103030129">"                         Obras de Artes Correntes"</definedName>
    <definedName name="DEL.060.0000.103030131">"                         instalações e Mobilizações de Canteiros"</definedName>
    <definedName name="DEL.060.0000.103030133">"                         Outras Obras e Melhorias do Bem canses."</definedName>
    <definedName name="DEL.060.0000.103030135">"                         Iluminações e instalações Elétricas"</definedName>
    <definedName name="DEL.060.0000.103030136">"                         Sinalizações"</definedName>
    <definedName name="DEL.060.0000.103030137">"                         edificações Operacionais e de Apoio"</definedName>
    <definedName name="DEL.060.0000.103030139">"                         Serviços Preliminares / Complementares"</definedName>
    <definedName name="DEL.060.0000.103030201">"                         mobiliários"</definedName>
    <definedName name="DEL.060.0000.103030202">"                         Equipamentos"</definedName>
    <definedName name="DEL.060.0000.103030203">"                         veículos e Equipamentos de Atendimento a"</definedName>
    <definedName name="DEL.060.0000.103030204">"                         Sistemas"</definedName>
    <definedName name="DEL.060.0000.103030225">"                         Pavimentos"</definedName>
    <definedName name="DEL.060.0000.103030229">"                         Obras de Artes Correntes"</definedName>
    <definedName name="DEL.060.0000.103030231">"                         instalações e Imobilizações de Canteiros"</definedName>
    <definedName name="DEL.060.0000.103030233">"                         Outras Obras e Melhorias do Bem canses."</definedName>
    <definedName name="DEL.060.0000.103030235">"                         iluminações e instalações elétricas"</definedName>
    <definedName name="DEL.060.0000.103030236">"                         sinalizações"</definedName>
    <definedName name="DEL.060.0000.103030237">"                         edificações Operacionais e de Apoio"</definedName>
    <definedName name="DEL.060.0000.103030239">"                         serviços Preliminares / Complementares"</definedName>
    <definedName name="DEL.060.0000.103031120">"                         Obras em Andamento"</definedName>
    <definedName name="DEL.060.0000.103031199">"                         Imobilizado a Classificar"</definedName>
    <definedName name="DEL.060.0000.103040101001">"                              Gastos de Org.e Adm.-(Trab.Iniciais)"</definedName>
    <definedName name="DEL.060.0000.103040101002">"                              Gastos com Conserv. e Manut. Iniciais"</definedName>
    <definedName name="DEL.060.0000.103040101003">"                              Gastos c/atend.a Usuários Iniciais"</definedName>
    <definedName name="DEL.060.0000.103040201001">"                              Gastos de Org.e Adm.-(Trab.Iniciais)"</definedName>
    <definedName name="DEL.060.0000.103040201002">"                              Gastos c/Conserv.e Manut.Iniciais"</definedName>
    <definedName name="DEL.060.0000.103040201003">"                              Gastos c/Atend.a Usuários Iniciais"</definedName>
    <definedName name="DEL.060.0000.201010101001">"                              BNDES"</definedName>
    <definedName name="DEL.060.0000.201010102001">"                              Finep"</definedName>
    <definedName name="DEL.060.0000.201010202001">"                              Banco BCN"</definedName>
    <definedName name="DEL.060.0000.201010202002">"                              Amtech World Corporation"</definedName>
    <definedName name="DEL.060.0000.201030101001">"                              Fornecedores de Materiais"</definedName>
    <definedName name="DEL.060.0000.201030101002">"                              Fornecedores de serviços"</definedName>
    <definedName name="DEL.060.0000.201030101003">"                              Adiantamentos de Fornecedores"</definedName>
    <definedName name="DEL.060.0000.201030101004">"                              Contratos Assinados"</definedName>
    <definedName name="DEL.060.0000.201030101005">"                              Repasses a Efetuar"</definedName>
    <definedName name="DEL.060.0000.201030102002">"                              cauções Fornecedores de serviços"</definedName>
    <definedName name="DEL.060.0000.201030198001">"                              CCR-Companhia de concessões rodoviárias"</definedName>
    <definedName name="DEL.060.0000.201030201001">"                              Fornecedores de Materiais"</definedName>
    <definedName name="DEL.060.0000.201040101001">"                              salários a Pagar"</definedName>
    <definedName name="DEL.060.0000.201040101002">"                              Rescisões Trabalhistas"</definedName>
    <definedName name="DEL.060.0000.201040101003">"                              Pensão Alimentícia"</definedName>
    <definedName name="DEL.060.0000.201040101005">"                              honorários do Conselho de Administração"</definedName>
    <definedName name="DEL.060.0000.201040101006">"                              Assistência Medica"</definedName>
    <definedName name="DEL.060.0000.201040101007">"                              Pis-Pasep a Pagar (Convenio Caixa Econ)"</definedName>
    <definedName name="DEL.060.0000.201040101008">"                              PLR-Participação no Resultado a Pagar"</definedName>
    <definedName name="DEL.060.0000.201040201001">"                              INSS"</definedName>
    <definedName name="DEL.060.0000.201040201002">"                              FGTS"</definedName>
    <definedName name="DEL.060.0000.201040201003">"                              Salario Educacao"</definedName>
    <definedName name="DEL.060.0000.201040201004">"                              SESI / SENAI"</definedName>
    <definedName name="DEL.060.0000.201040202001">"                              Contribuicao Sindical"</definedName>
    <definedName name="DEL.060.0000.201040203001">"                              Seguro de Vida em Grupo"</definedName>
    <definedName name="DEL.060.0000.201050101001">"                              Imposto de Renda de Terceiros"</definedName>
    <definedName name="DEL.060.0000.201050101002">"                              INSS de Terceiros"</definedName>
    <definedName name="DEL.060.0000.201050102001">"                              COFINS a Recolher"</definedName>
    <definedName name="DEL.060.0000.201050102002">"                              PIS a Recolher"</definedName>
    <definedName name="DEL.060.0000.201050102003">"                              ISS a Recolher"</definedName>
    <definedName name="DEL.060.0000.201050102004">"                              ICMS A RECOLHER"</definedName>
    <definedName name="DEL.060.0000.201050103001">"                              Imposto de Renda Pessoa Jurídica"</definedName>
    <definedName name="DEL.060.0000.201050103002">"                              contribuição Social"</definedName>
    <definedName name="DEL.060.0000.201060101002">"                              Verba de Fiscaliza‡Æo - ANTT"</definedName>
    <definedName name="DEL.060.0000.201070101002">"                              Venda Antecipada de pedágio"</definedName>
    <definedName name="DEL.060.0000.201070101003">"                              AVI Pre-Pago"</definedName>
    <definedName name="DEL.060.0000.201070101004">"                              Explora‡Æo Comercial Fibra Ótica"</definedName>
    <definedName name="DEL.060.0000.201070102001">"                              Seguros a Pagar"</definedName>
    <definedName name="DEL.060.0000.201070198002">"                              Via Lagos - AVI"</definedName>
    <definedName name="DEL.060.0000.201070199">"                         Outras Contas a Pagar"</definedName>
    <definedName name="DEL.060.0000.201080101001">"                              provisão para 13o salário"</definedName>
    <definedName name="DEL.060.0000.201080101002">"                              provisão de Ferias"</definedName>
    <definedName name="DEL.060.0000.201080101099">"                              Recebimentos a Classificar"</definedName>
    <definedName name="DEL.060.0000.202070198002">"                              Andrade Gutierrez"</definedName>
    <definedName name="DEL.060.0000.202070198003">"                              RJ 124 - RegiÆo dos Lagos"</definedName>
    <definedName name="DEL.060.0000.202080101">"                         provisões para Encargos Sociais e Trabal"</definedName>
    <definedName name="DEL.060.0000.202100101001">"                              Adiantamento p/Futuro Aumento de Capital"</definedName>
    <definedName name="DEL.060.0000.204010101001">"                              Capital Subscrito"</definedName>
    <definedName name="DEL.060.0000.2040601">"                    Lucros ou Prejuízos Acumulados"</definedName>
    <definedName name="DEL.060.0000.204060102">"                         Resultado do Exercício"</definedName>
    <definedName name="DEL.060.0000.3">"     Receitas"</definedName>
    <definedName name="DEL.060.0000.4">"     Custos"</definedName>
    <definedName name="DEL.060.0000.5">"     Despesas Gerais e Administrativas"</definedName>
    <definedName name="DEL.070.0000.10108">"               Despesas Antecipadas"</definedName>
    <definedName name="DEL.070.0000.102010201002">"                              Bradesco Reserva 137.152-5"</definedName>
    <definedName name="DEL.070.0000.10206">"               Despesas Antecipadas"</definedName>
    <definedName name="DEL.070.0000.103020102001">"                              Outorga da CansesÆo"</definedName>
    <definedName name="DEL.070.0000.103020202001">"                              Amortiza‡Æo Outorga da cansesÆo"</definedName>
    <definedName name="DEL.070.0000.103040101001">"                              Gastos de Org.e Adm.-(Trab.Iniciais)"</definedName>
    <definedName name="DEL.070.0000.103040101002">"                              Gastos com Conserv. e Manut. Iniciais"</definedName>
    <definedName name="DEL.070.0000.103040101003">"                              Gastos c/atend.a Usuários Iniciais"</definedName>
    <definedName name="DEL.070.0000.103040201001">"                              Gastos de Org.e Adm.-(Trab.Iniciais)"</definedName>
    <definedName name="DEL.070.0000.103040201002">"                              Gastos c/Conserv.e Manut.Iniciais"</definedName>
    <definedName name="DEL.070.0000.103040201003">"                              Gastos c/Atend.a Usuários Iniciais"</definedName>
    <definedName name="DEL.070.0000.201030198001">"                              CCR-Companhia de concessões rodoviárias"</definedName>
    <definedName name="DEL.070.0000.201070101002">"                              Venda Antecipada de pedágio"</definedName>
    <definedName name="DEL.070.0000.201070101003">"                              AVI Pre-Pago"</definedName>
    <definedName name="DEL.070.0000.201070101004">"                              Explora‡Æo Comercial Fibra Ótica"</definedName>
    <definedName name="DEL.070.0000.201070102001">"                              Seguros a Pagar"</definedName>
    <definedName name="DEL.070.0000.202080101">"                         provisões para Encargos Sociais e Trabal"</definedName>
    <definedName name="DEL.070.0000.204010101001">"                              Capital Subscrito"</definedName>
    <definedName name="DEL.070.0000.3">"     Receitas"</definedName>
    <definedName name="DEL.070.0000.4">"     Custos"</definedName>
    <definedName name="DEL.070.0000.5">"     Despesas Gerais e Administrativas"</definedName>
    <definedName name="DEM_CS_DEV_2000" localSheetId="0">#REF!</definedName>
    <definedName name="DEM_CS_DEV_2000">#REF!</definedName>
    <definedName name="DEM_IR_DEV_2000" localSheetId="0">#REF!</definedName>
    <definedName name="DEM_IR_DEV_2000">#REF!</definedName>
    <definedName name="DEMO" localSheetId="0">#REF!</definedName>
    <definedName name="DEMO">#REF!</definedName>
    <definedName name="DEMONSTR" localSheetId="0">#REF!</definedName>
    <definedName name="DEMONSTR">#REF!</definedName>
    <definedName name="DEMONSTR2" localSheetId="0">#REF!</definedName>
    <definedName name="DEMONSTR2">#REF!</definedName>
    <definedName name="DEMONSTR3" localSheetId="0">#REF!</definedName>
    <definedName name="DEMONSTR3">#REF!</definedName>
    <definedName name="DEMONSTRS" localSheetId="0">#REF!</definedName>
    <definedName name="DEMONSTRS">#REF!</definedName>
    <definedName name="DEMVPR" localSheetId="0">#REF!</definedName>
    <definedName name="DEMVPR">#REF!</definedName>
    <definedName name="DEP.RECURSOS" localSheetId="0">#REF!</definedName>
    <definedName name="DEP.RECURSOS">#REF!</definedName>
    <definedName name="depcau" localSheetId="0">#REF!</definedName>
    <definedName name="depcau">#REF!</definedName>
    <definedName name="depjud" localSheetId="0">#REF!</definedName>
    <definedName name="depjud">#REF!</definedName>
    <definedName name="DEPRECIACAO" localSheetId="0">#REF!</definedName>
    <definedName name="DEPRECIACAO">#REF!</definedName>
    <definedName name="Depreciação_Acumulada" localSheetId="0">#REF!</definedName>
    <definedName name="Depreciação_Acumulada">#REF!</definedName>
    <definedName name="DER" localSheetId="0">#REF!</definedName>
    <definedName name="DER">#REF!</definedName>
    <definedName name="despant" localSheetId="0">#REF!</definedName>
    <definedName name="despant">#REF!</definedName>
    <definedName name="despantanex" localSheetId="0">#REF!</definedName>
    <definedName name="despantanex">#REF!</definedName>
    <definedName name="Despesa_Financeiras">#REF!</definedName>
    <definedName name="Despesas">#REF!,#REF!</definedName>
    <definedName name="DespesasGeraisAdm">#REF!</definedName>
    <definedName name="dewded" localSheetId="0" hidden="1">{#N/A,#N/A,FALSE,"Aging Summary";#N/A,#N/A,FALSE,"Ratio Analysis";#N/A,#N/A,FALSE,"Test 120 Day Accts";#N/A,#N/A,FALSE,"Tickmarks"}</definedName>
    <definedName name="dewded" hidden="1">{#N/A,#N/A,FALSE,"Aging Summary";#N/A,#N/A,FALSE,"Ratio Analysis";#N/A,#N/A,FALSE,"Test 120 Day Accts";#N/A,#N/A,FALSE,"Tickmarks"}</definedName>
    <definedName name="DEZ" localSheetId="0">#REF!</definedName>
    <definedName name="DEZ">#REF!</definedName>
    <definedName name="DEZEMBRO" localSheetId="0">#REF!</definedName>
    <definedName name="DEZEMBRO">#REF!</definedName>
    <definedName name="df" localSheetId="0">#REF!</definedName>
    <definedName name="df">#REF!</definedName>
    <definedName name="dflt1">#REF!</definedName>
    <definedName name="dflt2">#REF!</definedName>
    <definedName name="dflt3">#REF!</definedName>
    <definedName name="dflt4">#REF!</definedName>
    <definedName name="dflt5">#REF!</definedName>
    <definedName name="dflt6">#REF!</definedName>
    <definedName name="dflt7">#REF!</definedName>
    <definedName name="DIA" localSheetId="0">#REF!</definedName>
    <definedName name="DIA">#REF!</definedName>
    <definedName name="DIA_APLIC" localSheetId="0">#REF!</definedName>
    <definedName name="DIA_APLIC">#REF!</definedName>
    <definedName name="DIA_RESG" localSheetId="0">#REF!</definedName>
    <definedName name="DIA_RESG">#REF!</definedName>
    <definedName name="DIFERENÇA" localSheetId="0">#REF!</definedName>
    <definedName name="DIFERENÇA">#REF!</definedName>
    <definedName name="diferido" localSheetId="0">#REF!</definedName>
    <definedName name="diferido">#REF!</definedName>
    <definedName name="Difference" localSheetId="0">#REF!</definedName>
    <definedName name="Difference">#REF!</definedName>
    <definedName name="Diiferança" localSheetId="0">#REF!</definedName>
    <definedName name="Diiferança">#REF!</definedName>
    <definedName name="Disaggregations" localSheetId="0">#REF!</definedName>
    <definedName name="Disaggregations">#REF!</definedName>
    <definedName name="display_area_2" localSheetId="0">#REF!</definedName>
    <definedName name="display_area_2">#REF!</definedName>
    <definedName name="DISTRIB" localSheetId="0">#REF!</definedName>
    <definedName name="DISTRIB">#REF!</definedName>
    <definedName name="distribuido" localSheetId="0">#REF!</definedName>
    <definedName name="distribuido">#REF!</definedName>
    <definedName name="DIVGRAF1" localSheetId="0">#REF!</definedName>
    <definedName name="DIVGRAF1">#REF!</definedName>
    <definedName name="Dividendos_Jcp">#REF!</definedName>
    <definedName name="divliq" localSheetId="0">#REF!</definedName>
    <definedName name="divliq">#REF!</definedName>
    <definedName name="doaçoes" localSheetId="0">#REF!</definedName>
    <definedName name="doaçoes">#REF!</definedName>
    <definedName name="doar1" localSheetId="0">#REF!</definedName>
    <definedName name="doar1">#REF!</definedName>
    <definedName name="Dois" localSheetId="0">#REF!</definedName>
    <definedName name="Dois">#REF!</definedName>
    <definedName name="DOLAR" localSheetId="0">#REF!</definedName>
    <definedName name="DOLAR">#REF!</definedName>
    <definedName name="dolar96" localSheetId="0">#REF!</definedName>
    <definedName name="dolar96">#REF!</definedName>
    <definedName name="Dollar_Threshold" localSheetId="0">#REF!</definedName>
    <definedName name="Dollar_Threshold">#REF!</definedName>
    <definedName name="drenest" localSheetId="0">#REF!</definedName>
    <definedName name="drenest">#REF!</definedName>
    <definedName name="drenestanex" localSheetId="0">#REF!</definedName>
    <definedName name="drenestanex">#REF!</definedName>
    <definedName name="dtt" localSheetId="0" hidden="1">{#N/A,#N/A,FALSE,"Aging Summary";#N/A,#N/A,FALSE,"Ratio Analysis";#N/A,#N/A,FALSE,"Test 120 Day Accts";#N/A,#N/A,FALSE,"Tickmarks"}</definedName>
    <definedName name="dtt" hidden="1">{#N/A,#N/A,FALSE,"Aging Summary";#N/A,#N/A,FALSE,"Ratio Analysis";#N/A,#N/A,FALSE,"Test 120 Day Accts";#N/A,#N/A,FALSE,"Tickmarks"}</definedName>
    <definedName name="DUPLicatas" localSheetId="0">#REF!</definedName>
    <definedName name="DUPLicatas">#REF!</definedName>
    <definedName name="DUPLS.ARECEBER" localSheetId="0">#REF!</definedName>
    <definedName name="DUPLS.ARECEBER">#REF!</definedName>
    <definedName name="dwed" hidden="1">#REF!</definedName>
    <definedName name="DXNGBKGN" localSheetId="0" hidden="1">#REF!</definedName>
    <definedName name="DXNGBKGN" hidden="1">#REF!</definedName>
    <definedName name="E">"TV EUCALIPTO"</definedName>
    <definedName name="EAHYTHJWDRHYEJ" hidden="1">4</definedName>
    <definedName name="EBASREGW" localSheetId="0" hidden="1">#REF!</definedName>
    <definedName name="EBASREGW" hidden="1">#REF!</definedName>
    <definedName name="edew" localSheetId="0">#REF!</definedName>
    <definedName name="edew">#REF!</definedName>
    <definedName name="edse" localSheetId="0">#REF!</definedName>
    <definedName name="edse">#REF!</definedName>
    <definedName name="edweqd" hidden="1">#REF!</definedName>
    <definedName name="ee">#REF!</definedName>
    <definedName name="eedd" localSheetId="0" hidden="1">{#N/A,#N/A,TRUE,"BD 97";#N/A,#N/A,TRUE,"IR E CS 1997";#N/A,#N/A,TRUE,"CONTINGÊNCIAS";#N/A,#N/A,TRUE,"AD_EX_97";#N/A,#N/A,TRUE,"PR ND";#N/A,#N/A,TRUE,"8191";#N/A,#N/A,TRUE,"8383";#N/A,#N/A,TRUE,"MP 1024"}</definedName>
    <definedName name="eedd" hidden="1">{#N/A,#N/A,TRUE,"BD 97";#N/A,#N/A,TRUE,"IR E CS 1997";#N/A,#N/A,TRUE,"CONTINGÊNCIAS";#N/A,#N/A,TRUE,"AD_EX_97";#N/A,#N/A,TRUE,"PR ND";#N/A,#N/A,TRUE,"8191";#N/A,#N/A,TRUE,"8383";#N/A,#N/A,TRUE,"MP 1024"}</definedName>
    <definedName name="efcd" hidden="1">#REF!</definedName>
    <definedName name="Eliminiçao" localSheetId="0">LALUR!Eliminiçao</definedName>
    <definedName name="Eliminiçao">[0]!Eliminiçao</definedName>
    <definedName name="embratel" localSheetId="0">#REF!</definedName>
    <definedName name="embratel">#REF!</definedName>
    <definedName name="EMP.000">"CONCES. DA PONTE RIO NITEROI S/A (S)"</definedName>
    <definedName name="empodter" localSheetId="0">#REF!</definedName>
    <definedName name="empodter">#REF!</definedName>
    <definedName name="Empresa" localSheetId="0">#REF!</definedName>
    <definedName name="Empresa">#REF!</definedName>
    <definedName name="EMPREST.FUNC." localSheetId="0">#REF!</definedName>
    <definedName name="EMPREST.FUNC.">#REF!</definedName>
    <definedName name="Empréstimos">#REF!</definedName>
    <definedName name="ENCARGOS98" localSheetId="0">#REF!</definedName>
    <definedName name="ENCARGOS98">#REF!</definedName>
    <definedName name="ENCARGOS99" localSheetId="0">#REF!</definedName>
    <definedName name="ENCARGOS99">#REF!</definedName>
    <definedName name="ENDEREÇO" localSheetId="0">#REF!</definedName>
    <definedName name="ENDEREÇO">#REF!</definedName>
    <definedName name="EnergyProject" localSheetId="0">#REF!</definedName>
    <definedName name="EnergyProject">#REF!</definedName>
    <definedName name="Eng_Finishing" localSheetId="0">#REF!</definedName>
    <definedName name="Eng_Finishing">#REF!</definedName>
    <definedName name="Eng_General" localSheetId="0">#REF!</definedName>
    <definedName name="Eng_General">#REF!</definedName>
    <definedName name="Eng_PM3" localSheetId="0">#REF!</definedName>
    <definedName name="Eng_PM3">#REF!</definedName>
    <definedName name="Eng_PM4" localSheetId="0">#REF!</definedName>
    <definedName name="Eng_PM4">#REF!</definedName>
    <definedName name="Eng_PM5" localSheetId="0">#REF!</definedName>
    <definedName name="Eng_PM5">#REF!</definedName>
    <definedName name="Eng_PM6" localSheetId="0">#REF!</definedName>
    <definedName name="Eng_PM6">#REF!</definedName>
    <definedName name="Eng_Pulp" localSheetId="0">#REF!</definedName>
    <definedName name="Eng_Pulp">#REF!</definedName>
    <definedName name="Eng_Unidentified" localSheetId="0">#REF!</definedName>
    <definedName name="Eng_Unidentified">#REF!</definedName>
    <definedName name="Eng_Utilities" localSheetId="0">#REF!</definedName>
    <definedName name="Eng_Utilities">#REF!</definedName>
    <definedName name="ent.cdbh.cdrj">#REF!</definedName>
    <definedName name="ent.cdbh.cdsp">#REF!</definedName>
    <definedName name="ent.cdbh.porto">#REF!</definedName>
    <definedName name="ent.cdbh.uag">#REF!</definedName>
    <definedName name="ent.cdbh.ucao">#REF!</definedName>
    <definedName name="ent.cdrj.cdbh">#REF!</definedName>
    <definedName name="ent.cdrj.cdsp">#REF!</definedName>
    <definedName name="ent.cdrj.porto">#REF!</definedName>
    <definedName name="ent.cdrj.uag">#REF!</definedName>
    <definedName name="ent.cdrj.ucao">#REF!</definedName>
    <definedName name="ent.cdsp.cdbh">#REF!</definedName>
    <definedName name="ent.cdsp.cdrj">#REF!</definedName>
    <definedName name="ent.cdsp.porto">#REF!</definedName>
    <definedName name="ent.cdsp.uag">#REF!</definedName>
    <definedName name="ent.cdsp.ucao">#REF!</definedName>
    <definedName name="ent.uag.cdbh">#REF!</definedName>
    <definedName name="ent.uag.cdrj">#REF!</definedName>
    <definedName name="ent.uag.cdsp">#REF!</definedName>
    <definedName name="ent.uag.porto">#REF!</definedName>
    <definedName name="ent.uag.ucao">#REF!</definedName>
    <definedName name="ent.ucao.cdbh">#REF!</definedName>
    <definedName name="ent.ucao.cdrj">#REF!</definedName>
    <definedName name="ent.ucao.cdsp">#REF!</definedName>
    <definedName name="ent.ucao.porto">#REF!</definedName>
    <definedName name="ent.ucao.uag">#REF!</definedName>
    <definedName name="Environmental" localSheetId="0">#REF!</definedName>
    <definedName name="Environmental">#REF!</definedName>
    <definedName name="ERE">#REF!</definedName>
    <definedName name="esd" localSheetId="0">#REF!</definedName>
    <definedName name="esd">#REF!</definedName>
    <definedName name="ESTO" localSheetId="0">#REF!</definedName>
    <definedName name="ESTO">#REF!</definedName>
    <definedName name="ESTOQUES" localSheetId="0">#REF!</definedName>
    <definedName name="ESTOQUES">#REF!</definedName>
    <definedName name="estudtv" localSheetId="0">#REF!</definedName>
    <definedName name="estudtv">#REF!</definedName>
    <definedName name="estudtvanex" localSheetId="0">#REF!</definedName>
    <definedName name="estudtvanex">#REF!</definedName>
    <definedName name="ewde" hidden="1">1</definedName>
    <definedName name="Excel_BuiltIn__FilterDatabase_1">#REF!</definedName>
    <definedName name="Excel_BuiltIn__FilterDatabase_3">#REF!</definedName>
    <definedName name="Excel_BuiltIn_Print_Area_1" localSheetId="0">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2">#REF!</definedName>
    <definedName name="Excel_BuiltIn_Print_Area_1_2">#REF!</definedName>
    <definedName name="Excel_BuiltIn_Print_Area_2" localSheetId="0">#REF!</definedName>
    <definedName name="Excel_BuiltIn_Print_Area_2">#REF!</definedName>
    <definedName name="Excel_BuiltIn_Print_Area_2_1" localSheetId="0">#REF!</definedName>
    <definedName name="Excel_BuiltIn_Print_Area_2_1">#REF!</definedName>
    <definedName name="Excel_BuiltIn_Print_Area_6">#REF!</definedName>
    <definedName name="Excel_BuiltIn_Print_Area_6_4">#REF!</definedName>
    <definedName name="Excel_BuiltIn_Print_Titles_2" localSheetId="0">#REF!</definedName>
    <definedName name="Excel_BuiltIn_Print_Titles_2">#REF!</definedName>
    <definedName name="Expansion" localSheetId="0">#REF!</definedName>
    <definedName name="Expansion">#REF!</definedName>
    <definedName name="Expected_balance" localSheetId="0">#REF!</definedName>
    <definedName name="Expected_balance">#REF!</definedName>
    <definedName name="expnote" localSheetId="0">#REF!</definedName>
    <definedName name="expnote">#REF!</definedName>
    <definedName name="EXPO" localSheetId="0">#REF!</definedName>
    <definedName name="EXPO">#REF!</definedName>
    <definedName name="Exposto" localSheetId="0">LALUR!Exposto</definedName>
    <definedName name="Exposto">[0]!Exposto</definedName>
    <definedName name="f" localSheetId="0">#REF!</definedName>
    <definedName name="f">#REF!</definedName>
    <definedName name="FAIXA_TOTAL">#REF!</definedName>
    <definedName name="fat">#REF!</definedName>
    <definedName name="FATURA" localSheetId="0">#REF!</definedName>
    <definedName name="FATURA">#REF!</definedName>
    <definedName name="Faturamento">#REF!,#REF!</definedName>
    <definedName name="FB_D_PI" localSheetId="0">#REF!</definedName>
    <definedName name="FB_D_PI">#REF!</definedName>
    <definedName name="FB_D_PP" localSheetId="0">#REF!</definedName>
    <definedName name="FB_D_PP">#REF!</definedName>
    <definedName name="FB_T_PI" localSheetId="0">#REF!</definedName>
    <definedName name="FB_T_PI">#REF!</definedName>
    <definedName name="FB_T_PP" localSheetId="0">#REF!</definedName>
    <definedName name="FB_T_PP">#REF!</definedName>
    <definedName name="Felipe" hidden="1">#REF!</definedName>
    <definedName name="Felipe_2" hidden="1">#REF!</definedName>
    <definedName name="FÉRIAS" localSheetId="0">#REF!</definedName>
    <definedName name="FÉRIAS">#REF!</definedName>
    <definedName name="FEV" localSheetId="0">#REF!</definedName>
    <definedName name="FEV">#REF!</definedName>
    <definedName name="FEVEREIRO" localSheetId="0">#REF!</definedName>
    <definedName name="FEVEREIRO">#REF!</definedName>
    <definedName name="FEVEREIRO1" localSheetId="0">#REF!</definedName>
    <definedName name="FEVEREIRO1">#REF!</definedName>
    <definedName name="ff" localSheetId="0" hidden="1">{#N/A,#N/A,FALSE,"Aging Summary";#N/A,#N/A,FALSE,"Ratio Analysis";#N/A,#N/A,FALSE,"Test 120 Day Accts";#N/A,#N/A,FALSE,"Tickmarks"}</definedName>
    <definedName name="ff" hidden="1">{#N/A,#N/A,FALSE,"Aging Summary";#N/A,#N/A,FALSE,"Ratio Analysis";#N/A,#N/A,FALSE,"Test 120 Day Accts";#N/A,#N/A,FALSE,"Tickmarks"}</definedName>
    <definedName name="fff" localSheetId="0" hidden="1">{#N/A,#N/A,FALSE,"Aging Summary";#N/A,#N/A,FALSE,"Ratio Analysis";#N/A,#N/A,FALSE,"Test 120 Day Accts";#N/A,#N/A,FALSE,"Tickmarks"}</definedName>
    <definedName name="fff" hidden="1">{#N/A,#N/A,FALSE,"Aging Summary";#N/A,#N/A,FALSE,"Ratio Analysis";#N/A,#N/A,FALSE,"Test 120 Day Accts";#N/A,#N/A,FALSE,"Tickmarks"}</definedName>
    <definedName name="fgfer13sal" localSheetId="0">#REF!</definedName>
    <definedName name="fgfer13sal">#REF!</definedName>
    <definedName name="fgtsrec" localSheetId="0">#REF!</definedName>
    <definedName name="fgtsrec">#REF!</definedName>
    <definedName name="FIM" localSheetId="0">#REF!</definedName>
    <definedName name="FIM">#REF!</definedName>
    <definedName name="Financial" localSheetId="0">#REF!</definedName>
    <definedName name="Financial">#REF!</definedName>
    <definedName name="FINANCP" localSheetId="0">#REF!</definedName>
    <definedName name="FINANCP">#REF!</definedName>
    <definedName name="FINANLP" localSheetId="0">#REF!</definedName>
    <definedName name="FINANLP">#REF!</definedName>
    <definedName name="finantex" localSheetId="0">#REF!</definedName>
    <definedName name="finantex">#REF!</definedName>
    <definedName name="fjjashfja" localSheetId="0" hidden="1">#REF!</definedName>
    <definedName name="fjjashfja" hidden="1">#REF!</definedName>
    <definedName name="FLUXO1998" localSheetId="0">#REF!</definedName>
    <definedName name="FLUXO1998">#REF!</definedName>
    <definedName name="FLUXO1999" localSheetId="0">#REF!</definedName>
    <definedName name="FLUXO1999">#REF!</definedName>
    <definedName name="FLUXO98" localSheetId="0">#REF!</definedName>
    <definedName name="FLUXO98">#REF!</definedName>
    <definedName name="FLUXO99" localSheetId="0">#REF!</definedName>
    <definedName name="FLUXO99">#REF!</definedName>
    <definedName name="FN_D_PI" localSheetId="0">#REF!</definedName>
    <definedName name="FN_D_PI">#REF!</definedName>
    <definedName name="FN_T_PI" localSheetId="0">#REF!</definedName>
    <definedName name="FN_T_PI">#REF!</definedName>
    <definedName name="FOLHA" localSheetId="0">#REF!</definedName>
    <definedName name="FOLHA">#REF!</definedName>
    <definedName name="FORMS" localSheetId="0">#REF!</definedName>
    <definedName name="FORMS">#REF!</definedName>
    <definedName name="fornac" localSheetId="0">#REF!</definedName>
    <definedName name="fornac">#REF!</definedName>
    <definedName name="fornecedroes" hidden="1">1</definedName>
    <definedName name="fornint" localSheetId="0">#REF!</definedName>
    <definedName name="fornint">#REF!</definedName>
    <definedName name="FRETES" localSheetId="0">#REF!</definedName>
    <definedName name="FRETES">#REF!</definedName>
    <definedName name="G">16</definedName>
    <definedName name="G6p1" localSheetId="0">#REF!</definedName>
    <definedName name="G6p1">#REF!</definedName>
    <definedName name="garça" localSheetId="0">#REF!</definedName>
    <definedName name="garça">#REF!</definedName>
    <definedName name="geral" localSheetId="0">#REF!</definedName>
    <definedName name="geral">#REF!</definedName>
    <definedName name="gg">#REF!</definedName>
    <definedName name="ggg" localSheetId="0" hidden="1">{#N/A,#N/A,FALSE,"Aging Summary";#N/A,#N/A,FALSE,"Ratio Analysis";#N/A,#N/A,FALSE,"Test 120 Day Accts";#N/A,#N/A,FALSE,"Tickmarks"}</definedName>
    <definedName name="ggg" hidden="1">{#N/A,#N/A,FALSE,"Aging Summary";#N/A,#N/A,FALSE,"Ratio Analysis";#N/A,#N/A,FALSE,"Test 120 Day Accts";#N/A,#N/A,FALSE,"Tickmarks"}</definedName>
    <definedName name="GRANDE" localSheetId="0">#REF!,#REF!,#REF!,#REF!,#REF!,#REF!,#REF!,#REF!,#REF!,#REF!,#REF!,#REF!,#REF!</definedName>
    <definedName name="GRANDE">#REF!,#REF!,#REF!,#REF!,#REF!,#REF!,#REF!,#REF!,#REF!,#REF!,#REF!,#REF!,#REF!</definedName>
    <definedName name="_xlnm.Recorder" localSheetId="0">#REF!</definedName>
    <definedName name="_xlnm.Recorder">#REF!</definedName>
    <definedName name="GrpAcct1" hidden="1">"5611"</definedName>
    <definedName name="GrpAcct2" hidden="1">"5612"</definedName>
    <definedName name="GrpLevel" hidden="1">2</definedName>
    <definedName name="guaxupe" localSheetId="0">#REF!</definedName>
    <definedName name="guaxupe">#REF!</definedName>
    <definedName name="GWSGWETH" localSheetId="0" hidden="1">#REF!</definedName>
    <definedName name="GWSGWETH" hidden="1">#REF!</definedName>
    <definedName name="h">4</definedName>
    <definedName name="Headings" localSheetId="0">#REF!</definedName>
    <definedName name="Headings">#REF!</definedName>
    <definedName name="helprr">#REF!</definedName>
    <definedName name="HG" hidden="1">#REF!</definedName>
    <definedName name="hh">#REF!</definedName>
    <definedName name="hhh" localSheetId="0" hidden="1">{#N/A,#N/A,FALSE,"Aging Summary";#N/A,#N/A,FALSE,"Ratio Analysis";#N/A,#N/A,FALSE,"Test 120 Day Accts";#N/A,#N/A,FALSE,"Tickmarks"}</definedName>
    <definedName name="hhh" hidden="1">{#N/A,#N/A,FALSE,"Aging Summary";#N/A,#N/A,FALSE,"Ratio Analysis";#N/A,#N/A,FALSE,"Test 120 Day Accts";#N/A,#N/A,FALSE,"Tickmarks"}</definedName>
    <definedName name="HI" localSheetId="0" hidden="1">#REF!</definedName>
    <definedName name="HI" hidden="1">#REF!</definedName>
    <definedName name="HTML_CodePage" hidden="1">1252</definedName>
    <definedName name="HTML_Control" localSheetId="0" hidden="1">{"'RESUMO'!$A$1:$H$41"}</definedName>
    <definedName name="HTML_Control" hidden="1">{"'RESUMO'!$A$1:$H$41"}</definedName>
    <definedName name="HTML_Description" hidden="1">""</definedName>
    <definedName name="HTML_Email" hidden="1">""</definedName>
    <definedName name="HTML_Header" hidden="1">""</definedName>
    <definedName name="HTML_LastUpdate" hidden="1">"11/09/00"</definedName>
    <definedName name="HTML_LineAfter" hidden="1">FALSE</definedName>
    <definedName name="HTML_LineBefore" hidden="1">FALSE</definedName>
    <definedName name="HTML_Name" hidden="1">"Socil Guyomarc'h Ind. Com. Lt"</definedName>
    <definedName name="HTML_OBDlg2" hidden="1">TRUE</definedName>
    <definedName name="HTML_OBDlg4" hidden="1">TRUE</definedName>
    <definedName name="HTML_OS" hidden="1">0</definedName>
    <definedName name="HTML_PathFile" hidden="1">"G:\DAF\FIN\Cesar\S.L.Mata\110900.htm"</definedName>
    <definedName name="HTML_Title" hidden="1">"POSIÇÃO CAIXA"</definedName>
    <definedName name="I" localSheetId="0">#REF!</definedName>
    <definedName name="I">#REF!</definedName>
    <definedName name="I.R._FEDERAL" localSheetId="0">#REF!</definedName>
    <definedName name="I.R._FEDERAL">#REF!</definedName>
    <definedName name="I_RENDA" localSheetId="0">#REF!</definedName>
    <definedName name="I_RENDA">#REF!</definedName>
    <definedName name="IA" localSheetId="0">#REF!</definedName>
    <definedName name="IA">#REF!</definedName>
    <definedName name="IFCA1" localSheetId="0">#REF!</definedName>
    <definedName name="IFCA1">#REF!</definedName>
    <definedName name="IFCA6" localSheetId="0">#REF!</definedName>
    <definedName name="IFCA6">#REF!</definedName>
    <definedName name="IFCA7" localSheetId="0">#REF!</definedName>
    <definedName name="IFCA7">#REF!</definedName>
    <definedName name="IFCB6" localSheetId="0">#REF!</definedName>
    <definedName name="IFCB6">#REF!</definedName>
    <definedName name="IFCB7" localSheetId="0">#REF!</definedName>
    <definedName name="IFCB7">#REF!</definedName>
    <definedName name="IFCB7.1" localSheetId="0">#REF!</definedName>
    <definedName name="IFCB7.1">#REF!</definedName>
    <definedName name="ii">#REF!</definedName>
    <definedName name="IJFLUYF" localSheetId="0" hidden="1">#REF!</definedName>
    <definedName name="IJFLUYF" hidden="1">#REF!</definedName>
    <definedName name="imobiliz" localSheetId="0">#REF!</definedName>
    <definedName name="imobiliz">#REF!</definedName>
    <definedName name="IMOBILIZA01" localSheetId="0">#REF!</definedName>
    <definedName name="IMOBILIZA01">#REF!</definedName>
    <definedName name="IMOBILIZA02" localSheetId="0">#REF!</definedName>
    <definedName name="IMOBILIZA02">#REF!</definedName>
    <definedName name="IMOBILIZADO" localSheetId="0">#REF!</definedName>
    <definedName name="IMOBILIZADO">#REF!</definedName>
    <definedName name="impand" localSheetId="0">#REF!</definedName>
    <definedName name="impand">#REF!</definedName>
    <definedName name="IMPATUAL" localSheetId="0">#REF!</definedName>
    <definedName name="IMPATUAL">#REF!</definedName>
    <definedName name="IMPORTMONTHNO" localSheetId="0">#REF!</definedName>
    <definedName name="IMPORTMONTHNO">#REF!</definedName>
    <definedName name="Imposto_Diferido">#REF!</definedName>
    <definedName name="Impressao">#REF!</definedName>
    <definedName name="IMPRIME_BANCO_D" localSheetId="0">#REF!</definedName>
    <definedName name="IMPRIME_BANCO_D">#REF!</definedName>
    <definedName name="IMPRIME_RECIBOS" localSheetId="0">#REF!</definedName>
    <definedName name="IMPRIME_RECIBOS">#REF!</definedName>
    <definedName name="IMPRIMIR" localSheetId="0">#REF!</definedName>
    <definedName name="IMPRIMIR">#REF!</definedName>
    <definedName name="Ina" localSheetId="0">#REF!</definedName>
    <definedName name="Ina">#REF!</definedName>
    <definedName name="INCENTIVOS" localSheetId="0">#REF!</definedName>
    <definedName name="INCENTIVOS">#REF!</definedName>
    <definedName name="incio_comprom" localSheetId="0">#REF!</definedName>
    <definedName name="incio_comprom">#REF!</definedName>
    <definedName name="INCOME" localSheetId="0">#REF!</definedName>
    <definedName name="INCOME">#REF!</definedName>
    <definedName name="indices">#REF!</definedName>
    <definedName name="indsegrec" localSheetId="0">#REF!</definedName>
    <definedName name="indsegrec">#REF!</definedName>
    <definedName name="INFOR" localSheetId="0">#REF!</definedName>
    <definedName name="INFOR">#REF!</definedName>
    <definedName name="INICIO" localSheetId="0">#REF!</definedName>
    <definedName name="INICIO">#REF!</definedName>
    <definedName name="Inicio_comprom" localSheetId="0">#REF!</definedName>
    <definedName name="Inicio_comprom">#REF!</definedName>
    <definedName name="Início_do_Empréstimo">#REF!</definedName>
    <definedName name="inssfer13" localSheetId="0">#REF!</definedName>
    <definedName name="inssfer13">#REF!</definedName>
    <definedName name="inssrec" localSheetId="0">#REF!</definedName>
    <definedName name="inssrec">#REF!</definedName>
    <definedName name="Intangível">#REF!</definedName>
    <definedName name="interm_level" localSheetId="0">#REF!</definedName>
    <definedName name="interm_level">#REF!</definedName>
    <definedName name="INV" localSheetId="0">#REF!</definedName>
    <definedName name="INV">#REF!</definedName>
    <definedName name="INVESCOLIG" localSheetId="0">#REF!</definedName>
    <definedName name="INVESCOLIG">#REF!</definedName>
    <definedName name="investim" localSheetId="0">#REF!</definedName>
    <definedName name="investim">#REF!</definedName>
    <definedName name="Investimentos">#REF!</definedName>
    <definedName name="INVESTIOUTROS" localSheetId="0">#REF!</definedName>
    <definedName name="INVESTIOUTROS">#REF!</definedName>
    <definedName name="IR_DIFERIDO_CONS_DRE_ACUM_ANT">#REF!</definedName>
    <definedName name="IR_DIFERIDO_CONS_DRE_T_ANT">#REF!</definedName>
    <definedName name="irativo">#REF!</definedName>
    <definedName name="IReCS_Compensar">#REF!</definedName>
    <definedName name="IReCS_CorrentesDRE">#REF!</definedName>
    <definedName name="IReCS_CorrentesPassivo">#REF!</definedName>
    <definedName name="IReCS_DiferidoPassivo">#REF!</definedName>
    <definedName name="IReCS_DiferidosDRE">#REF!</definedName>
    <definedName name="IRIS" localSheetId="0">#REF!</definedName>
    <definedName name="IRIS">#REF!</definedName>
    <definedName name="irpassivo">#REF!</definedName>
    <definedName name="IRPJ1" localSheetId="0">#REF!</definedName>
    <definedName name="IRPJ1">#REF!</definedName>
    <definedName name="IRPJ2" localSheetId="0">#REF!</definedName>
    <definedName name="IRPJ2">#REF!</definedName>
    <definedName name="IRPJ3" localSheetId="0">#REF!</definedName>
    <definedName name="IRPJ3">#REF!</definedName>
    <definedName name="IRPJ98" localSheetId="0" hidden="1">{#N/A,#N/A,FALSE,"IR E CS 1997";#N/A,#N/A,FALSE,"PR ND";#N/A,#N/A,FALSE,"8191";#N/A,#N/A,FALSE,"8383";#N/A,#N/A,FALSE,"MP 1024";#N/A,#N/A,FALSE,"AD_EX_97";#N/A,#N/A,FALSE,"BD 97"}</definedName>
    <definedName name="IRPJ98" hidden="1">{#N/A,#N/A,FALSE,"IR E CS 1997";#N/A,#N/A,FALSE,"PR ND";#N/A,#N/A,FALSE,"8191";#N/A,#N/A,FALSE,"8383";#N/A,#N/A,FALSE,"MP 1024";#N/A,#N/A,FALSE,"AD_EX_97";#N/A,#N/A,FALSE,"BD 97"}</definedName>
    <definedName name="irpjmaianex" localSheetId="0">#REF!</definedName>
    <definedName name="irpjmaianex">#REF!</definedName>
    <definedName name="irpjmaior" localSheetId="0">#REF!</definedName>
    <definedName name="irpjmaior">#REF!</definedName>
    <definedName name="irrfrecu" localSheetId="0">#REF!</definedName>
    <definedName name="irrfrecu">#REF!</definedName>
    <definedName name="irrfrecuanex" localSheetId="0">#REF!</definedName>
    <definedName name="irrfrecuanex">#REF!</definedName>
    <definedName name="isa" localSheetId="0" hidden="1">{#N/A,#N/A,TRUE,"BD 97";#N/A,#N/A,TRUE,"IR E CS 1997";#N/A,#N/A,TRUE,"CONTINGÊNCIAS";#N/A,#N/A,TRUE,"AD_EX_97";#N/A,#N/A,TRUE,"PR ND";#N/A,#N/A,TRUE,"8191";#N/A,#N/A,TRUE,"8383";#N/A,#N/A,TRUE,"MP 1024"}</definedName>
    <definedName name="isa" hidden="1">{#N/A,#N/A,TRUE,"BD 97";#N/A,#N/A,TRUE,"IR E CS 1997";#N/A,#N/A,TRUE,"CONTINGÊNCIAS";#N/A,#N/A,TRUE,"AD_EX_97";#N/A,#N/A,TRUE,"PR ND";#N/A,#N/A,TRUE,"8191";#N/A,#N/A,TRUE,"8383";#N/A,#N/A,TRUE,"MP 1024"}</definedName>
    <definedName name="issrec" localSheetId="0">#REF!</definedName>
    <definedName name="issrec">#REF!</definedName>
    <definedName name="iu">#REF!</definedName>
    <definedName name="j" localSheetId="0">#REF!</definedName>
    <definedName name="j">#REF!</definedName>
    <definedName name="JAN" localSheetId="0">#REF!</definedName>
    <definedName name="JAN">#REF!</definedName>
    <definedName name="JAN_A_MAIO_99" localSheetId="0">#REF!</definedName>
    <definedName name="JAN_A_MAIO_99">#REF!</definedName>
    <definedName name="JANEIRO" localSheetId="0">#REF!</definedName>
    <definedName name="JANEIRO">#REF!</definedName>
    <definedName name="JANEIRO1" localSheetId="0">#REF!</definedName>
    <definedName name="JANEIRO1">#REF!</definedName>
    <definedName name="jj">#REF!</definedName>
    <definedName name="JKHZDG" localSheetId="0" hidden="1">#REF!</definedName>
    <definedName name="JKHZDG" hidden="1">#REF!</definedName>
    <definedName name="jmnlkml" localSheetId="0">#REF!</definedName>
    <definedName name="jmnlkml">#REF!</definedName>
    <definedName name="jn">#REF!</definedName>
    <definedName name="JO" localSheetId="0">#REF!</definedName>
    <definedName name="JO">#REF!</definedName>
    <definedName name="jop" localSheetId="0">#REF!</definedName>
    <definedName name="jop">#REF!</definedName>
    <definedName name="JUDICIAIS" localSheetId="0">#REF!</definedName>
    <definedName name="JUDICIAIS">#REF!</definedName>
    <definedName name="JUL" localSheetId="0">#REF!</definedName>
    <definedName name="JUL">#REF!</definedName>
    <definedName name="Julho" localSheetId="0">#REF!</definedName>
    <definedName name="Julho">#REF!</definedName>
    <definedName name="JUN" localSheetId="0">#REF!</definedName>
    <definedName name="JUN">#REF!</definedName>
    <definedName name="Junho" localSheetId="0">#REF!</definedName>
    <definedName name="Junho">#REF!</definedName>
    <definedName name="k" localSheetId="0" hidden="1">{#N/A,#N/A,FALSE,"Aging Summary";#N/A,#N/A,FALSE,"Ratio Analysis";#N/A,#N/A,FALSE,"Test 120 Day Accts";#N/A,#N/A,FALSE,"Tickmarks"}</definedName>
    <definedName name="k" hidden="1">{#N/A,#N/A,FALSE,"Aging Summary";#N/A,#N/A,FALSE,"Ratio Analysis";#N/A,#N/A,FALSE,"Test 120 Day Accts";#N/A,#N/A,FALSE,"Tickmarks"}</definedName>
    <definedName name="KGZFKJSZKJGD" hidden="1">1</definedName>
    <definedName name="KHFSLFHGA" localSheetId="0" hidden="1">#REF!</definedName>
    <definedName name="KHFSLFHGA" hidden="1">#REF!</definedName>
    <definedName name="KHSKFASKLF" localSheetId="0" hidden="1">#REF!</definedName>
    <definedName name="KHSKFASKLF" hidden="1">#REF!</definedName>
    <definedName name="kilometragem">#REF!</definedName>
    <definedName name="KJFDGLS" localSheetId="0" hidden="1">#REF!</definedName>
    <definedName name="KJFDGLS" hidden="1">#REF!</definedName>
    <definedName name="kk">#REF!</definedName>
    <definedName name="KKFGSDKJGFLKS" localSheetId="0" hidden="1">#REF!</definedName>
    <definedName name="KKFGSDKJGFLKS" hidden="1">#REF!</definedName>
    <definedName name="kl" localSheetId="0" hidden="1">#REF!</definedName>
    <definedName name="kl" hidden="1">#REF!</definedName>
    <definedName name="KLKZDLKSGF" localSheetId="0" hidden="1">#REF!</definedName>
    <definedName name="KLKZDLKSGF" hidden="1">#REF!</definedName>
    <definedName name="ksdf" hidden="1">1</definedName>
    <definedName name="KSFKASKF" localSheetId="0" hidden="1">#REF!</definedName>
    <definedName name="KSFKASKF" hidden="1">#REF!</definedName>
    <definedName name="L_" localSheetId="0">#REF!</definedName>
    <definedName name="L_">#REF!</definedName>
    <definedName name="L_Adjust">#REF!</definedName>
    <definedName name="L_age_tol">#REF!</definedName>
    <definedName name="L_AJE_Tot">#REF!</definedName>
    <definedName name="L_CY_Beg">#REF!</definedName>
    <definedName name="L_CY_End">#REF!</definedName>
    <definedName name="L_PY_End">#REF!</definedName>
    <definedName name="L_RJE_Tot">#REF!</definedName>
    <definedName name="LANC" localSheetId="0">#REF!</definedName>
    <definedName name="LANC">#REF!</definedName>
    <definedName name="LandAcquisition" localSheetId="0">#REF!</definedName>
    <definedName name="LandAcquisition">#REF!</definedName>
    <definedName name="LI">#REF!</definedName>
    <definedName name="Liabilities" localSheetId="0">LALUR!Liabilities</definedName>
    <definedName name="Liabilities">[0]!Liabilities</definedName>
    <definedName name="LIANA" localSheetId="0">#REF!</definedName>
    <definedName name="LIANA">#REF!</definedName>
    <definedName name="LIBA1" localSheetId="0">#REF!</definedName>
    <definedName name="LIBA1">#REF!</definedName>
    <definedName name="Libor" localSheetId="0">#REF!</definedName>
    <definedName name="Libor">#REF!</definedName>
    <definedName name="Linha_de_Título">ROW(#REF!)</definedName>
    <definedName name="Liquidado" localSheetId="0">#REF!</definedName>
    <definedName name="Liquidado">#REF!</definedName>
    <definedName name="Liquido">#REF!,#REF!</definedName>
    <definedName name="LIXO" localSheetId="0">#REF!</definedName>
    <definedName name="LIXO">#REF!</definedName>
    <definedName name="LK" hidden="1">#REF!</definedName>
    <definedName name="LKTE" hidden="1">#REF!</definedName>
    <definedName name="ll">#REF!</definedName>
    <definedName name="LL_CONS_DRE_ACUM_ANT">#REF!</definedName>
    <definedName name="LL_CONS_DRE_ACUM_ATUAL">#REF!</definedName>
    <definedName name="LL_CONS_DRE_T_ANT">#REF!</definedName>
    <definedName name="LL_CONS_DRE_T_ATUAL">#REF!</definedName>
    <definedName name="LL_CONTROLADORES_DRE_ACUM_ANT">#REF!</definedName>
    <definedName name="LL_CONTROLADORES_DRE_ACUM_ATUAL">#REF!</definedName>
    <definedName name="LL_CONTROLADORES_DRE_T_ANT">#REF!</definedName>
    <definedName name="LL_CONTROLADORES_DRE_T_ATUAL">#REF!</definedName>
    <definedName name="LL_NÃO_CONTR_DRE_ACUM_ANT">#REF!</definedName>
    <definedName name="LL_NÃO_CONTR_DRE_ACUM_ATUAL">#REF!</definedName>
    <definedName name="LL_NÃO_CONTR_DRE_T_ANT">#REF!</definedName>
    <definedName name="LL_NÃO_CONTR_DRE_T_ATUAL">#REF!</definedName>
    <definedName name="LO_D_PI" localSheetId="0">#REF!</definedName>
    <definedName name="LO_D_PI">#REF!</definedName>
    <definedName name="LO_T_PI" localSheetId="0">#REF!</definedName>
    <definedName name="LO_T_PI">#REF!</definedName>
    <definedName name="LOANCSROUTE" localSheetId="0">#REF!</definedName>
    <definedName name="LOANCSROUTE">#REF!</definedName>
    <definedName name="LOANCSROUTEJUROS" localSheetId="0">#REF!</definedName>
    <definedName name="LOANCSROUTEJUROS">#REF!</definedName>
    <definedName name="LP" localSheetId="0" hidden="1">#REF!</definedName>
    <definedName name="LP" hidden="1">#REF!</definedName>
    <definedName name="LPRAZO" localSheetId="0">#REF!</definedName>
    <definedName name="LPRAZO">#REF!</definedName>
    <definedName name="LSRange1" localSheetId="0">#REF!</definedName>
    <definedName name="LSRange1">#REF!</definedName>
    <definedName name="LSRange1Balance" localSheetId="0">#REF!</definedName>
    <definedName name="LSRange1Balance">#REF!</definedName>
    <definedName name="LSRange2" localSheetId="0">#REF!</definedName>
    <definedName name="LSRange2">#REF!</definedName>
    <definedName name="LSRange2Balance" localSheetId="0">#REF!</definedName>
    <definedName name="LSRange2Balance">#REF!</definedName>
    <definedName name="Lu" localSheetId="0">LALUR!Lu</definedName>
    <definedName name="Lu">[0]!Lu</definedName>
    <definedName name="lucas" localSheetId="0">#REF!</definedName>
    <definedName name="lucas">#REF!</definedName>
    <definedName name="Lucro_NãoControlador">#REF!</definedName>
    <definedName name="Luiz" localSheetId="0">#REF!</definedName>
    <definedName name="Luiz">#REF!</definedName>
    <definedName name="M" localSheetId="0" hidden="1">{#N/A,#N/A,FALSE,"Aging Summary";#N/A,#N/A,FALSE,"Ratio Analysis";#N/A,#N/A,FALSE,"Test 120 Day Accts";#N/A,#N/A,FALSE,"Tickmarks"}</definedName>
    <definedName name="M" hidden="1">{#N/A,#N/A,FALSE,"Aging Summary";#N/A,#N/A,FALSE,"Ratio Analysis";#N/A,#N/A,FALSE,"Test 120 Day Accts";#N/A,#N/A,FALSE,"Tickmarks"}</definedName>
    <definedName name="Mach" localSheetId="0">#REF!</definedName>
    <definedName name="Mach">#REF!</definedName>
    <definedName name="Macro1" localSheetId="0">#REF!</definedName>
    <definedName name="Macro1">#REF!</definedName>
    <definedName name="MAI" localSheetId="0">#REF!</definedName>
    <definedName name="MAI">#REF!</definedName>
    <definedName name="MAIN" localSheetId="0">#REF!,#REF!,#REF!,#REF!</definedName>
    <definedName name="MAIN">#REF!,#REF!,#REF!,#REF!</definedName>
    <definedName name="Maintenance" localSheetId="0">#REF!</definedName>
    <definedName name="Maintenance">#REF!</definedName>
    <definedName name="MAIO" localSheetId="0">#REF!</definedName>
    <definedName name="MAIO">#REF!</definedName>
    <definedName name="MAIO1" localSheetId="0">#REF!</definedName>
    <definedName name="MAIO1">#REF!</definedName>
    <definedName name="MAPA01" localSheetId="0">#REF!</definedName>
    <definedName name="MAPA01">#REF!</definedName>
    <definedName name="MAPA02" localSheetId="0">#REF!</definedName>
    <definedName name="MAPA02">#REF!</definedName>
    <definedName name="MAPA03" localSheetId="0">#REF!</definedName>
    <definedName name="MAPA03">#REF!</definedName>
    <definedName name="MAR" localSheetId="0">#REF!</definedName>
    <definedName name="MAR">#REF!</definedName>
    <definedName name="MARCO" localSheetId="0">#REF!</definedName>
    <definedName name="MARCO">#REF!</definedName>
    <definedName name="MARCO1" localSheetId="0">#REF!</definedName>
    <definedName name="MARCO1">#REF!</definedName>
    <definedName name="MARI" localSheetId="0">#REF!</definedName>
    <definedName name="MARI">#REF!</definedName>
    <definedName name="MARIA" localSheetId="0">#REF!</definedName>
    <definedName name="MARIA">#REF!</definedName>
    <definedName name="matenvco" localSheetId="0">#REF!</definedName>
    <definedName name="matenvco">#REF!</definedName>
    <definedName name="materde" localSheetId="0">#REF!</definedName>
    <definedName name="materde">#REF!</definedName>
    <definedName name="materdet" localSheetId="0">#REF!</definedName>
    <definedName name="materdet">#REF!</definedName>
    <definedName name="Materials" localSheetId="0">#REF!</definedName>
    <definedName name="Materials">#REF!</definedName>
    <definedName name="matprom" localSheetId="0">#REF!</definedName>
    <definedName name="matprom">#REF!</definedName>
    <definedName name="mattedem" localSheetId="0">#REF!</definedName>
    <definedName name="mattedem">#REF!</definedName>
    <definedName name="MEMÓRIA_DE_CALC_COMPENSAÇÃO_INDÉBITO_CONT_PREV_COMPARATIVO" localSheetId="0">#REF!</definedName>
    <definedName name="MEMÓRIA_DE_CALC_COMPENSAÇÃO_INDÉBITO_CONT_PREV_COMPARATIVO">#REF!</definedName>
    <definedName name="mencli" localSheetId="0">#REF!</definedName>
    <definedName name="mencli">#REF!</definedName>
    <definedName name="MENSAGEM" localSheetId="0">#REF!</definedName>
    <definedName name="MENSAGEM">#REF!</definedName>
    <definedName name="MENU" localSheetId="0">#REF!</definedName>
    <definedName name="MENU">#REF!</definedName>
    <definedName name="MENU1" localSheetId="0">#REF!</definedName>
    <definedName name="MENU1">#REF!</definedName>
    <definedName name="MENU2" localSheetId="0">#REF!</definedName>
    <definedName name="MENU2">#REF!</definedName>
    <definedName name="MENUALTERA" localSheetId="0">#REF!</definedName>
    <definedName name="MENUALTERA">#REF!</definedName>
    <definedName name="MENUIMPR" localSheetId="0">#REF!</definedName>
    <definedName name="MENUIMPR">#REF!</definedName>
    <definedName name="MENUOH" localSheetId="0">#REF!</definedName>
    <definedName name="MENUOH">#REF!</definedName>
    <definedName name="MES" localSheetId="0">#REF!</definedName>
    <definedName name="MES">#REF!</definedName>
    <definedName name="MES_APLIC" localSheetId="0">#REF!</definedName>
    <definedName name="MES_APLIC">#REF!</definedName>
    <definedName name="MES_ENTR" localSheetId="0">#REF!</definedName>
    <definedName name="MES_ENTR">#REF!</definedName>
    <definedName name="MES_RESG" localSheetId="0">#REF!</definedName>
    <definedName name="MES_RESG">#REF!</definedName>
    <definedName name="MESES">#N/A</definedName>
    <definedName name="MIDIA" localSheetId="0">#REF!</definedName>
    <definedName name="MIDIA">#REF!</definedName>
    <definedName name="MIL" localSheetId="0">#REF!</definedName>
    <definedName name="MIL">#REF!</definedName>
    <definedName name="MILER" localSheetId="0">#REF!</definedName>
    <definedName name="MILER">#REF!</definedName>
    <definedName name="Mill" localSheetId="0">#REF!</definedName>
    <definedName name="Mill">#REF!</definedName>
    <definedName name="MIN" localSheetId="0">#REF!</definedName>
    <definedName name="MIN">#REF!</definedName>
    <definedName name="ml\" localSheetId="0">#REF!</definedName>
    <definedName name="ml\">#REF!</definedName>
    <definedName name="mm" localSheetId="0">#REF!</definedName>
    <definedName name="mm">#REF!</definedName>
    <definedName name="MN" localSheetId="0">#REF!</definedName>
    <definedName name="MN">#REF!</definedName>
    <definedName name="Monetary_Precision" localSheetId="0">#REF!</definedName>
    <definedName name="Monetary_Precision">#REF!</definedName>
    <definedName name="monitor_14" localSheetId="0">#REF!</definedName>
    <definedName name="monitor_14">#REF!</definedName>
    <definedName name="Month" localSheetId="0">#REF!</definedName>
    <definedName name="Month">#REF!</definedName>
    <definedName name="MOV.000.C.0.00.0000.00.00.13202">0</definedName>
    <definedName name="MOV.000.C.0.00.0000.00.00.132020001">0</definedName>
    <definedName name="MOV.000.C.0.00.0000.00.00.132020003">0</definedName>
    <definedName name="MOV.000.C.0.00.0000.00.00.24401010001">615712.52999973</definedName>
    <definedName name="MOV.000.C.0.00.0000.00.00.24401010002">61571.25</definedName>
    <definedName name="MOV.000.C.0.00.0000.00.00.4510101">6937.13</definedName>
    <definedName name="MOV.000.C.0.00.0000.00.00.D1074">3439383.08001709</definedName>
    <definedName name="MOV.000.C.0.00.0000.00.00.D1075">84926.49000001</definedName>
    <definedName name="MOV.000.C.0.00.0000.00.01.24401010001">878</definedName>
    <definedName name="MOV.000.C.0.00.2000.00.00.24401010001">615712.52999973</definedName>
    <definedName name="MOV.000.C.0.00.2000.00.00.24401010002">61571.25</definedName>
    <definedName name="MOV.000.C.0.00.2000.00.00.4510101">0</definedName>
    <definedName name="MOV.000.C.0.00.2001.00.01.24401010001">878</definedName>
    <definedName name="MOV.000.C.0.01.0000.00.00.D1074">3439383.08001709</definedName>
    <definedName name="MOV.000.C.0.01.0000.00.00.D1075">84926.49000001</definedName>
    <definedName name="MOV.000.C.0.01.0000.00.01.D1074">3439</definedName>
    <definedName name="MOV.000.C.0.01.0000.00.01.D1075">85</definedName>
    <definedName name="MOV.000.C.0.01.0000.00.01.D1076">1646</definedName>
    <definedName name="MOV.000.C.0.01.0000.00.01.D997">5051</definedName>
    <definedName name="MOV.000.C.0.01.2001.00.01.44101010019">-326</definedName>
    <definedName name="MOV.000.C.0.01.2001.00.01.44101020008">-1321</definedName>
    <definedName name="MOV.000.C.0.02.0000.00.01.D1074">-3473</definedName>
    <definedName name="MOV.000.C.0.02.0000.00.01.D1075">-269</definedName>
    <definedName name="MOV.000.C.0.02.0000.00.01.D1076">6523</definedName>
    <definedName name="MOV.000.C.0.02.0000.00.01.D997">5030</definedName>
    <definedName name="MOV.000.C.0.02.1999.00.00.241010001">0</definedName>
    <definedName name="MOV.000.C.0.02.2001.00.01.44101010019">-289</definedName>
    <definedName name="MOV.000.C.0.02.2001.00.01.44101020008">-6234</definedName>
    <definedName name="MOV.000.C.0.03.0000.00.00.4510101">188.42</definedName>
    <definedName name="MOV.000.C.0.03.0000.00.01.311">25089</definedName>
    <definedName name="MOV.000.C.0.03.0000.00.01.312">903</definedName>
    <definedName name="MOV.000.C.0.03.0000.00.01.D1074">-5358</definedName>
    <definedName name="MOV.000.C.0.03.0000.00.01.D1075">-2243</definedName>
    <definedName name="MOV.000.C.0.03.0000.00.01.D1076">9160</definedName>
    <definedName name="MOV.000.C.0.03.0000.00.01.D997">5019</definedName>
    <definedName name="MOV.000.C.0.03.2000.00.00.4510101">-2223.02</definedName>
    <definedName name="MOV.000.C.0.03.2001.00.01.44101010019">-313</definedName>
    <definedName name="MOV.000.C.0.03.2001.00.01.44101020008">-8847</definedName>
    <definedName name="MOV.000.C.0.04.0000.00.01.311">24096</definedName>
    <definedName name="MOV.000.C.0.04.0000.00.01.312">431</definedName>
    <definedName name="MOV.000.C.0.04.0000.00.01.32">-2079</definedName>
    <definedName name="MOV.000.C.0.04.0000.00.01.34">74</definedName>
    <definedName name="MOV.000.C.0.04.0000.00.01.41">-13478</definedName>
    <definedName name="MOV.000.C.0.04.0000.00.01.42">-2860</definedName>
    <definedName name="MOV.000.C.0.04.0000.00.01.45">0</definedName>
    <definedName name="MOV.000.C.0.04.0000.00.01.47101010001">-103</definedName>
    <definedName name="MOV.000.C.0.04.0000.00.01.47101010002">-79</definedName>
    <definedName name="MOV.000.C.0.04.0000.00.01.D1074">412</definedName>
    <definedName name="MOV.000.C.0.04.0000.00.01.D1075">183</definedName>
    <definedName name="MOV.000.C.0.04.0000.00.01.D1076">2008</definedName>
    <definedName name="MOV.000.C.0.04.0000.00.01.D1181">-3154</definedName>
    <definedName name="MOV.000.C.0.04.0000.00.01.D1182">-2254</definedName>
    <definedName name="MOV.000.C.0.04.0000.00.01.D1183">-182</definedName>
    <definedName name="MOV.000.C.0.04.0000.00.01.D997">5002</definedName>
    <definedName name="MOV.000.C.0.04.1999.00.00.241010001">0</definedName>
    <definedName name="MOV.000.C.0.04.2001.00.01.44101010019">-299</definedName>
    <definedName name="MOV.000.C.0.04.2001.00.01.44101020008">-1708</definedName>
    <definedName name="MOV.000.C.0.05.0000.00.01.311">24846</definedName>
    <definedName name="MOV.000.C.0.05.0000.00.01.312">409</definedName>
    <definedName name="MOV.000.C.0.05.0000.00.01.32">-2143</definedName>
    <definedName name="MOV.000.C.0.05.0000.00.01.34">105</definedName>
    <definedName name="MOV.000.C.0.05.0000.00.01.41">-13548</definedName>
    <definedName name="MOV.000.C.0.05.0000.00.01.42">-2214</definedName>
    <definedName name="MOV.000.C.0.05.0000.00.01.45">-3</definedName>
    <definedName name="MOV.000.C.0.05.0000.00.01.47101010001">3376</definedName>
    <definedName name="MOV.000.C.0.05.0000.00.01.47101010002">1251</definedName>
    <definedName name="MOV.000.C.0.05.0000.00.01.D1074">-9275</definedName>
    <definedName name="MOV.000.C.0.05.0000.00.01.D1075">-4627</definedName>
    <definedName name="MOV.000.C.0.05.0000.00.01.D1076">13237</definedName>
    <definedName name="MOV.000.C.0.05.0000.00.01.D1181">-3556</definedName>
    <definedName name="MOV.000.C.0.05.0000.00.01.D1182">-17070</definedName>
    <definedName name="MOV.000.C.0.05.0000.00.01.D1183">-729</definedName>
    <definedName name="MOV.000.C.0.05.0000.00.01.D997">5009</definedName>
    <definedName name="MOV.000.C.0.05.2001.00.01.44101010019">-304</definedName>
    <definedName name="MOV.000.C.0.05.2001.00.01.44101020008">-12933</definedName>
    <definedName name="MOV.000.C.0.06.0000.00.00.4510101">1726.9</definedName>
    <definedName name="MOV.000.C.0.06.0000.00.01.311">23505</definedName>
    <definedName name="MOV.000.C.0.06.0000.00.01.312">479</definedName>
    <definedName name="MOV.000.C.0.06.0000.00.01.32">-2030</definedName>
    <definedName name="MOV.000.C.0.06.0000.00.01.34">80</definedName>
    <definedName name="MOV.000.C.0.06.0000.00.01.41">-13440</definedName>
    <definedName name="MOV.000.C.0.06.0000.00.01.42">-4152</definedName>
    <definedName name="MOV.000.C.0.06.0000.00.01.45">2</definedName>
    <definedName name="MOV.000.C.0.06.0000.00.01.47101010001">-1639</definedName>
    <definedName name="MOV.000.C.0.06.0000.00.01.47101010002">-589</definedName>
    <definedName name="MOV.000.C.0.06.0000.00.01.D1074">4258</definedName>
    <definedName name="MOV.000.C.0.06.0000.00.01.D1075">2228</definedName>
    <definedName name="MOV.000.C.0.06.0000.00.01.D1076">-3697</definedName>
    <definedName name="MOV.000.C.0.06.0000.00.01.D1181">-3037</definedName>
    <definedName name="MOV.000.C.0.06.0000.00.01.D1182">5286</definedName>
    <definedName name="MOV.000.C.0.06.0000.00.01.D1183">-206</definedName>
    <definedName name="MOV.000.C.0.06.0000.00.01.D997">5017</definedName>
    <definedName name="MOV.000.C.0.06.2001.00.00.13202">0</definedName>
    <definedName name="MOV.000.C.0.06.2001.00.01.44101010019">-289</definedName>
    <definedName name="MOV.000.C.0.06.2001.00.01.44101020008">3985</definedName>
    <definedName name="MOV.000.C.0.07.0000.00.01.D1074">3936</definedName>
    <definedName name="MOV.000.C.0.07.0000.00.01.D1075">-839</definedName>
    <definedName name="MOV.000.C.0.07.0000.00.01.D1076">-1961</definedName>
    <definedName name="MOV.000.C.0.07.0000.00.01.D997">4991</definedName>
    <definedName name="MOV.000.C.0.07.2001.00.01.44101010019">-315</definedName>
    <definedName name="MOV.000.C.0.07.2001.00.01.44101020008">-9142</definedName>
    <definedName name="MOV.000.C.0.08.0000.00.01.D1074">576</definedName>
    <definedName name="MOV.000.C.0.08.0000.00.01.D1075">419</definedName>
    <definedName name="MOV.000.C.0.08.0000.00.01.D1076">5111</definedName>
    <definedName name="MOV.000.C.0.08.0000.00.01.D997">4985</definedName>
    <definedName name="MOV.000.C.0.08.2001.00.01.44101010019">-309</definedName>
    <definedName name="MOV.000.C.0.08.2001.00.01.44101020008">-8708</definedName>
    <definedName name="MOV.000.C.0.09.0000.00.00.D997">4972951.86000061</definedName>
    <definedName name="MOV.000.C.0.09.0000.00.01.D1074">2442</definedName>
    <definedName name="MOV.000.C.0.09.0000.00.01.D1075">287</definedName>
    <definedName name="MOV.000.C.0.09.0000.00.01.D1076">2262</definedName>
    <definedName name="MOV.000.C.0.09.0000.00.01.D997">4973</definedName>
    <definedName name="MOV.000.C.0.09.2001.00.01.44101010019">-295</definedName>
    <definedName name="MOV.000.C.0.09.2001.00.01.44101020008">-9024</definedName>
    <definedName name="MOV.000.C.0.09.2001.00.01.D1074">-1945</definedName>
    <definedName name="MOV.000.C.0.09.2001.00.01.D1075">-972</definedName>
    <definedName name="MOV.000.C.0.09.2001.00.01.D997">4549</definedName>
    <definedName name="MOV.000.C.0.10.0000.00.01.D1074">581</definedName>
    <definedName name="MOV.000.C.0.10.0000.00.01.D1075">508</definedName>
    <definedName name="MOV.000.C.0.10.0000.00.01.D1076">5991</definedName>
    <definedName name="MOV.000.C.0.10.0000.00.01.D997">4973</definedName>
    <definedName name="MOV.000.C.0.10.2001.00.01.44101010019">-340</definedName>
    <definedName name="MOV.000.C.0.10.2001.00.01.44101020008">-2225</definedName>
    <definedName name="MOV.000.C.0.10.2001.00.01.D1074">4474</definedName>
    <definedName name="MOV.000.C.0.10.2001.00.01.D1075">2317</definedName>
    <definedName name="MOV.000.C.0.10.2001.00.01.D997">4559</definedName>
    <definedName name="MOV.000.C.0.11.0000.00.01.D1074">-413</definedName>
    <definedName name="MOV.000.C.0.11.0000.00.01.D1075">-142</definedName>
    <definedName name="MOV.000.C.0.11.0000.00.01.D1076">4680</definedName>
    <definedName name="MOV.000.C.0.11.0000.00.01.D997">5095</definedName>
    <definedName name="MOV.000.C.0.11.2001.00.01.22201010001">297</definedName>
    <definedName name="MOV.000.C.0.11.2001.00.01.44101010019">-324</definedName>
    <definedName name="MOV.000.C.0.11.2001.00.01.44101020008">11071</definedName>
    <definedName name="MOV.000.C.0.11.2001.00.01.D1074">14782</definedName>
    <definedName name="MOV.000.C.0.11.2001.00.01.D1075">7744</definedName>
    <definedName name="MOV.000.C.0.11.2001.00.01.D997">4584</definedName>
    <definedName name="MOV.000.C.0.12.0000.00.01.D1074">0</definedName>
    <definedName name="MOV.000.C.0.12.0000.00.01.D1075">0</definedName>
    <definedName name="MOV.000.C.0.12.0000.00.01.D1076">0</definedName>
    <definedName name="MOV.000.C.0.12.0000.00.01.D997">0</definedName>
    <definedName name="MOV.000.C.0.12.2000.00.00.24401010001">615712.52999973</definedName>
    <definedName name="MOV.000.C.0.12.2000.00.00.24401010002">61571.25</definedName>
    <definedName name="MOV.000.C.0.12.2000.00.01.24401010001">1123</definedName>
    <definedName name="MOV.000.C.0.12.2000.00.01.24401010002">112</definedName>
    <definedName name="MOV.000.C.0.12.2001.00.00.22203010001">10709388.71</definedName>
    <definedName name="MOV.000.C.0.12.2001.00.00.24401010002">87789.4</definedName>
    <definedName name="MOV.000.C.0.12.2001.00.01.22201010001">312</definedName>
    <definedName name="MOV.000.C.0.12.2001.00.01.22203010001">10709</definedName>
    <definedName name="MOV.000.C.0.12.2001.00.01.24401010001">878</definedName>
    <definedName name="MOV.000.C.0.12.2001.00.01.24401010002">88</definedName>
    <definedName name="MOV.000.C.0.12.2001.00.01.44101010019">-329</definedName>
    <definedName name="MOV.000.C.0.12.2001.00.01.44101020008">12608</definedName>
    <definedName name="MOV.000.C.0.12.2001.00.01.D1018">-48959</definedName>
    <definedName name="MOV.000.C.0.12.2001.00.01.D1074">9154</definedName>
    <definedName name="MOV.000.C.0.12.2001.00.01.D1075">1912</definedName>
    <definedName name="MOV.000.C.0.12.2001.00.01.D997">4621</definedName>
    <definedName name="MOV.000.C.1.00.0000.00.00.241010001">0</definedName>
    <definedName name="MOV.000.C.1.00.0000.00.00.3.CG1_LK.CG2_K01.CG3_K019.CG4_LK019A">38636.99998707</definedName>
    <definedName name="MOV.060.C.0.08.2002.00.00.3">4934702.1</definedName>
    <definedName name="MOV.060.C.0.08.2002.00.00.4">-1835427.12</definedName>
    <definedName name="MOV.060.C.0.08.2002.00.00.5">-2392300.03</definedName>
    <definedName name="MOV.060.C.0.09.2002.00.00.3">4748355.93</definedName>
    <definedName name="MOV.060.C.0.09.2002.00.00.4">-2076634.66</definedName>
    <definedName name="MOV.060.C.0.09.2002.00.00.5">-2420636.72</definedName>
    <definedName name="MOV.060.O.0.08.2002.00.00.301010101001">3266152</definedName>
    <definedName name="MOV.060.O.0.08.2002.00.00.301010103001">1406864</definedName>
    <definedName name="MOV.060.O.0.08.2002.00.00.301010201001">287513.43</definedName>
    <definedName name="MOV.060.O.0.08.2002.00.00.301010301001">115504.45</definedName>
    <definedName name="MOV.060.O.0.08.2002.00.00.301010301002">16499.4</definedName>
    <definedName name="MOV.060.O.0.08.2002.00.00.301010301003">173991.02</definedName>
    <definedName name="MOV.060.O.0.08.2002.00.00.302010101">-414710.12</definedName>
    <definedName name="MOV.060.O.0.08.2002.00.00.302010103">-11168.82</definedName>
    <definedName name="MOV.060.O.0.08.2002.00.00.303010101002">50692.96</definedName>
    <definedName name="MOV.060.O.0.08.2002.00.00.303010101003">39895.65</definedName>
    <definedName name="MOV.060.O.0.08.2002.00.00.303010199001">-588.82</definedName>
    <definedName name="MOV.060.O.0.08.2002.00.00.303010199002">-2717.66</definedName>
    <definedName name="MOV.060.O.0.08.2002.00.00.303010202001">-3225.39</definedName>
    <definedName name="MOV.060.O.0.08.2002.00.00.303019901001">0</definedName>
    <definedName name="MOV.060.O.0.08.2002.00.00.303019902001">0</definedName>
    <definedName name="MOV.060.O.0.08.2002.00.00.304010101001">10000</definedName>
    <definedName name="MOV.060.O.0.08.2002.00.00.40101">-1039853.94</definedName>
    <definedName name="MOV.060.O.0.08.2002.00.00.403">-2057.94</definedName>
    <definedName name="MOV.060.O.0.08.2002.00.00.4040101">-426231.79</definedName>
    <definedName name="MOV.060.O.0.08.2002.00.00.404010202">-19708.8</definedName>
    <definedName name="MOV.060.O.0.08.2002.00.00.40501">-130617.95</definedName>
    <definedName name="MOV.060.O.0.08.2002.00.00.4060101">-216956.7</definedName>
    <definedName name="MOV.060.O.0.08.2002.00.00.501">-1090195.3</definedName>
    <definedName name="MOV.060.O.0.08.2002.00.00.504010101001">-19756.26</definedName>
    <definedName name="MOV.060.O.0.08.2002.00.00.504010202">-97858.29</definedName>
    <definedName name="MOV.060.O.0.08.2002.00.00.506010101001">-688661.91</definedName>
    <definedName name="MOV.060.O.0.08.2002.00.00.506020101001">-98452</definedName>
    <definedName name="MOV.060.O.0.08.2002.00.00.506020201001">0</definedName>
    <definedName name="MOV.060.O.0.08.2002.00.00.506030102001">-30324.43</definedName>
    <definedName name="MOV.060.O.0.08.2002.00.00.506030199">-8482.47</definedName>
    <definedName name="MOV.060.O.0.08.2002.00.00.509010101001">-66811.38</definedName>
    <definedName name="MOV.060.O.0.08.2002.00.00.509010201001">-28633.45</definedName>
    <definedName name="MOV.060.O.0.08.2002.00.00.509020101001">-183587.18</definedName>
    <definedName name="MOV.060.O.0.08.2002.00.00.509020201001">-79537.36</definedName>
    <definedName name="MOV.060.O.0.08.2002.00.00.510010101">0</definedName>
    <definedName name="MOV.060.O.0.09.2002.00.00.301010101001">3190507.4</definedName>
    <definedName name="MOV.060.O.0.09.2002.00.00.301010103001">1388794.5</definedName>
    <definedName name="MOV.060.O.0.09.2002.00.00.301010201001">286045.79</definedName>
    <definedName name="MOV.060.O.0.09.2002.00.00.301010301001">13869.25</definedName>
    <definedName name="MOV.060.O.0.09.2002.00.00.301010301002">45099.4</definedName>
    <definedName name="MOV.060.O.0.09.2002.00.00.301010301003">174765.64</definedName>
    <definedName name="MOV.060.O.0.09.2002.00.00.302010101">-406550.28</definedName>
    <definedName name="MOV.060.O.0.09.2002.00.00.302010103">-8531.3</definedName>
    <definedName name="MOV.060.O.0.09.2002.00.00.303010101002">27519.14</definedName>
    <definedName name="MOV.060.O.0.09.2002.00.00.303010101003">32301.2</definedName>
    <definedName name="MOV.060.O.0.09.2002.00.00.303010199001">-433.87</definedName>
    <definedName name="MOV.060.O.0.09.2002.00.00.303010199002">-2002.47</definedName>
    <definedName name="MOV.060.O.0.09.2002.00.00.303010202001">6928.78</definedName>
    <definedName name="MOV.060.O.0.09.2002.00.00.303019901001">42.5</definedName>
    <definedName name="MOV.060.O.0.09.2002.00.00.303019902001">0</definedName>
    <definedName name="MOV.060.O.0.09.2002.00.00.304010101001">0.25</definedName>
    <definedName name="MOV.060.O.0.09.2002.00.00.40101">-1228826.65</definedName>
    <definedName name="MOV.060.O.0.09.2002.00.00.403">-2057.94</definedName>
    <definedName name="MOV.060.O.0.09.2002.00.00.4040101">-452795.76</definedName>
    <definedName name="MOV.060.O.0.09.2002.00.00.404010202">-49708.8</definedName>
    <definedName name="MOV.060.O.0.09.2002.00.00.40501">-126288.81</definedName>
    <definedName name="MOV.060.O.0.09.2002.00.00.4060101">-216956.7</definedName>
    <definedName name="MOV.060.O.0.09.2002.00.00.501">-1379093.77</definedName>
    <definedName name="MOV.060.O.0.09.2002.00.00.504010101001">-20119.52</definedName>
    <definedName name="MOV.060.O.0.09.2002.00.00.504010202">-97858.29</definedName>
    <definedName name="MOV.060.O.0.09.2002.00.00.506010101001">-667629.01</definedName>
    <definedName name="MOV.060.O.0.09.2002.00.00.506020101001">-93281.76</definedName>
    <definedName name="MOV.060.O.0.09.2002.00.00.506020201001">0</definedName>
    <definedName name="MOV.060.O.0.09.2002.00.00.506030102001">-21561.23</definedName>
    <definedName name="MOV.060.O.0.09.2002.00.00.506030199">-10824.7</definedName>
    <definedName name="MOV.060.O.0.09.2002.00.00.509010101001">-24508.56</definedName>
    <definedName name="MOV.060.O.0.09.2002.00.00.509010201001">-10503.67</definedName>
    <definedName name="MOV.060.O.0.09.2002.00.00.509020101001">-66079.35</definedName>
    <definedName name="MOV.060.O.0.09.2002.00.00.509020201001">-29176.86</definedName>
    <definedName name="MOV.060.O.0.09.2002.00.00.510010101">0</definedName>
    <definedName name="MOV.070.C.0.08.2002.00.00.3">1897566.47</definedName>
    <definedName name="MOV.070.C.0.08.2002.00.00.4">-964919.65</definedName>
    <definedName name="MOV.070.C.0.08.2002.00.00.5">6816707.82</definedName>
    <definedName name="MOV.070.C.0.09.2002.00.00.3">1812882.84</definedName>
    <definedName name="MOV.070.C.0.09.2002.00.00.4">-957258.67</definedName>
    <definedName name="MOV.070.C.0.09.2002.00.00.5">-22947044.53</definedName>
    <definedName name="MOV.070.O.0.08.2002.00.00.301010101001">1409930.4</definedName>
    <definedName name="MOV.070.O.0.08.2002.00.00.301010103001">442303.2</definedName>
    <definedName name="MOV.070.O.0.08.2002.00.00.301010301001">97209.77</definedName>
    <definedName name="MOV.070.O.0.08.2002.00.00.301010301002">9021.83</definedName>
    <definedName name="MOV.070.O.0.08.2002.00.00.301010301003">7154.94</definedName>
    <definedName name="MOV.070.O.0.08.2002.00.00.302010101">-160218.21</definedName>
    <definedName name="MOV.070.O.0.08.2002.00.00.302010103">-4138.61</definedName>
    <definedName name="MOV.070.O.0.08.2002.00.00.303010101002">2464.82</definedName>
    <definedName name="MOV.070.O.0.08.2002.00.00.303010101003">158428.52</definedName>
    <definedName name="MOV.070.O.0.08.2002.00.00.303010101004">43364.49</definedName>
    <definedName name="MOV.070.O.0.08.2002.00.00.303010199001">-1327.68</definedName>
    <definedName name="MOV.070.O.0.08.2002.00.00.303010199002">-6127.73</definedName>
    <definedName name="MOV.070.O.0.08.2002.00.00.303010202001">-3.08</definedName>
    <definedName name="MOV.070.O.0.08.2002.00.00.303019901001">0</definedName>
    <definedName name="MOV.070.O.0.08.2002.00.00.304010101001">0</definedName>
    <definedName name="MOV.070.O.0.08.2002.00.00.304010101005">-100496.19</definedName>
    <definedName name="MOV.070.O.0.08.2002.00.00.40101">-295738.9</definedName>
    <definedName name="MOV.070.O.0.08.2002.00.00.403">0</definedName>
    <definedName name="MOV.070.O.0.08.2002.00.00.4040101">-380525.5</definedName>
    <definedName name="MOV.070.O.0.08.2002.00.00.404010201">-208873.75</definedName>
    <definedName name="MOV.070.O.0.08.2002.00.00.404010202">-2471.73</definedName>
    <definedName name="MOV.070.O.0.08.2002.00.00.40501">-77309.77</definedName>
    <definedName name="MOV.070.O.0.08.2002.00.00.501">-360090.43</definedName>
    <definedName name="MOV.070.O.0.08.2002.00.00.504010101001">-2361.75</definedName>
    <definedName name="MOV.070.O.0.08.2002.00.00.504010202">-66340.21</definedName>
    <definedName name="MOV.070.O.0.08.2002.00.00.506010101001">-619590.01</definedName>
    <definedName name="MOV.070.O.0.08.2002.00.00.506019801001">-103680.01</definedName>
    <definedName name="MOV.070.O.0.08.2002.00.00.506020101001">-77108.41</definedName>
    <definedName name="MOV.070.O.0.08.2002.00.00.506020103001">-1559063.85</definedName>
    <definedName name="MOV.070.O.0.08.2002.00.00.506020201001">9620420.37</definedName>
    <definedName name="MOV.070.O.0.08.2002.00.00.506030102001.CG2_LT.CG3_LT513">-11316</definedName>
    <definedName name="MOV.070.O.0.08.2002.00.00.506030103001">-4032.73</definedName>
    <definedName name="MOV.070.O.0.08.2002.00.00.506030199">-129.15</definedName>
    <definedName name="MOV.070.O.0.08.2002.00.00.509010101001">0</definedName>
    <definedName name="MOV.070.O.0.08.2002.00.00.509010201001">0</definedName>
    <definedName name="MOV.070.O.0.08.2002.00.00.509020101001">0</definedName>
    <definedName name="MOV.070.O.0.08.2002.00.00.509020201001">0</definedName>
    <definedName name="MOV.070.O.0.08.2002.00.00.510010101">0</definedName>
    <definedName name="MOV.070.O.0.09.2002.00.00.301010101001">1396573.2</definedName>
    <definedName name="MOV.070.O.0.09.2002.00.00.301010103001">429076.7</definedName>
    <definedName name="MOV.070.O.0.09.2002.00.00.301010301001">18399.62</definedName>
    <definedName name="MOV.070.O.0.09.2002.00.00.301010301002">9021.83</definedName>
    <definedName name="MOV.070.O.0.09.2002.00.00.301010301003">7154.94</definedName>
    <definedName name="MOV.070.O.0.09.2002.00.00.302010101">-157918.71</definedName>
    <definedName name="MOV.070.O.0.09.2002.00.00.302010103">-1262.04</definedName>
    <definedName name="MOV.070.O.0.09.2002.00.00.303010101002">3012.5</definedName>
    <definedName name="MOV.070.O.0.09.2002.00.00.303010101003">192208.68</definedName>
    <definedName name="MOV.070.O.0.09.2002.00.00.303010101004">39000.15</definedName>
    <definedName name="MOV.070.O.0.09.2002.00.00.303010199001">-1522.48</definedName>
    <definedName name="MOV.070.O.0.09.2002.00.00.303010199002">-7026.84</definedName>
    <definedName name="MOV.070.O.0.09.2002.00.00.303010202001">6.61</definedName>
    <definedName name="MOV.070.O.0.09.2002.00.00.303019901001">1.24</definedName>
    <definedName name="MOV.070.O.0.09.2002.00.00.304010101001">0</definedName>
    <definedName name="MOV.070.O.0.09.2002.00.00.304010101005">-113842.56</definedName>
    <definedName name="MOV.070.O.0.09.2002.00.00.40101">-276685.12</definedName>
    <definedName name="MOV.070.O.0.09.2002.00.00.403">0</definedName>
    <definedName name="MOV.070.O.0.09.2002.00.00.4040101">-384979.26</definedName>
    <definedName name="MOV.070.O.0.09.2002.00.00.404010201">-208873.75</definedName>
    <definedName name="MOV.070.O.0.09.2002.00.00.404010202">-2471.73</definedName>
    <definedName name="MOV.070.O.0.09.2002.00.00.40501">-84248.81</definedName>
    <definedName name="MOV.070.O.0.09.2002.00.00.501">-378773.13</definedName>
    <definedName name="MOV.070.O.0.09.2002.00.00.504010101001">-2522.22</definedName>
    <definedName name="MOV.070.O.0.09.2002.00.00.504010202">-66340.21</definedName>
    <definedName name="MOV.070.O.0.09.2002.00.00.506010101001">-651623.74</definedName>
    <definedName name="MOV.070.O.0.09.2002.00.00.506019801001">-107906.23</definedName>
    <definedName name="MOV.070.O.0.09.2002.00.00.506020101001">-74067.18</definedName>
    <definedName name="MOV.070.O.0.09.2002.00.00.506020103001">-845478.27</definedName>
    <definedName name="MOV.070.O.0.09.2002.00.00.506020201001">-20802737.14</definedName>
    <definedName name="MOV.070.O.0.09.2002.00.00.506030102001">-10643.32</definedName>
    <definedName name="MOV.070.O.0.09.2002.00.00.506030103001">-4007.4</definedName>
    <definedName name="MOV.070.O.0.09.2002.00.00.506030199">-2945.69</definedName>
    <definedName name="MOV.070.O.0.09.2002.00.00.509010101001">0</definedName>
    <definedName name="MOV.070.O.0.09.2002.00.00.509010201001">0</definedName>
    <definedName name="MOV.070.O.0.09.2002.00.00.509020101001">0</definedName>
    <definedName name="MOV.070.O.0.09.2002.00.00.509020201001">0</definedName>
    <definedName name="MOV.070.O.0.09.2002.00.00.510010101">0</definedName>
    <definedName name="MOV.087.C.0.01.0000.00.01.D1035">6124</definedName>
    <definedName name="MOV.087.C.0.02.0000.00.01.D1035">7771</definedName>
    <definedName name="MOV.087.C.0.02.2001.00.01.34">1008</definedName>
    <definedName name="MOV.087.C.0.02.2001.00.01.44">-11828</definedName>
    <definedName name="MOV.087.C.0.02.2001.00.01.D997">5030</definedName>
    <definedName name="MOV.087.C.0.03.0000.00.01.D1035">7609</definedName>
    <definedName name="MOV.087.C.0.03.2001.00.01.34">432</definedName>
    <definedName name="MOV.087.C.0.03.2001.00.01.44">-16259</definedName>
    <definedName name="MOV.087.C.0.03.2001.00.01.D997">5019</definedName>
    <definedName name="MOV.087.C.0.03.2002.00.01.D1035">10869</definedName>
    <definedName name="MOV.087.C.0.03.2002.00.01.D2025">5755</definedName>
    <definedName name="MOV.087.C.0.04.0000.00.01.D1035">7609</definedName>
    <definedName name="MOV.087.C.0.05.0000.00.01.D1035">7609</definedName>
    <definedName name="MOV.087.C.0.06.0000.00.01.D1035">7609</definedName>
    <definedName name="MOV.087.C.0.07.0000.00.01.D1035">7609</definedName>
    <definedName name="MOV.087.C.0.07.2001.00.01.D1035">7609</definedName>
    <definedName name="MOV.087.C.0.08.2000.00.01.D1035">7659</definedName>
    <definedName name="MOV.087.C.0.08.2001.00.01.D1035">8902</definedName>
    <definedName name="MOV.087.C.0.09.2000.00.01.41102010014">-7771</definedName>
    <definedName name="MOV.087.C.0.09.2000.00.01.D1035">7771</definedName>
    <definedName name="MOV.087.C.0.09.2001.00.01.D1035">8962</definedName>
    <definedName name="MOV.087.C.0.10.2000.00.01.D1035">7771</definedName>
    <definedName name="MOV.087.C.0.10.2001.00.01.D1035">8756</definedName>
    <definedName name="MOV.087.C.0.11.2000.00.01.D1035">7771</definedName>
    <definedName name="MOV.087.C.0.11.2001.00.01.D1035">8359</definedName>
    <definedName name="MOV.087.C.0.12.0000.00.01.D1035">0</definedName>
    <definedName name="MOV.087.C.0.12.2000.00.01.D1035">7771</definedName>
    <definedName name="MOV.087.C.0.12.2001.00.01.D1035">8558</definedName>
    <definedName name="MOV.087.C.0.12.2002.00.01.D1035">0</definedName>
    <definedName name="MOV.104.C.0.01.2000.00.00.13202">-1261.75</definedName>
    <definedName name="MOV.104.C.0.01.2000.00.00.311010001">2759347.75</definedName>
    <definedName name="MOV.104.C.0.01.2000.00.00.311010002">459307.05</definedName>
    <definedName name="MOV.104.C.0.01.2000.00.00.311020001">11436.75</definedName>
    <definedName name="MOV.104.C.0.01.2000.00.00.311020002">0</definedName>
    <definedName name="MOV.104.C.0.01.2000.00.00.311020003">0</definedName>
    <definedName name="MOV.104.C.0.01.2000.00.00.32101">-278413.64</definedName>
    <definedName name="MOV.104.C.0.01.2000.00.00.32102">-417.44</definedName>
    <definedName name="MOV.104.C.0.01.2000.00.00.331010001">-294562.93</definedName>
    <definedName name="MOV.104.C.0.01.2000.00.00.331010002">-364678.07</definedName>
    <definedName name="MOV.104.C.0.01.2000.00.00.331010003">-2471.73</definedName>
    <definedName name="MOV.104.C.0.01.2000.00.00.331010004">-208873.75</definedName>
    <definedName name="MOV.104.C.0.01.2000.00.00.33102">0</definedName>
    <definedName name="MOV.104.C.0.01.2000.00.00.341">-186133.19</definedName>
    <definedName name="MOV.104.C.0.01.2000.00.00.342">-618520.9</definedName>
    <definedName name="MOV.104.C.0.01.2000.00.00.343">-42221.98</definedName>
    <definedName name="MOV.104.C.0.01.2000.00.00.344">-55525.5</definedName>
    <definedName name="MOV.104.C.0.01.2000.00.00.345">-47743.22</definedName>
    <definedName name="MOV.104.C.0.01.2000.00.00.346">-85441.74</definedName>
    <definedName name="MOV.104.C.0.01.2000.00.00.346080064">-6970.44</definedName>
    <definedName name="MOV.104.C.0.01.2000.00.00.347010058">-66340.21</definedName>
    <definedName name="MOV.104.C.0.01.2000.00.00.34702">-96559.64</definedName>
    <definedName name="MOV.104.C.0.01.2000.00.00.34704">-2950</definedName>
    <definedName name="MOV.104.C.0.01.2000.00.00.34705">0</definedName>
    <definedName name="MOV.104.C.0.01.2000.00.00.347050001">0</definedName>
    <definedName name="MOV.104.C.0.01.2000.00.00.347060001">0</definedName>
    <definedName name="MOV.104.C.0.01.2000.00.00.349">659727.9</definedName>
    <definedName name="MOV.104.C.0.01.2000.00.00.351010001">115239.75</definedName>
    <definedName name="MOV.104.C.0.01.2000.00.00.351010002">0</definedName>
    <definedName name="MOV.104.C.0.01.2000.00.00.351010004">-749.49</definedName>
    <definedName name="MOV.104.C.0.01.2000.00.00.351010005">-3459.21</definedName>
    <definedName name="MOV.104.C.0.01.2000.00.00.351010006">0</definedName>
    <definedName name="MOV.104.C.0.01.2000.00.00.351010007">0</definedName>
    <definedName name="MOV.104.C.0.01.2000.00.00.351010008">0</definedName>
    <definedName name="MOV.104.C.0.01.2000.00.00.352010001">-728697.71</definedName>
    <definedName name="MOV.104.C.0.01.2000.00.00.352010006">0</definedName>
    <definedName name="MOV.104.C.0.01.2000.00.00.352010009">0</definedName>
    <definedName name="MOV.104.C.0.01.2000.00.00.361010002">67</definedName>
    <definedName name="MOV.104.C.0.01.2000.00.00.361020001">-132463.12</definedName>
    <definedName name="MOV.104.C.0.01.2000.00.00.361020003">-555667.19</definedName>
    <definedName name="MOV.104.C.0.01.2000.00.00.37102">0</definedName>
    <definedName name="MOV.104.C.0.01.2000.00.00.371030001">0</definedName>
    <definedName name="MOV.104.C.0.01.2000.00.00.371030002">0</definedName>
    <definedName name="MOV.104.C.0.01.2000.00.00.381010001">0</definedName>
    <definedName name="MOV.104.C.0.01.2000.00.00.381020001">0</definedName>
    <definedName name="MOV.104.C.0.01.2000.00.00.391010001">0</definedName>
    <definedName name="MOV.104.C.0.01.2000.00.00.DBB180">-168827.22</definedName>
    <definedName name="MOV.104.C.0.01.2000.00.00.DGAAPR17">-402390.87</definedName>
    <definedName name="MOV.104.C.0.01.2000.00.00.DGAAPR20">328.11</definedName>
    <definedName name="MOV.104.C.0.01.2001.00.00.13202">-1624.32</definedName>
    <definedName name="MOV.104.C.0.01.2001.00.00.311010001">3085046</definedName>
    <definedName name="MOV.104.C.0.01.2001.00.00.311010002">572467.4</definedName>
    <definedName name="MOV.104.C.0.01.2001.00.00.311020001">16790.43</definedName>
    <definedName name="MOV.104.C.0.01.2001.00.00.311020002">7500</definedName>
    <definedName name="MOV.104.C.0.01.2001.00.00.311020003">6500</definedName>
    <definedName name="MOV.104.C.0.01.2001.00.00.32101">-316374.91</definedName>
    <definedName name="MOV.104.C.0.01.2001.00.00.32102">-1123.85</definedName>
    <definedName name="MOV.104.C.0.01.2001.00.00.331010001">-274953.04</definedName>
    <definedName name="MOV.104.C.0.01.2001.00.00.331010002">-386456.04</definedName>
    <definedName name="MOV.104.C.0.01.2001.00.00.331010003">-2471.73</definedName>
    <definedName name="MOV.104.C.0.01.2001.00.00.331010004">-208873.75</definedName>
    <definedName name="MOV.104.C.0.01.2001.00.00.33102">0</definedName>
    <definedName name="MOV.104.C.0.01.2001.00.00.341">-197761.87</definedName>
    <definedName name="MOV.104.C.0.01.2001.00.00.342">-466666.23</definedName>
    <definedName name="MOV.104.C.0.01.2001.00.00.343">-12404.49</definedName>
    <definedName name="MOV.104.C.0.01.2001.00.00.344">-33601.47</definedName>
    <definedName name="MOV.104.C.0.01.2001.00.00.345">-44076.92</definedName>
    <definedName name="MOV.104.C.0.01.2001.00.00.346">-254122.72</definedName>
    <definedName name="MOV.104.C.0.01.2001.00.00.346060001">0</definedName>
    <definedName name="MOV.104.C.0.01.2001.00.00.346080064">-3672.18</definedName>
    <definedName name="MOV.104.C.0.01.2001.00.00.347010058">-66340.21</definedName>
    <definedName name="MOV.104.C.0.01.2001.00.00.34702">-109725.4</definedName>
    <definedName name="MOV.104.C.0.01.2001.00.00.34704">-6000</definedName>
    <definedName name="MOV.104.C.0.01.2001.00.00.34705">0</definedName>
    <definedName name="MOV.104.C.0.01.2001.00.00.347050001">0</definedName>
    <definedName name="MOV.104.C.0.01.2001.00.00.347060001">-1624.32</definedName>
    <definedName name="MOV.104.C.0.01.2001.00.00.349">397653.26</definedName>
    <definedName name="MOV.104.C.0.01.2001.00.00.351010001">150416.55</definedName>
    <definedName name="MOV.104.C.0.01.2001.00.00.351010002">0</definedName>
    <definedName name="MOV.104.C.0.01.2001.00.00.351010004">-977.91</definedName>
    <definedName name="MOV.104.C.0.01.2001.00.00.351010005">-4513.46</definedName>
    <definedName name="MOV.104.C.0.01.2001.00.00.351010006">0</definedName>
    <definedName name="MOV.104.C.0.01.2001.00.00.351010007">0</definedName>
    <definedName name="MOV.104.C.0.01.2001.00.00.351010008">0</definedName>
    <definedName name="MOV.104.C.0.01.2001.00.00.352010001">-766564.53</definedName>
    <definedName name="MOV.104.C.0.01.2001.00.00.352010006">0</definedName>
    <definedName name="MOV.104.C.0.01.2001.00.00.352010009">0</definedName>
    <definedName name="MOV.104.C.0.01.2001.00.00.361010002">31.82</definedName>
    <definedName name="MOV.104.C.0.01.2001.00.00.361020001">-70652.38</definedName>
    <definedName name="MOV.104.C.0.01.2001.00.00.361020003">-904474.55</definedName>
    <definedName name="MOV.104.C.0.01.2001.00.00.37102">0</definedName>
    <definedName name="MOV.104.C.0.01.2001.00.00.371030001">0</definedName>
    <definedName name="MOV.104.C.0.01.2001.00.00.371030002">-89155.59</definedName>
    <definedName name="MOV.104.C.0.01.2001.00.00.381010001">37390.57</definedName>
    <definedName name="MOV.104.C.0.01.2001.00.00.381020001">103862.71</definedName>
    <definedName name="MOV.104.C.0.01.2001.00.00.391010001">0</definedName>
    <definedName name="MOV.104.C.0.01.2001.00.00.DBB180">-274197.53</definedName>
    <definedName name="MOV.104.C.0.01.2001.00.00.DGAAPR17">-432550.28</definedName>
    <definedName name="MOV.104.C.0.01.2001.00.00.DGAAPR20">-390.62</definedName>
    <definedName name="MOV.104.C.0.01.2002.00.00.13202">-2298.02</definedName>
    <definedName name="MOV.104.C.0.01.2002.00.00.311010001">3144672.6</definedName>
    <definedName name="MOV.104.C.0.01.2002.00.00.311010002">617295.1</definedName>
    <definedName name="MOV.104.C.0.01.2002.00.00.311020001">20071.97</definedName>
    <definedName name="MOV.104.C.0.01.2002.00.00.311020002">8283</definedName>
    <definedName name="MOV.104.C.0.01.2002.00.00.311020003">7154.94</definedName>
    <definedName name="MOV.104.C.0.01.2002.00.00.32101">-336594.36</definedName>
    <definedName name="MOV.104.C.0.01.2002.00.00.32102">-1296.11</definedName>
    <definedName name="MOV.104.C.0.01.2002.00.00.331010001">-323906.81</definedName>
    <definedName name="MOV.104.C.0.01.2002.00.00.331010002">-384045.83</definedName>
    <definedName name="MOV.104.C.0.01.2002.00.00.331010003">-2471.73</definedName>
    <definedName name="MOV.104.C.0.01.2002.00.00.331010004">-208873.75</definedName>
    <definedName name="MOV.104.C.0.01.2002.00.00.33102">0</definedName>
    <definedName name="MOV.104.C.0.01.2002.00.00.341">-218687.77</definedName>
    <definedName name="MOV.104.C.0.01.2002.00.00.342">-330956.89</definedName>
    <definedName name="MOV.104.C.0.01.2002.00.00.343">-11312.15</definedName>
    <definedName name="MOV.104.C.0.01.2002.00.00.344">-35123.3</definedName>
    <definedName name="MOV.104.C.0.01.2002.00.00.345">-53584.64</definedName>
    <definedName name="MOV.104.C.0.01.2002.00.00.346">-74540.89</definedName>
    <definedName name="MOV.104.C.0.01.2002.00.00.346080064">-10288.84</definedName>
    <definedName name="MOV.104.C.0.01.2002.00.00.347010058">-66340.21</definedName>
    <definedName name="MOV.104.C.0.01.2002.00.00.34702">-112859.03</definedName>
    <definedName name="MOV.104.C.0.01.2002.00.00.34704">-2400</definedName>
    <definedName name="MOV.104.C.0.01.2002.00.00.34705">0</definedName>
    <definedName name="MOV.104.C.0.01.2002.00.00.347060001">0</definedName>
    <definedName name="MOV.104.C.0.01.2002.00.00.349">400417.53</definedName>
    <definedName name="MOV.104.C.0.01.2002.00.00.351010001">0</definedName>
    <definedName name="MOV.104.C.0.01.2002.00.00.351010002">0</definedName>
    <definedName name="MOV.104.C.0.01.2002.00.00.351010004">-1192.41</definedName>
    <definedName name="MOV.104.C.0.01.2002.00.00.351010005">-5503.41</definedName>
    <definedName name="MOV.104.C.0.01.2002.00.00.351010006">8084.65</definedName>
    <definedName name="MOV.104.C.0.01.2002.00.00.351010007">162139.29</definedName>
    <definedName name="MOV.104.C.0.01.2002.00.00.351010008">13222.51</definedName>
    <definedName name="MOV.104.C.0.01.2002.00.00.351010009">0</definedName>
    <definedName name="MOV.104.C.0.01.2002.00.00.352010001">-519052.45</definedName>
    <definedName name="MOV.104.C.0.01.2002.00.00.352010006">-7213.87</definedName>
    <definedName name="MOV.104.C.0.01.2002.00.00.352010009">-104158.02</definedName>
    <definedName name="MOV.104.C.0.01.2002.00.00.361010002">0.74</definedName>
    <definedName name="MOV.104.C.0.01.2002.00.00.361020001">-47321.97</definedName>
    <definedName name="MOV.104.C.0.01.2002.00.00.361020003">-856851.67</definedName>
    <definedName name="MOV.104.C.0.01.2002.00.00.37102">0</definedName>
    <definedName name="MOV.104.C.0.01.2002.00.00.371030001">0</definedName>
    <definedName name="MOV.104.C.0.01.2002.00.00.371030002">-68159.27</definedName>
    <definedName name="MOV.104.C.0.01.2002.00.00.381010001">0</definedName>
    <definedName name="MOV.104.C.0.01.2002.00.00.381020001">0</definedName>
    <definedName name="MOV.104.C.0.01.2002.00.00.391010001">-301.95</definedName>
    <definedName name="MOV.104.C.0.01.2002.00.00.DBB180">-1832329.22</definedName>
    <definedName name="MOV.104.C.0.01.2002.00.00.DGAAPR17">-2435375.33</definedName>
    <definedName name="MOV.104.C.0.01.2002.00.00.DGAAPR20">-3249.71</definedName>
    <definedName name="MOV.104.C.0.02.1999.00.00.241010001">5032000</definedName>
    <definedName name="MOV.104.C.0.02.2000.00.00.13202">-1300.11</definedName>
    <definedName name="MOV.104.C.0.02.2000.00.00.311010001">1434539.25</definedName>
    <definedName name="MOV.104.C.0.02.2000.00.00.311010002">356321.05</definedName>
    <definedName name="MOV.104.C.0.02.2000.00.00.311020001">11436.75</definedName>
    <definedName name="MOV.104.C.0.02.2000.00.00.311020002">0</definedName>
    <definedName name="MOV.104.C.0.02.2000.00.00.311020003">0</definedName>
    <definedName name="MOV.104.C.0.02.2000.00.00.32101">-154909.42</definedName>
    <definedName name="MOV.104.C.0.02.2000.00.00.32102">-417.44</definedName>
    <definedName name="MOV.104.C.0.02.2000.00.00.331010001">-263646.73</definedName>
    <definedName name="MOV.104.C.0.02.2000.00.00.331010002">-364678.07</definedName>
    <definedName name="MOV.104.C.0.02.2000.00.00.331010003">-2471.73</definedName>
    <definedName name="MOV.104.C.0.02.2000.00.00.331010004">-208873.75</definedName>
    <definedName name="MOV.104.C.0.02.2000.00.00.33102">0</definedName>
    <definedName name="MOV.104.C.0.02.2000.00.00.341">-174143.08</definedName>
    <definedName name="MOV.104.C.0.02.2000.00.00.342">-359286.16</definedName>
    <definedName name="MOV.104.C.0.02.2000.00.00.343">2547.8</definedName>
    <definedName name="MOV.104.C.0.02.2000.00.00.344">-52090.22</definedName>
    <definedName name="MOV.104.C.0.02.2000.00.00.345">-46446.87</definedName>
    <definedName name="MOV.104.C.0.02.2000.00.00.346">-92750.68</definedName>
    <definedName name="MOV.104.C.0.02.2000.00.00.346080064">-14087.27</definedName>
    <definedName name="MOV.104.C.0.02.2000.00.00.347010058">-66340.21</definedName>
    <definedName name="MOV.104.C.0.02.2000.00.00.34702">-53725.8</definedName>
    <definedName name="MOV.104.C.0.02.2000.00.00.34704">-6375</definedName>
    <definedName name="MOV.104.C.0.02.2000.00.00.34705">0</definedName>
    <definedName name="MOV.104.C.0.02.2000.00.00.347050001">0</definedName>
    <definedName name="MOV.104.C.0.02.2000.00.00.347060001">0</definedName>
    <definedName name="MOV.104.C.0.02.2000.00.00.349">463886.38</definedName>
    <definedName name="MOV.104.C.0.02.2000.00.00.351010001">99681.89</definedName>
    <definedName name="MOV.104.C.0.02.2000.00.00.351010002">0</definedName>
    <definedName name="MOV.104.C.0.02.2000.00.00.351010004">-647.93</definedName>
    <definedName name="MOV.104.C.0.02.2000.00.00.351010005">-2992.47</definedName>
    <definedName name="MOV.104.C.0.02.2000.00.00.351010006">0</definedName>
    <definedName name="MOV.104.C.0.02.2000.00.00.351010007">0</definedName>
    <definedName name="MOV.104.C.0.02.2000.00.00.351010008">0</definedName>
    <definedName name="MOV.104.C.0.02.2000.00.00.352010001">-674482.07</definedName>
    <definedName name="MOV.104.C.0.02.2000.00.00.352010006">0</definedName>
    <definedName name="MOV.104.C.0.02.2000.00.00.352010009">0</definedName>
    <definedName name="MOV.104.C.0.02.2000.00.00.361010002">-169.5</definedName>
    <definedName name="MOV.104.C.0.02.2000.00.00.361020001">-123667.52</definedName>
    <definedName name="MOV.104.C.0.02.2000.00.00.361020003">-569230.35</definedName>
    <definedName name="MOV.104.C.0.02.2000.00.00.37102">0</definedName>
    <definedName name="MOV.104.C.0.02.2000.00.00.371030001">0</definedName>
    <definedName name="MOV.104.C.0.02.2000.00.00.371030002">0</definedName>
    <definedName name="MOV.104.C.0.02.2000.00.00.381010001">163.84</definedName>
    <definedName name="MOV.104.C.0.02.2000.00.00.381020001">1656.56</definedName>
    <definedName name="MOV.104.C.0.02.2000.00.00.391010001">0</definedName>
    <definedName name="MOV.104.C.0.02.2000.00.00.DBB180">165293.5</definedName>
    <definedName name="MOV.104.C.0.02.2000.00.00.DGAAPR17">1013059.17</definedName>
    <definedName name="MOV.104.C.0.02.2000.00.00.DGAAPR20">-654.19</definedName>
    <definedName name="MOV.104.C.0.02.2001.00.00.13202">-1614.59</definedName>
    <definedName name="MOV.104.C.0.02.2001.00.00.311010001">2462033.6</definedName>
    <definedName name="MOV.104.C.0.02.2001.00.00.311010002">475028.9</definedName>
    <definedName name="MOV.104.C.0.02.2001.00.00.311020001">16790.43</definedName>
    <definedName name="MOV.104.C.0.02.2001.00.00.311020002">7500</definedName>
    <definedName name="MOV.104.C.0.02.2001.00.00.311020003">6500</definedName>
    <definedName name="MOV.104.C.0.02.2001.00.00.32101">-254055.92</definedName>
    <definedName name="MOV.104.C.0.02.2001.00.00.32102">-1123.85</definedName>
    <definedName name="MOV.104.C.0.02.2001.00.00.331010001">-272140.61</definedName>
    <definedName name="MOV.104.C.0.02.2001.00.00.331010002">-381449.87</definedName>
    <definedName name="MOV.104.C.0.02.2001.00.00.331010003">-2471.73</definedName>
    <definedName name="MOV.104.C.0.02.2001.00.00.331010004">-208873.75</definedName>
    <definedName name="MOV.104.C.0.02.2001.00.00.33102">0</definedName>
    <definedName name="MOV.104.C.0.02.2001.00.00.341">-174895.76</definedName>
    <definedName name="MOV.104.C.0.02.2001.00.00.342">-556254.24</definedName>
    <definedName name="MOV.104.C.0.02.2001.00.00.343">-14724.91</definedName>
    <definedName name="MOV.104.C.0.02.2001.00.00.344">-40124.66</definedName>
    <definedName name="MOV.104.C.0.02.2001.00.00.345">-43972.52</definedName>
    <definedName name="MOV.104.C.0.02.2001.00.00.346">-170969.1</definedName>
    <definedName name="MOV.104.C.0.02.2001.00.00.346080064">-5645.29</definedName>
    <definedName name="MOV.104.C.0.02.2001.00.00.347010058">-66340.21</definedName>
    <definedName name="MOV.104.C.0.02.2001.00.00.34702">-88111.88</definedName>
    <definedName name="MOV.104.C.0.02.2001.00.00.34704">-8400</definedName>
    <definedName name="MOV.104.C.0.02.2001.00.00.34705">0</definedName>
    <definedName name="MOV.104.C.0.02.2001.00.00.347050001">0</definedName>
    <definedName name="MOV.104.C.0.02.2001.00.00.347060001">-1614.59</definedName>
    <definedName name="MOV.104.C.0.02.2001.00.00.349">404498.71</definedName>
    <definedName name="MOV.104.C.0.02.2001.00.00.351010001">114581.8</definedName>
    <definedName name="MOV.104.C.0.02.2001.00.00.351010002">0</definedName>
    <definedName name="MOV.104.C.0.02.2001.00.00.351010004">-745.72</definedName>
    <definedName name="MOV.104.C.0.02.2001.00.00.351010005">-3441.81</definedName>
    <definedName name="MOV.104.C.0.02.2001.00.00.351010006">0</definedName>
    <definedName name="MOV.104.C.0.02.2001.00.00.351010007">0</definedName>
    <definedName name="MOV.104.C.0.02.2001.00.00.351010008">0</definedName>
    <definedName name="MOV.104.C.0.02.2001.00.00.352010001">-697520.26</definedName>
    <definedName name="MOV.104.C.0.02.2001.00.00.352010006">0</definedName>
    <definedName name="MOV.104.C.0.02.2001.00.00.352010009">0</definedName>
    <definedName name="MOV.104.C.0.02.2001.00.00.361010002">145.12</definedName>
    <definedName name="MOV.104.C.0.02.2001.00.00.361020001">-63235.04</definedName>
    <definedName name="MOV.104.C.0.02.2001.00.00.361020003">-47495.18</definedName>
    <definedName name="MOV.104.C.0.02.2001.00.00.37102">0</definedName>
    <definedName name="MOV.104.C.0.02.2001.00.00.371030001">0</definedName>
    <definedName name="MOV.104.C.0.02.2001.00.00.371030002">-72346.4</definedName>
    <definedName name="MOV.104.C.0.02.2001.00.00.381010001">151063.9</definedName>
    <definedName name="MOV.104.C.0.02.2001.00.00.381020001">419621.93</definedName>
    <definedName name="MOV.104.C.0.02.2001.00.00.391010001">0</definedName>
    <definedName name="MOV.104.C.0.02.2001.00.00.DBB180">-1107801.9</definedName>
    <definedName name="MOV.104.C.0.02.2001.00.00.DGAAPR17">-1995185.58</definedName>
    <definedName name="MOV.104.C.0.02.2001.00.00.DGAAPR20">-72.7</definedName>
    <definedName name="MOV.104.C.0.02.2002.00.00.13202">-2298.02</definedName>
    <definedName name="MOV.104.C.0.02.2002.00.00.311010001">2668340.9</definedName>
    <definedName name="MOV.104.C.0.02.2002.00.00.311010002">525862.3</definedName>
    <definedName name="MOV.104.C.0.02.2002.00.00.311020001">16727.27</definedName>
    <definedName name="MOV.104.C.0.02.2002.00.00.311020002">8283</definedName>
    <definedName name="MOV.104.C.0.02.2002.00.00.311020003">7154.94</definedName>
    <definedName name="MOV.104.C.0.02.2002.00.00.32101">-265114.44</definedName>
    <definedName name="MOV.104.C.0.02.2002.00.00.32102">-1174.03</definedName>
    <definedName name="MOV.104.C.0.02.2002.00.00.331010001">-237449.7</definedName>
    <definedName name="MOV.104.C.0.02.2002.00.00.331010002">-384080.07</definedName>
    <definedName name="MOV.104.C.0.02.2002.00.00.331010003">-2471.73</definedName>
    <definedName name="MOV.104.C.0.02.2002.00.00.331010004">-208873.75</definedName>
    <definedName name="MOV.104.C.0.02.2002.00.00.33102">0</definedName>
    <definedName name="MOV.104.C.0.02.2002.00.00.341">-203589.53</definedName>
    <definedName name="MOV.104.C.0.02.2002.00.00.342">-216132.09</definedName>
    <definedName name="MOV.104.C.0.02.2002.00.00.343">-16772.73</definedName>
    <definedName name="MOV.104.C.0.02.2002.00.00.344">-42232.5</definedName>
    <definedName name="MOV.104.C.0.02.2002.00.00.345">-57032.95</definedName>
    <definedName name="MOV.104.C.0.02.2002.00.00.346">-90827.1</definedName>
    <definedName name="MOV.104.C.0.02.2002.00.00.346080064">-14292.88</definedName>
    <definedName name="MOV.104.C.0.02.2002.00.00.347010058">-66340.21</definedName>
    <definedName name="MOV.104.C.0.02.2002.00.00.34702">-95826.1</definedName>
    <definedName name="MOV.104.C.0.02.2002.00.00.34704">-2400</definedName>
    <definedName name="MOV.104.C.0.02.2002.00.00.34705">0</definedName>
    <definedName name="MOV.104.C.0.02.2002.00.00.347060001">-2298.02</definedName>
    <definedName name="MOV.104.C.0.02.2002.00.00.349">343655.36</definedName>
    <definedName name="MOV.104.C.0.02.2002.00.00.351010001">0</definedName>
    <definedName name="MOV.104.C.0.02.2002.00.00.351010002">0</definedName>
    <definedName name="MOV.104.C.0.02.2002.00.00.351010004">-1075.23</definedName>
    <definedName name="MOV.104.C.0.02.2002.00.00.351010005">-4962.56</definedName>
    <definedName name="MOV.104.C.0.02.2002.00.00.351010006">7473.16</definedName>
    <definedName name="MOV.104.C.0.02.2002.00.00.351010007">129247.6</definedName>
    <definedName name="MOV.104.C.0.02.2002.00.00.351010008">28698.27</definedName>
    <definedName name="MOV.104.C.0.02.2002.00.00.351010009">0</definedName>
    <definedName name="MOV.104.C.0.02.2002.00.00.352010001">-496862.67</definedName>
    <definedName name="MOV.104.C.0.02.2002.00.00.352010006">-3303.22</definedName>
    <definedName name="MOV.104.C.0.02.2002.00.00.352010009">-27118.26</definedName>
    <definedName name="MOV.104.C.0.02.2002.00.00.361010002">-0.53</definedName>
    <definedName name="MOV.104.C.0.02.2002.00.00.361020001">-71656.3</definedName>
    <definedName name="MOV.104.C.0.02.2002.00.00.361020003">-1151056.76</definedName>
    <definedName name="MOV.104.C.0.02.2002.00.00.37102">0</definedName>
    <definedName name="MOV.104.C.0.02.2002.00.00.371030001">0</definedName>
    <definedName name="MOV.104.C.0.02.2002.00.00.371030002">-50144.12</definedName>
    <definedName name="MOV.104.C.0.02.2002.00.00.381010001">0</definedName>
    <definedName name="MOV.104.C.0.02.2002.00.00.381020001">0</definedName>
    <definedName name="MOV.104.C.0.02.2002.00.00.391010001">0</definedName>
    <definedName name="MOV.104.C.0.02.2002.00.00.DBB180">1792513.6</definedName>
    <definedName name="MOV.104.C.0.02.2002.00.00.DGAAPR17">1756374.1</definedName>
    <definedName name="MOV.104.C.0.02.2002.00.00.DGAAPR20">-508.7</definedName>
    <definedName name="MOV.104.C.0.03.2000.00.00.13202">-1300.11</definedName>
    <definedName name="MOV.104.C.0.03.2000.00.00.311010001">2077077.2</definedName>
    <definedName name="MOV.104.C.0.03.2000.00.00.311010002">385174.1</definedName>
    <definedName name="MOV.104.C.0.03.2000.00.00.311020001">13790.43</definedName>
    <definedName name="MOV.104.C.0.03.2000.00.00.311020002">0</definedName>
    <definedName name="MOV.104.C.0.03.2000.00.00.311020003">0</definedName>
    <definedName name="MOV.104.C.0.03.2000.00.00.32101">-212669.56</definedName>
    <definedName name="MOV.104.C.0.03.2000.00.00.32102">-503.35</definedName>
    <definedName name="MOV.104.C.0.03.2000.00.00.331010001">-315548.41</definedName>
    <definedName name="MOV.104.C.0.03.2000.00.00.331010002">-364678.07</definedName>
    <definedName name="MOV.104.C.0.03.2000.00.00.331010003">-2471.73</definedName>
    <definedName name="MOV.104.C.0.03.2000.00.00.331010004">-208873.75</definedName>
    <definedName name="MOV.104.C.0.03.2000.00.00.33102">0</definedName>
    <definedName name="MOV.104.C.0.03.2000.00.00.341">-183907.59</definedName>
    <definedName name="MOV.104.C.0.03.2000.00.00.342">-457459.79</definedName>
    <definedName name="MOV.104.C.0.03.2000.00.00.343">-64058.88</definedName>
    <definedName name="MOV.104.C.0.03.2000.00.00.344">-62113.29</definedName>
    <definedName name="MOV.104.C.0.03.2000.00.00.345">-47404.62</definedName>
    <definedName name="MOV.104.C.0.03.2000.00.00.346">-67924.37</definedName>
    <definedName name="MOV.104.C.0.03.2000.00.00.346080064">-7436.39</definedName>
    <definedName name="MOV.104.C.0.03.2000.00.00.347010058">-66340.21</definedName>
    <definedName name="MOV.104.C.0.03.2000.00.00.34702">-73678.44</definedName>
    <definedName name="MOV.104.C.0.03.2000.00.00.34704">500</definedName>
    <definedName name="MOV.104.C.0.03.2000.00.00.34705">0</definedName>
    <definedName name="MOV.104.C.0.03.2000.00.00.347050001">0</definedName>
    <definedName name="MOV.104.C.0.03.2000.00.00.347060001">0</definedName>
    <definedName name="MOV.104.C.0.03.2000.00.00.349">512626.81</definedName>
    <definedName name="MOV.104.C.0.03.2000.00.00.351010001">-398464.32</definedName>
    <definedName name="MOV.104.C.0.03.2000.00.00.351010002">0</definedName>
    <definedName name="MOV.104.C.0.03.2000.00.00.351010004">0</definedName>
    <definedName name="MOV.104.C.0.03.2000.00.00.351010005">0</definedName>
    <definedName name="MOV.104.C.0.03.2000.00.00.351010006">0</definedName>
    <definedName name="MOV.104.C.0.03.2000.00.00.351010007">0</definedName>
    <definedName name="MOV.104.C.0.03.2000.00.00.351010008">0</definedName>
    <definedName name="MOV.104.C.0.03.2000.00.00.352010001">-713172.47</definedName>
    <definedName name="MOV.104.C.0.03.2000.00.00.352010006">0</definedName>
    <definedName name="MOV.104.C.0.03.2000.00.00.352010009">0</definedName>
    <definedName name="MOV.104.C.0.03.2000.00.00.361010002">-106</definedName>
    <definedName name="MOV.104.C.0.03.2000.00.00.361020001">-134884.32</definedName>
    <definedName name="MOV.104.C.0.03.2000.00.00.361020003">-369023.44</definedName>
    <definedName name="MOV.104.C.0.03.2000.00.00.37102">0</definedName>
    <definedName name="MOV.104.C.0.03.2000.00.00.371030001">0</definedName>
    <definedName name="MOV.104.C.0.03.2000.00.00.371030002">0</definedName>
    <definedName name="MOV.104.C.0.03.2000.00.00.381010001">10732.91</definedName>
    <definedName name="MOV.104.C.0.03.2000.00.00.381020001">28612.17</definedName>
    <definedName name="MOV.104.C.0.03.2000.00.00.391010001">0</definedName>
    <definedName name="MOV.104.C.0.03.2000.00.00.DBB180">-76375.72</definedName>
    <definedName name="MOV.104.C.0.03.2000.00.00.DGAAPR17">638779.87</definedName>
    <definedName name="MOV.104.C.0.03.2000.00.00.DGAAPR20">-386.6</definedName>
    <definedName name="MOV.104.C.0.03.2001.00.00.13202">-1600.94</definedName>
    <definedName name="MOV.104.C.0.03.2001.00.00.311010001">1677492.7</definedName>
    <definedName name="MOV.104.C.0.03.2001.00.00.311010002">420861.1</definedName>
    <definedName name="MOV.104.C.0.03.2001.00.00.311020001">18071.57</definedName>
    <definedName name="MOV.104.C.0.03.2001.00.00.311020002">7500</definedName>
    <definedName name="MOV.104.C.0.03.2001.00.00.311020003">6500</definedName>
    <definedName name="MOV.104.C.0.03.2001.00.00.32101">-181507.6</definedName>
    <definedName name="MOV.104.C.0.03.2001.00.00.32102">-1170.62</definedName>
    <definedName name="MOV.104.C.0.03.2001.00.00.331010001">-263335.66</definedName>
    <definedName name="MOV.104.C.0.03.2001.00.00.331010002">-381567.28</definedName>
    <definedName name="MOV.104.C.0.03.2001.00.00.331010003">-2471.73</definedName>
    <definedName name="MOV.104.C.0.03.2001.00.00.331010004">-208873.75</definedName>
    <definedName name="MOV.104.C.0.03.2001.00.00.33102">0</definedName>
    <definedName name="MOV.104.C.0.03.2001.00.00.341">-179503.71</definedName>
    <definedName name="MOV.104.C.0.03.2001.00.00.342">-438894.9</definedName>
    <definedName name="MOV.104.C.0.03.2001.00.00.343">-9162.09</definedName>
    <definedName name="MOV.104.C.0.03.2001.00.00.344">-35899.23</definedName>
    <definedName name="MOV.104.C.0.03.2001.00.00.345">-32293.29</definedName>
    <definedName name="MOV.104.C.0.03.2001.00.00.346">-60653.26</definedName>
    <definedName name="MOV.104.C.0.03.2001.00.00.346080064">-5406.94</definedName>
    <definedName name="MOV.104.C.0.03.2001.00.00.347010058">-66340.21</definedName>
    <definedName name="MOV.104.C.0.03.2001.00.00.34702">-62950.61</definedName>
    <definedName name="MOV.104.C.0.03.2001.00.00.34704">-6000</definedName>
    <definedName name="MOV.104.C.0.03.2001.00.00.34705">0</definedName>
    <definedName name="MOV.104.C.0.03.2001.00.00.347050001">0</definedName>
    <definedName name="MOV.104.C.0.03.2001.00.00.347060001">-1600.94</definedName>
    <definedName name="MOV.104.C.0.03.2001.00.00.349">366464.58</definedName>
    <definedName name="MOV.104.C.0.03.2001.00.00.351010001">133281.81</definedName>
    <definedName name="MOV.104.C.0.03.2001.00.00.351010002">0</definedName>
    <definedName name="MOV.104.C.0.03.2001.00.00.351010004">-836.93</definedName>
    <definedName name="MOV.104.C.0.03.2001.00.00.351010005">-3862.76</definedName>
    <definedName name="MOV.104.C.0.03.2001.00.00.351010006">0</definedName>
    <definedName name="MOV.104.C.0.03.2001.00.00.351010007">0</definedName>
    <definedName name="MOV.104.C.0.03.2001.00.00.351010008">0</definedName>
    <definedName name="MOV.104.C.0.03.2001.00.00.352010001">-798271.84</definedName>
    <definedName name="MOV.104.C.0.03.2001.00.00.352010006">0</definedName>
    <definedName name="MOV.104.C.0.03.2001.00.00.352010009">0</definedName>
    <definedName name="MOV.104.C.0.03.2001.00.00.361010002">240.99</definedName>
    <definedName name="MOV.104.C.0.03.2001.00.00.361020001">-71627.4</definedName>
    <definedName name="MOV.104.C.0.03.2001.00.00.361020003">-51215.99</definedName>
    <definedName name="MOV.104.C.0.03.2001.00.00.37102">0</definedName>
    <definedName name="MOV.104.C.0.03.2001.00.00.371030001">0</definedName>
    <definedName name="MOV.104.C.0.03.2001.00.00.371030002">-77149.21</definedName>
    <definedName name="MOV.104.C.0.03.2001.00.00.381010001">328261.64</definedName>
    <definedName name="MOV.104.C.0.03.2001.00.00.381020001">911837.88</definedName>
    <definedName name="MOV.104.C.0.03.2001.00.00.391010001">0</definedName>
    <definedName name="MOV.104.C.0.03.2001.00.00.DBB180">-2407251.99</definedName>
    <definedName name="MOV.104.C.0.03.2001.00.00.DGAAPR17">-3342005.85</definedName>
    <definedName name="MOV.104.C.0.03.2001.00.00.DGAAPR20">-569.4</definedName>
    <definedName name="MOV.104.C.0.03.2002.00.00.13202">-2310.6</definedName>
    <definedName name="MOV.104.C.0.03.2002.00.00.3">7762.21</definedName>
    <definedName name="MOV.104.C.0.03.2002.00.00.311010001">1856732.7</definedName>
    <definedName name="MOV.104.C.0.03.2002.00.00.311010002">502835.4</definedName>
    <definedName name="MOV.104.C.0.03.2002.00.00.311020001">18416.27</definedName>
    <definedName name="MOV.104.C.0.03.2002.00.00.311020002">8283</definedName>
    <definedName name="MOV.104.C.0.03.2002.00.00.311020003">7154.94</definedName>
    <definedName name="MOV.104.C.0.03.2002.00.00.32101">-204102.63</definedName>
    <definedName name="MOV.104.C.0.03.2002.00.00.32102">-1174.03</definedName>
    <definedName name="MOV.104.C.0.03.2002.00.00.331010001">-338499.98</definedName>
    <definedName name="MOV.104.C.0.03.2002.00.00.331010002">-384408.02</definedName>
    <definedName name="MOV.104.C.0.03.2002.00.00.331010003">-2471.73</definedName>
    <definedName name="MOV.104.C.0.03.2002.00.00.331010004">-208873.75</definedName>
    <definedName name="MOV.104.C.0.03.2002.00.00.33102">0</definedName>
    <definedName name="MOV.104.C.0.03.2002.00.00.341">-208079.77</definedName>
    <definedName name="MOV.104.C.0.03.2002.00.00.342">-318153.74</definedName>
    <definedName name="MOV.104.C.0.03.2002.00.00.343">-8161.7</definedName>
    <definedName name="MOV.104.C.0.03.2002.00.00.344">-65019.7</definedName>
    <definedName name="MOV.104.C.0.03.2002.00.00.345">-52558.64</definedName>
    <definedName name="MOV.104.C.0.03.2002.00.00.346">-110101.33</definedName>
    <definedName name="MOV.104.C.0.03.2002.00.00.346080064">-34095.17</definedName>
    <definedName name="MOV.104.C.0.03.2002.00.00.347010058">-66340.21</definedName>
    <definedName name="MOV.104.C.0.03.2002.00.00.34702">-70848.19</definedName>
    <definedName name="MOV.104.C.0.03.2002.00.00.34704">-2400</definedName>
    <definedName name="MOV.104.C.0.03.2002.00.00.34705">0</definedName>
    <definedName name="MOV.104.C.0.03.2002.00.00.347060001">-2310.6</definedName>
    <definedName name="MOV.104.C.0.03.2002.00.00.349">425891.21</definedName>
    <definedName name="MOV.104.C.0.03.2002.00.00.351010001">0</definedName>
    <definedName name="MOV.104.C.0.03.2002.00.00.351010002">0</definedName>
    <definedName name="MOV.104.C.0.03.2002.00.00.351010004">-1075.23</definedName>
    <definedName name="MOV.104.C.0.03.2002.00.00.351010005">-4962.57</definedName>
    <definedName name="MOV.104.C.0.03.2002.00.00.351010006">1442.72</definedName>
    <definedName name="MOV.104.C.0.03.2002.00.00.351010007">149636.24</definedName>
    <definedName name="MOV.104.C.0.03.2002.00.00.351010008">44358.93</definedName>
    <definedName name="MOV.104.C.0.03.2002.00.00.351010009">0</definedName>
    <definedName name="MOV.104.C.0.03.2002.00.00.352010001">-540504.01</definedName>
    <definedName name="MOV.104.C.0.03.2002.00.00.352010006">-3687.17</definedName>
    <definedName name="MOV.104.C.0.03.2002.00.00.352010009">-31003.43</definedName>
    <definedName name="MOV.104.C.0.03.2002.00.00.361010002">-0.19</definedName>
    <definedName name="MOV.104.C.0.03.2002.00.00.361020001">-79406.55</definedName>
    <definedName name="MOV.104.C.0.03.2002.00.00.361020003">-845120.14</definedName>
    <definedName name="MOV.104.C.0.03.2002.00.00.37102">0</definedName>
    <definedName name="MOV.104.C.0.03.2002.00.00.371030001">0</definedName>
    <definedName name="MOV.104.C.0.03.2002.00.00.371030002">-36212.65</definedName>
    <definedName name="MOV.104.C.0.03.2002.00.00.381010001">0</definedName>
    <definedName name="MOV.104.C.0.03.2002.00.00.381020001">0</definedName>
    <definedName name="MOV.104.C.0.03.2002.00.00.391010001">0</definedName>
    <definedName name="MOV.104.C.0.03.2002.00.00.DBB180">7762.21</definedName>
    <definedName name="MOV.104.C.0.03.2002.00.00.DGAAPR17">582773.61</definedName>
    <definedName name="MOV.104.C.0.03.2002.00.00.DGAAPR20">-4286.85</definedName>
    <definedName name="MOV.104.C.0.04.1999.00.00.241010001">9246000</definedName>
    <definedName name="MOV.104.C.0.04.2000.00.00.13202">-1338.47</definedName>
    <definedName name="MOV.104.C.0.04.2000.00.00.311010001">1387365.1</definedName>
    <definedName name="MOV.104.C.0.04.2000.00.00.311010002">333268</definedName>
    <definedName name="MOV.104.C.0.04.2000.00.00.311020001">13790.43</definedName>
    <definedName name="MOV.104.C.0.04.2000.00.00.311020002">0</definedName>
    <definedName name="MOV.104.C.0.04.2000.00.00.311020003">0</definedName>
    <definedName name="MOV.104.C.0.04.2000.00.00.32101">-148834.77</definedName>
    <definedName name="MOV.104.C.0.04.2000.00.00.32102">-2164.99</definedName>
    <definedName name="MOV.104.C.0.04.2000.00.00.331010001">-244725.65</definedName>
    <definedName name="MOV.104.C.0.04.2000.00.00.331010002">-364678.07</definedName>
    <definedName name="MOV.104.C.0.04.2000.00.00.331010003">-2471.73</definedName>
    <definedName name="MOV.104.C.0.04.2000.00.00.331010004">-208873.75</definedName>
    <definedName name="MOV.104.C.0.04.2000.00.00.33102">0</definedName>
    <definedName name="MOV.104.C.0.04.2000.00.00.341">-173006.93</definedName>
    <definedName name="MOV.104.C.0.04.2000.00.00.342">-350340.43</definedName>
    <definedName name="MOV.104.C.0.04.2000.00.00.343">-10422.75</definedName>
    <definedName name="MOV.104.C.0.04.2000.00.00.344">-47932.98</definedName>
    <definedName name="MOV.104.C.0.04.2000.00.00.345">-42312.87</definedName>
    <definedName name="MOV.104.C.0.04.2000.00.00.346">-62508.18</definedName>
    <definedName name="MOV.104.C.0.04.2000.00.00.346080064">-9604.42</definedName>
    <definedName name="MOV.104.C.0.04.2000.00.00.347010058">-66340.21</definedName>
    <definedName name="MOV.104.C.0.04.2000.00.00.34702">-51618.99</definedName>
    <definedName name="MOV.104.C.0.04.2000.00.00.34704">-6000</definedName>
    <definedName name="MOV.104.C.0.04.2000.00.00.34705">0</definedName>
    <definedName name="MOV.104.C.0.04.2000.00.00.347050001">0</definedName>
    <definedName name="MOV.104.C.0.04.2000.00.00.347060001">0</definedName>
    <definedName name="MOV.104.C.0.04.2000.00.00.349">411087.04</definedName>
    <definedName name="MOV.104.C.0.04.2000.00.00.351010001">345813.49</definedName>
    <definedName name="MOV.104.C.0.04.2000.00.00.351010002">0</definedName>
    <definedName name="MOV.104.C.0.04.2000.00.00.351010004">-1.93</definedName>
    <definedName name="MOV.104.C.0.04.2000.00.00.351010005">-8.91</definedName>
    <definedName name="MOV.104.C.0.04.2000.00.00.351010006">0</definedName>
    <definedName name="MOV.104.C.0.04.2000.00.00.351010007">0</definedName>
    <definedName name="MOV.104.C.0.04.2000.00.00.351010008">0</definedName>
    <definedName name="MOV.104.C.0.04.2000.00.00.352010001">-706106.57</definedName>
    <definedName name="MOV.104.C.0.04.2000.00.00.352010006">0</definedName>
    <definedName name="MOV.104.C.0.04.2000.00.00.352010009">0</definedName>
    <definedName name="MOV.104.C.0.04.2000.00.00.361010002">297</definedName>
    <definedName name="MOV.104.C.0.04.2000.00.00.361020001">-109155.53</definedName>
    <definedName name="MOV.104.C.0.04.2000.00.00.361020003">-161154.75</definedName>
    <definedName name="MOV.104.C.0.04.2000.00.00.37102">0</definedName>
    <definedName name="MOV.104.C.0.04.2000.00.00.371030001">0</definedName>
    <definedName name="MOV.104.C.0.04.2000.00.00.371030002">0</definedName>
    <definedName name="MOV.104.C.0.04.2000.00.00.381010001">187441.66</definedName>
    <definedName name="MOV.104.C.0.04.2000.00.00.381020001">520671.3</definedName>
    <definedName name="MOV.104.C.0.04.2000.00.00.391010001">0</definedName>
    <definedName name="MOV.104.C.0.04.2000.00.00.DBB180">-1374572.22</definedName>
    <definedName name="MOV.104.C.0.04.2000.00.00.DGAAPR17">-1815418.76</definedName>
    <definedName name="MOV.104.C.0.04.2000.00.00.DGAAPR20">-227.49</definedName>
    <definedName name="MOV.104.C.0.04.2001.00.00.13202">-1629.57</definedName>
    <definedName name="MOV.104.C.0.04.2001.00.00.311010001">1508094</definedName>
    <definedName name="MOV.104.C.0.04.2001.00.00.311010002">391022.1</definedName>
    <definedName name="MOV.104.C.0.04.2001.00.00.311020001">16571.57</definedName>
    <definedName name="MOV.104.C.0.04.2001.00.00.311020002">7500</definedName>
    <definedName name="MOV.104.C.0.04.2001.00.00.311020003">6500</definedName>
    <definedName name="MOV.104.C.0.04.2001.00.00.32101">-164273.54</definedName>
    <definedName name="MOV.104.C.0.04.2001.00.00.32102">-1170.62</definedName>
    <definedName name="MOV.104.C.0.04.2001.00.00.331010001">-256117.76</definedName>
    <definedName name="MOV.104.C.0.04.2001.00.00.331010002">-381779.92</definedName>
    <definedName name="MOV.104.C.0.04.2001.00.00.331010003">-2471.73</definedName>
    <definedName name="MOV.104.C.0.04.2001.00.00.331010004">-208873.75</definedName>
    <definedName name="MOV.104.C.0.04.2001.00.00.33102">0</definedName>
    <definedName name="MOV.104.C.0.04.2001.00.00.341">-174385.73</definedName>
    <definedName name="MOV.104.C.0.04.2001.00.00.342">-362777.16</definedName>
    <definedName name="MOV.104.C.0.04.2001.00.00.343">-18531.64</definedName>
    <definedName name="MOV.104.C.0.04.2001.00.00.344">-34922.37</definedName>
    <definedName name="MOV.104.C.0.04.2001.00.00.345">-51819.74</definedName>
    <definedName name="MOV.104.C.0.04.2001.00.00.346">-69603.64</definedName>
    <definedName name="MOV.104.C.0.04.2001.00.00.346080064">-6193.29</definedName>
    <definedName name="MOV.104.C.0.04.2001.00.00.347010058">-66340.21</definedName>
    <definedName name="MOV.104.C.0.04.2001.00.00.34702">-56973.48</definedName>
    <definedName name="MOV.104.C.0.04.2001.00.00.34704">-8400</definedName>
    <definedName name="MOV.104.C.0.04.2001.00.00.34705">0</definedName>
    <definedName name="MOV.104.C.0.04.2001.00.00.347050001">0</definedName>
    <definedName name="MOV.104.C.0.04.2001.00.00.347060001">-1629.57</definedName>
    <definedName name="MOV.104.C.0.04.2001.00.00.349">392156.2</definedName>
    <definedName name="MOV.104.C.0.04.2001.00.00.351010001">132493.93</definedName>
    <definedName name="MOV.104.C.0.04.2001.00.00.351010002">0</definedName>
    <definedName name="MOV.104.C.0.04.2001.00.00.351010004">-865.16</definedName>
    <definedName name="MOV.104.C.0.04.2001.00.00.351010005">-3993.03</definedName>
    <definedName name="MOV.104.C.0.04.2001.00.00.351010006">0</definedName>
    <definedName name="MOV.104.C.0.04.2001.00.00.351010007">0</definedName>
    <definedName name="MOV.104.C.0.04.2001.00.00.351010008">0</definedName>
    <definedName name="MOV.104.C.0.04.2001.00.00.352010001">-791612.92</definedName>
    <definedName name="MOV.104.C.0.04.2001.00.00.352010006">0</definedName>
    <definedName name="MOV.104.C.0.04.2001.00.00.352010009">0</definedName>
    <definedName name="MOV.104.C.0.04.2001.00.00.361010002">45.2</definedName>
    <definedName name="MOV.104.C.0.04.2001.00.00.361020001">-64682.7</definedName>
    <definedName name="MOV.104.C.0.04.2001.00.00.361020003">-147805.64</definedName>
    <definedName name="MOV.104.C.0.04.2001.00.00.37102">0</definedName>
    <definedName name="MOV.104.C.0.04.2001.00.00.371030001">0</definedName>
    <definedName name="MOV.104.C.0.04.2001.00.00.371030002">-97013.41</definedName>
    <definedName name="MOV.104.C.0.04.2001.00.00.381010001">103050</definedName>
    <definedName name="MOV.104.C.0.04.2001.00.00.381020001">286250</definedName>
    <definedName name="MOV.104.C.0.04.2001.00.00.391010001">0</definedName>
    <definedName name="MOV.104.C.0.04.2001.00.00.DBB180">-756897.27</definedName>
    <definedName name="MOV.104.C.0.04.2001.00.00.DGAAPR17">-630973.78</definedName>
    <definedName name="MOV.104.C.0.04.2001.00.00.DGAAPR20">-3562.77</definedName>
    <definedName name="MOV.104.C.0.04.2002.00.00.13202">-2319.75</definedName>
    <definedName name="MOV.104.C.0.04.2002.00.00.3">-522573.47</definedName>
    <definedName name="MOV.104.C.0.04.2002.00.00.311010001">1379036.4</definedName>
    <definedName name="MOV.104.C.0.04.2002.00.00.311010002">421715.3</definedName>
    <definedName name="MOV.104.C.0.04.2002.00.00.311020001">18399.62</definedName>
    <definedName name="MOV.104.C.0.04.2002.00.00.311020002">8283</definedName>
    <definedName name="MOV.104.C.0.04.2002.00.00.311020003">7154.94</definedName>
    <definedName name="MOV.104.C.0.04.2002.00.00.32101">-155765.03</definedName>
    <definedName name="MOV.104.C.0.04.2002.00.00.32102">-1235.07</definedName>
    <definedName name="MOV.104.C.0.04.2002.00.00.331010001">-291733.81</definedName>
    <definedName name="MOV.104.C.0.04.2002.00.00.331010002">-384534.17</definedName>
    <definedName name="MOV.104.C.0.04.2002.00.00.331010003">-2471.73</definedName>
    <definedName name="MOV.104.C.0.04.2002.00.00.331010004">-208873.75</definedName>
    <definedName name="MOV.104.C.0.04.2002.00.00.33102">0</definedName>
    <definedName name="MOV.104.C.0.04.2002.00.00.341">-191087.38</definedName>
    <definedName name="MOV.104.C.0.04.2002.00.00.342">-311550.92</definedName>
    <definedName name="MOV.104.C.0.04.2002.00.00.343">-9010.36</definedName>
    <definedName name="MOV.104.C.0.04.2002.00.00.344">-2790.47</definedName>
    <definedName name="MOV.104.C.0.04.2002.00.00.345">-51552.64</definedName>
    <definedName name="MOV.104.C.0.04.2002.00.00.346">-89862.65</definedName>
    <definedName name="MOV.104.C.0.04.2002.00.00.346080064">-9029.69</definedName>
    <definedName name="MOV.104.C.0.04.2002.00.00.347010058">-66340.21</definedName>
    <definedName name="MOV.104.C.0.04.2002.00.00.34702">-54022.55</definedName>
    <definedName name="MOV.104.C.0.04.2002.00.00.34704">-2500</definedName>
    <definedName name="MOV.104.C.0.04.2002.00.00.34705">0</definedName>
    <definedName name="MOV.104.C.0.04.2002.00.00.349">382365.06</definedName>
    <definedName name="MOV.104.C.0.04.2002.00.00.351010001">0</definedName>
    <definedName name="MOV.104.C.0.04.2002.00.00.351010002">0</definedName>
    <definedName name="MOV.104.C.0.04.2002.00.00.351010004">-1136.37</definedName>
    <definedName name="MOV.104.C.0.04.2002.00.00.351010005">-5244.78</definedName>
    <definedName name="MOV.104.C.0.04.2002.00.00.351010006">6397.09</definedName>
    <definedName name="MOV.104.C.0.04.2002.00.00.351010007">152136.61</definedName>
    <definedName name="MOV.104.C.0.04.2002.00.00.351010008">16292.46</definedName>
    <definedName name="MOV.104.C.0.04.2002.00.00.351010009">0</definedName>
    <definedName name="MOV.104.C.0.04.2002.00.00.352010001">-521858.8</definedName>
    <definedName name="MOV.104.C.0.04.2002.00.00.352010006">-3606.97</definedName>
    <definedName name="MOV.104.C.0.04.2002.00.00.352010009">-43969.26</definedName>
    <definedName name="MOV.104.C.0.04.2002.00.00.361010002">-0.11</definedName>
    <definedName name="MOV.104.C.0.04.2002.00.00.361020001">-67484.12</definedName>
    <definedName name="MOV.104.C.0.04.2002.00.00.361020003">615782.52</definedName>
    <definedName name="MOV.104.C.0.04.2002.00.00.37102">0</definedName>
    <definedName name="MOV.104.C.0.04.2002.00.00.371030001">0</definedName>
    <definedName name="MOV.104.C.0.04.2002.00.00.371030002">-60246.61</definedName>
    <definedName name="MOV.104.C.0.04.2002.00.00.381010001">0</definedName>
    <definedName name="MOV.104.C.0.04.2002.00.00.381020001">0</definedName>
    <definedName name="MOV.104.C.0.04.2002.00.00.391010001">0</definedName>
    <definedName name="MOV.104.C.0.04.2002.00.00.DBB180">-522573.47</definedName>
    <definedName name="MOV.104.C.0.04.2002.00.00.DGAAPR17">-996267.6</definedName>
    <definedName name="MOV.104.C.0.04.2002.00.00.DGAAPR20">-4671.36</definedName>
    <definedName name="MOV.104.C.0.05.2000.00.00.13202">-1338.47</definedName>
    <definedName name="MOV.104.C.0.05.2000.00.00.311010001">1023688.6</definedName>
    <definedName name="MOV.104.C.0.05.2000.00.00.311010002">283986.6</definedName>
    <definedName name="MOV.104.C.0.05.2000.00.00.311020001">13790.43</definedName>
    <definedName name="MOV.104.C.0.05.2000.00.00.311020002">0</definedName>
    <definedName name="MOV.104.C.0.05.2000.00.00.311020003">0</definedName>
    <definedName name="MOV.104.C.0.05.2000.00.00.32101">-113113.91</definedName>
    <definedName name="MOV.104.C.0.05.2000.00.00.32102">-503.35</definedName>
    <definedName name="MOV.104.C.0.05.2000.00.00.331010001">-270857.55</definedName>
    <definedName name="MOV.104.C.0.05.2000.00.00.331010002">-364678.07</definedName>
    <definedName name="MOV.104.C.0.05.2000.00.00.331010003">-2471.73</definedName>
    <definedName name="MOV.104.C.0.05.2000.00.00.331010004">-208873.75</definedName>
    <definedName name="MOV.104.C.0.05.2000.00.00.33102">0</definedName>
    <definedName name="MOV.104.C.0.05.2000.00.00.341">-203372.82</definedName>
    <definedName name="MOV.104.C.0.05.2000.00.00.342">-292858.71</definedName>
    <definedName name="MOV.104.C.0.05.2000.00.00.343">-3072.57</definedName>
    <definedName name="MOV.104.C.0.05.2000.00.00.344">-55900.58</definedName>
    <definedName name="MOV.104.C.0.05.2000.00.00.345">-40675.72</definedName>
    <definedName name="MOV.104.C.0.05.2000.00.00.346">-87474.06</definedName>
    <definedName name="MOV.104.C.0.05.2000.00.00.346080064">-27530.84</definedName>
    <definedName name="MOV.104.C.0.05.2000.00.00.347010058">-66340.21</definedName>
    <definedName name="MOV.104.C.0.05.2000.00.00.34702">-39230.26</definedName>
    <definedName name="MOV.104.C.0.05.2000.00.00.34704">-7100</definedName>
    <definedName name="MOV.104.C.0.05.2000.00.00.34705">0</definedName>
    <definedName name="MOV.104.C.0.05.2000.00.00.347050001">0</definedName>
    <definedName name="MOV.104.C.0.05.2000.00.00.347060001">0</definedName>
    <definedName name="MOV.104.C.0.05.2000.00.00.349">338411.14</definedName>
    <definedName name="MOV.104.C.0.05.2000.00.00.351010001">149071.4</definedName>
    <definedName name="MOV.104.C.0.05.2000.00.00.351010002">0</definedName>
    <definedName name="MOV.104.C.0.05.2000.00.00.351010004">-627.38</definedName>
    <definedName name="MOV.104.C.0.05.2000.00.00.351010005">-2895.6</definedName>
    <definedName name="MOV.104.C.0.05.2000.00.00.351010006">0</definedName>
    <definedName name="MOV.104.C.0.05.2000.00.00.351010007">0</definedName>
    <definedName name="MOV.104.C.0.05.2000.00.00.351010008">0</definedName>
    <definedName name="MOV.104.C.0.05.2000.00.00.352010001">-750051.58</definedName>
    <definedName name="MOV.104.C.0.05.2000.00.00.352010006">0</definedName>
    <definedName name="MOV.104.C.0.05.2000.00.00.352010009">0</definedName>
    <definedName name="MOV.104.C.0.05.2000.00.00.361010002">99.5</definedName>
    <definedName name="MOV.104.C.0.05.2000.00.00.361020001">-111925.27</definedName>
    <definedName name="MOV.104.C.0.05.2000.00.00.361020003">-262362.96</definedName>
    <definedName name="MOV.104.C.0.05.2000.00.00.37102">0</definedName>
    <definedName name="MOV.104.C.0.05.2000.00.00.371030001">0</definedName>
    <definedName name="MOV.104.C.0.05.2000.00.00.371030002">0</definedName>
    <definedName name="MOV.104.C.0.05.2000.00.00.381010001">158053.68</definedName>
    <definedName name="MOV.104.C.0.05.2000.00.00.381020001">439038</definedName>
    <definedName name="MOV.104.C.0.05.2000.00.00.391010001">-60730.92</definedName>
    <definedName name="MOV.104.C.0.05.2000.00.00.DBB180">-1159060.33</definedName>
    <definedName name="MOV.104.C.0.05.2000.00.00.DGAAPR17">-619631.84</definedName>
    <definedName name="MOV.104.C.0.05.2000.00.00.DGAAPR20">-450.84</definedName>
    <definedName name="MOV.104.C.0.05.2001.00.00.13202">-1656.08</definedName>
    <definedName name="MOV.104.C.0.05.2001.00.00.311010001">1068282.7</definedName>
    <definedName name="MOV.104.C.0.05.2001.00.00.311010002">324717.7</definedName>
    <definedName name="MOV.104.C.0.05.2001.00.00.311020001">19571.57</definedName>
    <definedName name="MOV.104.C.0.05.2001.00.00.311020002">7500</definedName>
    <definedName name="MOV.104.C.0.05.2001.00.00.311020003">6500</definedName>
    <definedName name="MOV.104.C.0.05.2001.00.00.32101">-120587.74</definedName>
    <definedName name="MOV.104.C.0.05.2001.00.00.32102">-1170.62</definedName>
    <definedName name="MOV.104.C.0.05.2001.00.00.331010001">-277204.87</definedName>
    <definedName name="MOV.104.C.0.05.2001.00.00.331010002">-382043.24</definedName>
    <definedName name="MOV.104.C.0.05.2001.00.00.331010003">-2471.73</definedName>
    <definedName name="MOV.104.C.0.05.2001.00.00.331010004">-208873.75</definedName>
    <definedName name="MOV.104.C.0.05.2001.00.00.33102">0</definedName>
    <definedName name="MOV.104.C.0.05.2001.00.00.341">-193862.04</definedName>
    <definedName name="MOV.104.C.0.05.2001.00.00.342">-309939.05</definedName>
    <definedName name="MOV.104.C.0.05.2001.00.00.343">-11704.29</definedName>
    <definedName name="MOV.104.C.0.05.2001.00.00.344">-31716.9</definedName>
    <definedName name="MOV.104.C.0.05.2001.00.00.345">-48620.19</definedName>
    <definedName name="MOV.104.C.0.05.2001.00.00.346">-92390.54</definedName>
    <definedName name="MOV.104.C.0.05.2001.00.00.346080064">-33829.41</definedName>
    <definedName name="MOV.104.C.0.05.2001.00.00.347010058">-66340.21</definedName>
    <definedName name="MOV.104.C.0.05.2001.00.00.34702">-41845.94</definedName>
    <definedName name="MOV.104.C.0.05.2001.00.00.34704">-7200</definedName>
    <definedName name="MOV.104.C.0.05.2001.00.00.34705">0</definedName>
    <definedName name="MOV.104.C.0.05.2001.00.00.347050001">0</definedName>
    <definedName name="MOV.104.C.0.05.2001.00.00.347060001">-1656.08</definedName>
    <definedName name="MOV.104.C.0.05.2001.00.00.349">383776.24</definedName>
    <definedName name="MOV.104.C.0.05.2001.00.00.351010001">206797.08</definedName>
    <definedName name="MOV.104.C.0.05.2001.00.00.351010002">0</definedName>
    <definedName name="MOV.104.C.0.05.2001.00.00.351010004">-1346.5</definedName>
    <definedName name="MOV.104.C.0.05.2001.00.00.351010005">-6214.62</definedName>
    <definedName name="MOV.104.C.0.05.2001.00.00.351010006">0</definedName>
    <definedName name="MOV.104.C.0.05.2001.00.00.351010007">0</definedName>
    <definedName name="MOV.104.C.0.05.2001.00.00.351010008">0</definedName>
    <definedName name="MOV.104.C.0.05.2001.00.00.352010001">-832624.84</definedName>
    <definedName name="MOV.104.C.0.05.2001.00.00.352010006">0</definedName>
    <definedName name="MOV.104.C.0.05.2001.00.00.352010009">0</definedName>
    <definedName name="MOV.104.C.0.05.2001.00.00.361010002">356.94</definedName>
    <definedName name="MOV.104.C.0.05.2001.00.00.361020001">-68741.96</definedName>
    <definedName name="MOV.104.C.0.05.2001.00.00.361020003">-206711.66</definedName>
    <definedName name="MOV.104.C.0.05.2001.00.00.37102">0</definedName>
    <definedName name="MOV.104.C.0.05.2001.00.00.371030001">0</definedName>
    <definedName name="MOV.104.C.0.05.2001.00.00.371030002">-73310.12</definedName>
    <definedName name="MOV.104.C.0.05.2001.00.00.381010001">0</definedName>
    <definedName name="MOV.104.C.0.05.2001.00.00.381020001">0</definedName>
    <definedName name="MOV.104.C.0.05.2001.00.00.391010001">-71448.71</definedName>
    <definedName name="MOV.104.C.0.05.2001.00.00.DBB180">-5876708.76</definedName>
    <definedName name="MOV.104.C.0.05.2001.00.00.DGAAPR17">-4834215.69</definedName>
    <definedName name="MOV.104.C.0.05.2001.00.00.DGAAPR20">-1969.7</definedName>
    <definedName name="MOV.104.C.0.05.2002.00.00.13202">-2348.88</definedName>
    <definedName name="MOV.104.C.0.05.2002.00.00.3">-4413139.58</definedName>
    <definedName name="MOV.104.C.0.05.2002.00.00.311010001">1304514.1</definedName>
    <definedName name="MOV.104.C.0.05.2002.00.00.311010002">417168.3</definedName>
    <definedName name="MOV.104.C.0.05.2002.00.00.311020001">20055.32</definedName>
    <definedName name="MOV.104.C.0.05.2002.00.00.311020002">8283</definedName>
    <definedName name="MOV.104.C.0.05.2002.00.00.311020003">7154.94</definedName>
    <definedName name="MOV.104.C.0.05.2002.00.00.32101">-148925.51</definedName>
    <definedName name="MOV.104.C.0.05.2002.00.00.32102">-1295.51</definedName>
    <definedName name="MOV.104.C.0.05.2002.00.00.331010001">-295971.05</definedName>
    <definedName name="MOV.104.C.0.05.2002.00.00.331010002">-383819.45</definedName>
    <definedName name="MOV.104.C.0.05.2002.00.00.331010003">-2471.73</definedName>
    <definedName name="MOV.104.C.0.05.2002.00.00.331010004">-208873.75</definedName>
    <definedName name="MOV.104.C.0.05.2002.00.00.33102">0</definedName>
    <definedName name="MOV.104.C.0.05.2002.00.00.341">-224297.02</definedName>
    <definedName name="MOV.104.C.0.05.2002.00.00.342">-427355.53</definedName>
    <definedName name="MOV.104.C.0.05.2002.00.00.343">-23346.71</definedName>
    <definedName name="MOV.104.C.0.05.2002.00.00.344">-33946.34</definedName>
    <definedName name="MOV.104.C.0.05.2002.00.00.345">-74078.99</definedName>
    <definedName name="MOV.104.C.0.05.2002.00.00.346">-79228.24</definedName>
    <definedName name="MOV.104.C.0.05.2002.00.00.346080064">-42394.82</definedName>
    <definedName name="MOV.104.C.0.05.2002.00.00.347010058">-66340.21</definedName>
    <definedName name="MOV.104.C.0.05.2002.00.00.34702">-62703.49</definedName>
    <definedName name="MOV.104.C.0.05.2002.00.00.34704">-3000</definedName>
    <definedName name="MOV.104.C.0.05.2002.00.00.34705">0</definedName>
    <definedName name="MOV.104.C.0.05.2002.00.00.349">470435.14</definedName>
    <definedName name="MOV.104.C.0.05.2002.00.00.351010001">0</definedName>
    <definedName name="MOV.104.C.0.05.2002.00.00.351010002">0</definedName>
    <definedName name="MOV.104.C.0.05.2002.00.00.351010004">-811.2</definedName>
    <definedName name="MOV.104.C.0.05.2002.00.00.351010005">-3743.98</definedName>
    <definedName name="MOV.104.C.0.05.2002.00.00.351010006">-13044.47</definedName>
    <definedName name="MOV.104.C.0.05.2002.00.00.351010007">122584.96</definedName>
    <definedName name="MOV.104.C.0.05.2002.00.00.351010008">15257.75</definedName>
    <definedName name="MOV.104.C.0.05.2002.00.00.351010009">0</definedName>
    <definedName name="MOV.104.C.0.05.2002.00.00.352010001">-543233.71</definedName>
    <definedName name="MOV.104.C.0.05.2002.00.00.352010006">-3778.07</definedName>
    <definedName name="MOV.104.C.0.05.2002.00.00.352010009">-53462.67</definedName>
    <definedName name="MOV.104.C.0.05.2002.00.00.361010002">1.21</definedName>
    <definedName name="MOV.104.C.0.05.2002.00.00.361020001">-68749.61</definedName>
    <definedName name="MOV.104.C.0.05.2002.00.00.361020003">-168643.21</definedName>
    <definedName name="MOV.104.C.0.05.2002.00.00.37102">0</definedName>
    <definedName name="MOV.104.C.0.05.2002.00.00.371030001">0</definedName>
    <definedName name="MOV.104.C.0.05.2002.00.00.371030002">-118608.27</definedName>
    <definedName name="MOV.104.C.0.05.2002.00.00.381010001">0</definedName>
    <definedName name="MOV.104.C.0.05.2002.00.00.381020001">0</definedName>
    <definedName name="MOV.104.C.0.05.2002.00.00.391010001">-130003</definedName>
    <definedName name="MOV.104.C.0.05.2002.00.00.DBB180">-4413139.58</definedName>
    <definedName name="MOV.104.C.0.05.2002.00.00.DGAAPR17">-3630489.11</definedName>
    <definedName name="MOV.104.C.0.05.2002.00.00.DGAAPR20">-6024.59</definedName>
    <definedName name="MOV.104.C.0.06.2000.00.00.13202">-1349</definedName>
    <definedName name="MOV.104.C.0.06.2000.00.00.311010001">1031872.35</definedName>
    <definedName name="MOV.104.C.0.06.2000.00.00.311010002">282419.65</definedName>
    <definedName name="MOV.104.C.0.06.2000.00.00.311020001">13790.43</definedName>
    <definedName name="MOV.104.C.0.06.2000.00.00.311020002">0</definedName>
    <definedName name="MOV.104.C.0.06.2000.00.00.311020003">0</definedName>
    <definedName name="MOV.104.C.0.06.2000.00.00.32101">-113686.26</definedName>
    <definedName name="MOV.104.C.0.06.2000.00.00.32102">-503.35</definedName>
    <definedName name="MOV.104.C.0.06.2000.00.00.331010001">-242175.74</definedName>
    <definedName name="MOV.104.C.0.06.2000.00.00.331010002">-364678.07</definedName>
    <definedName name="MOV.104.C.0.06.2000.00.00.331010003">-2471.73</definedName>
    <definedName name="MOV.104.C.0.06.2000.00.00.331010004">-208873.75</definedName>
    <definedName name="MOV.104.C.0.06.2000.00.00.33102">0</definedName>
    <definedName name="MOV.104.C.0.06.2000.00.00.341">-185164.95</definedName>
    <definedName name="MOV.104.C.0.06.2000.00.00.342">-582704.1</definedName>
    <definedName name="MOV.104.C.0.06.2000.00.00.343">-5353.65</definedName>
    <definedName name="MOV.104.C.0.06.2000.00.00.344">-100410.66</definedName>
    <definedName name="MOV.104.C.0.06.2000.00.00.345">-41972.37</definedName>
    <definedName name="MOV.104.C.0.06.2000.00.00.346">-134290.11</definedName>
    <definedName name="MOV.104.C.0.06.2000.00.00.346080064">-9354.1</definedName>
    <definedName name="MOV.104.C.0.06.2000.00.00.347010058">-66340.21</definedName>
    <definedName name="MOV.104.C.0.06.2000.00.00.34702">-39428.76</definedName>
    <definedName name="MOV.104.C.0.06.2000.00.00.34704">-7200</definedName>
    <definedName name="MOV.104.C.0.06.2000.00.00.34705">0</definedName>
    <definedName name="MOV.104.C.0.06.2000.00.00.347050001">0</definedName>
    <definedName name="MOV.104.C.0.06.2000.00.00.347060001">0</definedName>
    <definedName name="MOV.104.C.0.06.2000.00.00.349">670598.67</definedName>
    <definedName name="MOV.104.C.0.06.2000.00.00.351010001">25616.55</definedName>
    <definedName name="MOV.104.C.0.06.2000.00.00.351010002">0</definedName>
    <definedName name="MOV.104.C.0.06.2000.00.00.351010004">-166.5</definedName>
    <definedName name="MOV.104.C.0.06.2000.00.00.351010005">-771.48</definedName>
    <definedName name="MOV.104.C.0.06.2000.00.00.351010006">0</definedName>
    <definedName name="MOV.104.C.0.06.2000.00.00.351010007">0</definedName>
    <definedName name="MOV.104.C.0.06.2000.00.00.351010008">0</definedName>
    <definedName name="MOV.104.C.0.06.2000.00.00.352010001">-728206.69</definedName>
    <definedName name="MOV.104.C.0.06.2000.00.00.352010006">0</definedName>
    <definedName name="MOV.104.C.0.06.2000.00.00.352010009">0</definedName>
    <definedName name="MOV.104.C.0.06.2000.00.00.361010002">-133</definedName>
    <definedName name="MOV.104.C.0.06.2000.00.00.361020001">-107373.98</definedName>
    <definedName name="MOV.104.C.0.06.2000.00.00.361020003">-627512.46</definedName>
    <definedName name="MOV.104.C.0.06.2000.00.00.37102">0</definedName>
    <definedName name="MOV.104.C.0.06.2000.00.00.371030001">0</definedName>
    <definedName name="MOV.104.C.0.06.2000.00.00.371030002">0</definedName>
    <definedName name="MOV.104.C.0.06.2000.00.00.381010001">70460.25</definedName>
    <definedName name="MOV.104.C.0.06.2000.00.00.381020001">195722.9</definedName>
    <definedName name="MOV.104.C.0.06.2000.00.00.391010001">0</definedName>
    <definedName name="MOV.104.C.0.06.2000.00.00.DBB180">-516708.48</definedName>
    <definedName name="MOV.104.C.0.06.2000.00.00.DGAAPR17">752842.59</definedName>
    <definedName name="MOV.104.C.0.06.2000.00.00.DGAAPR20">-614.05</definedName>
    <definedName name="MOV.104.C.0.06.2001.00.00.13202">-1656.08</definedName>
    <definedName name="MOV.104.C.0.06.2001.00.00.311010001">1250895.7</definedName>
    <definedName name="MOV.104.C.0.06.2001.00.00.311010002">375539.1</definedName>
    <definedName name="MOV.104.C.0.06.2001.00.00.311020001">18071.57</definedName>
    <definedName name="MOV.104.C.0.06.2001.00.00.311020002">7708.8</definedName>
    <definedName name="MOV.104.C.0.06.2001.00.00.311020003">6500</definedName>
    <definedName name="MOV.104.C.0.06.2001.00.00.32101">-140686.61</definedName>
    <definedName name="MOV.104.C.0.06.2001.00.00.32102">-1178.23</definedName>
    <definedName name="MOV.104.C.0.06.2001.00.00.331010001">-276969.71</definedName>
    <definedName name="MOV.104.C.0.06.2001.00.00.331010002">-382796.23</definedName>
    <definedName name="MOV.104.C.0.06.2001.00.00.331010003">-2471.73</definedName>
    <definedName name="MOV.104.C.0.06.2001.00.00.331010004">-208873.75</definedName>
    <definedName name="MOV.104.C.0.06.2001.00.00.33102">0</definedName>
    <definedName name="MOV.104.C.0.06.2001.00.00.341">-174175.98</definedName>
    <definedName name="MOV.104.C.0.06.2001.00.00.342">-346961.21</definedName>
    <definedName name="MOV.104.C.0.06.2001.00.00.343">-16964.19</definedName>
    <definedName name="MOV.104.C.0.06.2001.00.00.344">-74699.92</definedName>
    <definedName name="MOV.104.C.0.06.2001.00.00.345">-34314.18</definedName>
    <definedName name="MOV.104.C.0.06.2001.00.00.346">-66061.84</definedName>
    <definedName name="MOV.104.C.0.06.2001.00.00.346080064">-5144.7</definedName>
    <definedName name="MOV.104.C.0.06.2001.00.00.347010058">-66340.21</definedName>
    <definedName name="MOV.104.C.0.06.2001.00.00.34702">-48793.04</definedName>
    <definedName name="MOV.104.C.0.06.2001.00.00.34704">-7200</definedName>
    <definedName name="MOV.104.C.0.06.2001.00.00.34705">0</definedName>
    <definedName name="MOV.104.C.0.06.2001.00.00.347050001">0</definedName>
    <definedName name="MOV.104.C.0.06.2001.00.00.347060001">-1656.08</definedName>
    <definedName name="MOV.104.C.0.06.2001.00.00.349">460052.71</definedName>
    <definedName name="MOV.104.C.0.06.2001.00.00.351010001">150602.03</definedName>
    <definedName name="MOV.104.C.0.06.2001.00.00.351010002">0</definedName>
    <definedName name="MOV.104.C.0.06.2001.00.00.351010004">-978.91</definedName>
    <definedName name="MOV.104.C.0.06.2001.00.00.351010005">-4518.07</definedName>
    <definedName name="MOV.104.C.0.06.2001.00.00.351010006">0</definedName>
    <definedName name="MOV.104.C.0.06.2001.00.00.351010007">0</definedName>
    <definedName name="MOV.104.C.0.06.2001.00.00.351010008">0</definedName>
    <definedName name="MOV.104.C.0.06.2001.00.00.352010001">-789723.48</definedName>
    <definedName name="MOV.104.C.0.06.2001.00.00.352010006">0</definedName>
    <definedName name="MOV.104.C.0.06.2001.00.00.352010009">0</definedName>
    <definedName name="MOV.104.C.0.06.2001.00.00.361010002">-111.68</definedName>
    <definedName name="MOV.104.C.0.06.2001.00.00.361020001">-66000.52</definedName>
    <definedName name="MOV.104.C.0.06.2001.00.00.361020003">-1126095.78</definedName>
    <definedName name="MOV.104.C.0.06.2001.00.00.37102">0</definedName>
    <definedName name="MOV.104.C.0.06.2001.00.00.371030001">0</definedName>
    <definedName name="MOV.104.C.0.06.2001.00.00.371030002">-120210.62</definedName>
    <definedName name="MOV.104.C.0.06.2001.00.00.381010001">0</definedName>
    <definedName name="MOV.104.C.0.06.2001.00.00.381020001">0</definedName>
    <definedName name="MOV.104.C.0.06.2001.00.00.391010001">-9195.42</definedName>
    <definedName name="MOV.104.C.0.06.2001.00.00.DBB180">-258603.16</definedName>
    <definedName name="MOV.104.C.0.06.2001.00.00.DGAAPR17">1439175.92</definedName>
    <definedName name="MOV.104.C.0.06.2001.00.00.DGAAPR20">-171.6</definedName>
    <definedName name="MOV.104.C.0.06.2002.00.00.13202">-2350.74</definedName>
    <definedName name="MOV.104.C.0.06.2002.00.00.3">-8432060.32</definedName>
    <definedName name="MOV.104.C.0.06.2002.00.00.311010001">1244075.5</definedName>
    <definedName name="MOV.104.C.0.06.2002.00.00.311010002">406883.1</definedName>
    <definedName name="MOV.104.C.0.06.2002.00.00.311020001">18399.62</definedName>
    <definedName name="MOV.104.C.0.06.2002.00.00.311020002">8480.03</definedName>
    <definedName name="MOV.104.C.0.06.2002.00.00.311020003">7154.94</definedName>
    <definedName name="MOV.104.C.0.06.2002.00.00.32101">-142807.91</definedName>
    <definedName name="MOV.104.C.0.06.2002.00.00.32102">-1242.26</definedName>
    <definedName name="MOV.104.C.0.06.2002.00.00.331010001">-324237.35</definedName>
    <definedName name="MOV.104.C.0.06.2002.00.00.331010002">-384295.02</definedName>
    <definedName name="MOV.104.C.0.06.2002.00.00.331010003">-2471.73</definedName>
    <definedName name="MOV.104.C.0.06.2002.00.00.331010004">-208873.75</definedName>
    <definedName name="MOV.104.C.0.06.2002.00.00.33102">0</definedName>
    <definedName name="MOV.104.C.0.06.2002.00.00.341">-211640.51</definedName>
    <definedName name="MOV.104.C.0.06.2002.00.00.342">-397179.08</definedName>
    <definedName name="MOV.104.C.0.06.2002.00.00.343">-10222.3</definedName>
    <definedName name="MOV.104.C.0.06.2002.00.00.344">-68084.43</definedName>
    <definedName name="MOV.104.C.0.06.2002.00.00.345">-95302.73</definedName>
    <definedName name="MOV.104.C.0.06.2002.00.00.346">-52303.66</definedName>
    <definedName name="MOV.104.C.0.06.2002.00.00.346080064">-6080.25</definedName>
    <definedName name="MOV.104.C.0.06.2002.00.00.347010058">-66340.21</definedName>
    <definedName name="MOV.104.C.0.06.2002.00.00.34702">-38475.74</definedName>
    <definedName name="MOV.104.C.0.06.2002.00.00.34704">-3000</definedName>
    <definedName name="MOV.104.C.0.06.2002.00.00.34705">0</definedName>
    <definedName name="MOV.104.C.0.06.2002.00.00.349">511028.76</definedName>
    <definedName name="MOV.104.C.0.06.2002.00.00.351010001">0</definedName>
    <definedName name="MOV.104.C.0.06.2002.00.00.351010002">0</definedName>
    <definedName name="MOV.104.C.0.06.2002.00.00.351010004">-1153.29</definedName>
    <definedName name="MOV.104.C.0.06.2002.00.00.351010005">-5322.85</definedName>
    <definedName name="MOV.104.C.0.06.2002.00.00.351010006">2360.4</definedName>
    <definedName name="MOV.104.C.0.06.2002.00.00.351010007">149297.28</definedName>
    <definedName name="MOV.104.C.0.06.2002.00.00.351010008">25767.65</definedName>
    <definedName name="MOV.104.C.0.06.2002.00.00.351010009">0</definedName>
    <definedName name="MOV.104.C.0.06.2002.00.00.352010001">-558459.76</definedName>
    <definedName name="MOV.104.C.0.06.2002.00.00.352010006">-3722.34</definedName>
    <definedName name="MOV.104.C.0.06.2002.00.00.352010009">-74846.71</definedName>
    <definedName name="MOV.104.C.0.06.2002.00.00.361010002">2.85</definedName>
    <definedName name="MOV.104.C.0.06.2002.00.00.361020001">-66370.26</definedName>
    <definedName name="MOV.104.C.0.06.2002.00.00.361020003">-411827.84</definedName>
    <definedName name="MOV.104.C.0.06.2002.00.00.37102">0</definedName>
    <definedName name="MOV.104.C.0.06.2002.00.00.371030001">0</definedName>
    <definedName name="MOV.104.C.0.06.2002.00.00.371030002">-118136.04</definedName>
    <definedName name="MOV.104.C.0.06.2002.00.00.381010001">0</definedName>
    <definedName name="MOV.104.C.0.06.2002.00.00.381020001">0</definedName>
    <definedName name="MOV.104.C.0.06.2002.00.00.391010001">0</definedName>
    <definedName name="MOV.104.C.0.06.2002.00.00.DBB180">-8432060.32</definedName>
    <definedName name="MOV.104.C.0.06.2002.00.00.DGAAPR17">-7556672.74</definedName>
    <definedName name="MOV.104.C.0.06.2002.00.00.DGAAPR20">-171.2</definedName>
    <definedName name="MOV.104.C.0.07.2000.00.00.13202">-1349</definedName>
    <definedName name="MOV.104.C.0.07.2000.00.00.311010001">1216656.4</definedName>
    <definedName name="MOV.104.C.0.07.2000.00.00.311010002">276888.6</definedName>
    <definedName name="MOV.104.C.0.07.2000.00.00.311020001">13790.43</definedName>
    <definedName name="MOV.104.C.0.07.2000.00.00.311020002">0</definedName>
    <definedName name="MOV.104.C.0.07.2000.00.00.311020003">0</definedName>
    <definedName name="MOV.104.C.0.07.2000.00.00.32101">-129191.64</definedName>
    <definedName name="MOV.104.C.0.07.2000.00.00.32102">-503.35</definedName>
    <definedName name="MOV.104.C.0.07.2000.00.00.331010001">-203409.5</definedName>
    <definedName name="MOV.104.C.0.07.2000.00.00.331010002">-364678.07</definedName>
    <definedName name="MOV.104.C.0.07.2000.00.00.331010003">-2471.73</definedName>
    <definedName name="MOV.104.C.0.07.2000.00.00.331010004">-208873.75</definedName>
    <definedName name="MOV.104.C.0.07.2000.00.00.33102">0</definedName>
    <definedName name="MOV.104.C.0.07.2000.00.00.341">-191605.56</definedName>
    <definedName name="MOV.104.C.0.07.2000.00.00.342">-305840.35</definedName>
    <definedName name="MOV.104.C.0.07.2000.00.00.343">-9678</definedName>
    <definedName name="MOV.104.C.0.07.2000.00.00.344">-52962.71</definedName>
    <definedName name="MOV.104.C.0.07.2000.00.00.345">-74731.51</definedName>
    <definedName name="MOV.104.C.0.07.2000.00.00.346">-43318.02</definedName>
    <definedName name="MOV.104.C.0.07.2000.00.00.346080064">-4170.66</definedName>
    <definedName name="MOV.104.C.0.07.2000.00.00.347010058">-66340.21</definedName>
    <definedName name="MOV.104.C.0.07.2000.00.00.34702">-44806.35</definedName>
    <definedName name="MOV.104.C.0.07.2000.00.00.34704">-7200</definedName>
    <definedName name="MOV.104.C.0.07.2000.00.00.34705">0</definedName>
    <definedName name="MOV.104.C.0.07.2000.00.00.347050001">0</definedName>
    <definedName name="MOV.104.C.0.07.2000.00.00.347060001">0</definedName>
    <definedName name="MOV.104.C.0.07.2000.00.00.349">364029.8</definedName>
    <definedName name="MOV.104.C.0.07.2000.00.00.351010001">-9195.84</definedName>
    <definedName name="MOV.104.C.0.07.2000.00.00.351010002">0</definedName>
    <definedName name="MOV.104.C.0.07.2000.00.00.351010004">0</definedName>
    <definedName name="MOV.104.C.0.07.2000.00.00.351010005">0</definedName>
    <definedName name="MOV.104.C.0.07.2000.00.00.351010006">0</definedName>
    <definedName name="MOV.104.C.0.07.2000.00.00.351010007">0</definedName>
    <definedName name="MOV.104.C.0.07.2000.00.00.351010008">0</definedName>
    <definedName name="MOV.104.C.0.07.2000.00.00.352010001">-744381.95</definedName>
    <definedName name="MOV.104.C.0.07.2000.00.00.352010006">0</definedName>
    <definedName name="MOV.104.C.0.07.2000.00.00.352010009">0</definedName>
    <definedName name="MOV.104.C.0.07.2000.00.00.361010002">-126</definedName>
    <definedName name="MOV.104.C.0.07.2000.00.00.361020001">-94915.5</definedName>
    <definedName name="MOV.104.C.0.07.2000.00.00.361020003">-1255990.21</definedName>
    <definedName name="MOV.104.C.0.07.2000.00.00.37102">0</definedName>
    <definedName name="MOV.104.C.0.07.2000.00.00.371030001">0</definedName>
    <definedName name="MOV.104.C.0.07.2000.00.00.371030002">0</definedName>
    <definedName name="MOV.104.C.0.07.2000.00.00.381010001">-110122.04</definedName>
    <definedName name="MOV.104.C.0.07.2000.00.00.381020001">-305894.54</definedName>
    <definedName name="MOV.104.C.0.07.2000.00.00.391010001">-4082.31</definedName>
    <definedName name="MOV.104.C.0.07.2000.00.00.DBB180">-1639594.75</definedName>
    <definedName name="MOV.104.C.0.07.2000.00.00.DGAAPR17">719839.59</definedName>
    <definedName name="MOV.104.C.0.07.2000.00.00.DGAAPR20">-480.43</definedName>
    <definedName name="MOV.104.C.0.07.2001.00.00.13202">-1673.88</definedName>
    <definedName name="MOV.104.C.0.07.2001.00.00.311010001">1463306.1</definedName>
    <definedName name="MOV.104.C.0.07.2001.00.00.311010002">410823.2</definedName>
    <definedName name="MOV.104.C.0.07.2001.00.00.311020001">18071.57</definedName>
    <definedName name="MOV.104.C.0.07.2001.00.00.311020002">8283</definedName>
    <definedName name="MOV.104.C.0.07.2001.00.00.311020003">6500</definedName>
    <definedName name="MOV.104.C.0.07.2001.00.00.32101">-162112.19</definedName>
    <definedName name="MOV.104.C.0.07.2001.00.00.32102">-1199.19</definedName>
    <definedName name="MOV.104.C.0.07.2001.00.00.331010001">-262603.05</definedName>
    <definedName name="MOV.104.C.0.07.2001.00.00.331010002">-381548.39</definedName>
    <definedName name="MOV.104.C.0.07.2001.00.00.331010003">-2471.73</definedName>
    <definedName name="MOV.104.C.0.07.2001.00.00.331010004">-208873.75</definedName>
    <definedName name="MOV.104.C.0.07.2001.00.00.33102">0</definedName>
    <definedName name="MOV.104.C.0.07.2001.00.00.341">-176711.23</definedName>
    <definedName name="MOV.104.C.0.07.2001.00.00.342">-362016.67</definedName>
    <definedName name="MOV.104.C.0.07.2001.00.00.343">-12533.88</definedName>
    <definedName name="MOV.104.C.0.07.2001.00.00.344">-28227.71</definedName>
    <definedName name="MOV.104.C.0.07.2001.00.00.345">-133372.26</definedName>
    <definedName name="MOV.104.C.0.07.2001.00.00.346">-63796.06</definedName>
    <definedName name="MOV.104.C.0.07.2001.00.00.346080064">-5457.53</definedName>
    <definedName name="MOV.104.C.0.07.2001.00.00.347010058">-66340.21</definedName>
    <definedName name="MOV.104.C.0.07.2001.00.00.34702">-56223.88</definedName>
    <definedName name="MOV.104.C.0.07.2001.00.00.34704">-7200</definedName>
    <definedName name="MOV.104.C.0.07.2001.00.00.34705">0</definedName>
    <definedName name="MOV.104.C.0.07.2001.00.00.347050001">0</definedName>
    <definedName name="MOV.104.C.0.07.2001.00.00.347060001">-1673.88</definedName>
    <definedName name="MOV.104.C.0.07.2001.00.00.349">425682.66</definedName>
    <definedName name="MOV.104.C.0.07.2001.00.00.351010001">-888173.2</definedName>
    <definedName name="MOV.104.C.0.07.2001.00.00.351010002">0</definedName>
    <definedName name="MOV.104.C.0.07.2001.00.00.351010004">-1364.78</definedName>
    <definedName name="MOV.104.C.0.07.2001.00.00.351010005">-6298.94</definedName>
    <definedName name="MOV.104.C.0.07.2001.00.00.351010006">97869.87</definedName>
    <definedName name="MOV.104.C.0.07.2001.00.00.351010007">739544.84</definedName>
    <definedName name="MOV.104.C.0.07.2001.00.00.351010008">260467</definedName>
    <definedName name="MOV.104.C.0.07.2001.00.00.352010001">-858660.37</definedName>
    <definedName name="MOV.104.C.0.07.2001.00.00.352010006">0</definedName>
    <definedName name="MOV.104.C.0.07.2001.00.00.352010009">0</definedName>
    <definedName name="MOV.104.C.0.07.2001.00.00.361010002">256.2</definedName>
    <definedName name="MOV.104.C.0.07.2001.00.00.361020001">-72962.35</definedName>
    <definedName name="MOV.104.C.0.07.2001.00.00.361020003">-483529.44</definedName>
    <definedName name="MOV.104.C.0.07.2001.00.00.37102">0</definedName>
    <definedName name="MOV.104.C.0.07.2001.00.00.371030001">0</definedName>
    <definedName name="MOV.104.C.0.07.2001.00.00.371030002">-146897.51</definedName>
    <definedName name="MOV.104.C.0.07.2001.00.00.381010001">0</definedName>
    <definedName name="MOV.104.C.0.07.2001.00.00.381020001">0</definedName>
    <definedName name="MOV.104.C.0.07.2001.00.00.391010001">0</definedName>
    <definedName name="MOV.104.C.0.07.2001.00.00.DBB180">-4256264.7</definedName>
    <definedName name="MOV.104.C.0.07.2001.00.00.DGAAPR17">-3299368.23</definedName>
    <definedName name="MOV.104.C.0.07.2001.00.00.DGAAPR20">-2910.24</definedName>
    <definedName name="MOV.104.C.0.07.2002.00.00.13202">-2350.74</definedName>
    <definedName name="MOV.104.C.0.07.2002.00.00.311010001">1513574.9</definedName>
    <definedName name="MOV.104.C.0.07.2002.00.00.311010002">442429.8</definedName>
    <definedName name="MOV.104.C.0.07.2002.00.00.311020001">18399.62</definedName>
    <definedName name="MOV.104.C.0.07.2002.00.00.311020002">9021.83</definedName>
    <definedName name="MOV.104.C.0.07.2002.00.00.311020003">7154.94</definedName>
    <definedName name="MOV.104.C.0.07.2002.00.00.32101">-169194.4</definedName>
    <definedName name="MOV.104.C.0.07.2002.00.00.32102">-1262.04</definedName>
    <definedName name="MOV.104.C.0.07.2002.00.00.331010001">-290781.13</definedName>
    <definedName name="MOV.104.C.0.07.2002.00.00.331010002">-384428.86</definedName>
    <definedName name="MOV.104.C.0.07.2002.00.00.331010003">-2471.73</definedName>
    <definedName name="MOV.104.C.0.07.2002.00.00.331010004">-208873.75</definedName>
    <definedName name="MOV.104.C.0.07.2002.00.00.33102">0</definedName>
    <definedName name="MOV.104.C.0.07.2002.00.00.341">-219913.43</definedName>
    <definedName name="MOV.104.C.0.07.2002.00.00.342">-403206.11</definedName>
    <definedName name="MOV.104.C.0.07.2002.00.00.343">-18776.63</definedName>
    <definedName name="MOV.104.C.0.07.2002.00.00.344">-60865.09</definedName>
    <definedName name="MOV.104.C.0.07.2002.00.00.345">-85339.99</definedName>
    <definedName name="MOV.104.C.0.07.2002.00.00.346">-85396.26</definedName>
    <definedName name="MOV.104.C.0.07.2002.00.00.346080064">-7924.96</definedName>
    <definedName name="MOV.104.C.0.07.2002.00.00.347010058">-66340.21</definedName>
    <definedName name="MOV.104.C.0.07.2002.00.00.34702">-58680.14</definedName>
    <definedName name="MOV.104.C.0.07.2002.00.00.34704">-3500</definedName>
    <definedName name="MOV.104.C.0.07.2002.00.00.34705">0</definedName>
    <definedName name="MOV.104.C.0.07.2002.00.00.349">481264.07</definedName>
    <definedName name="MOV.104.C.0.07.2002.00.00.351010001">0</definedName>
    <definedName name="MOV.104.C.0.07.2002.00.00.351010002">0</definedName>
    <definedName name="MOV.104.C.0.07.2002.00.00.351010004">-1407.39</definedName>
    <definedName name="MOV.104.C.0.07.2002.00.00.351010005">-6495.67</definedName>
    <definedName name="MOV.104.C.0.07.2002.00.00.351010006">716.56</definedName>
    <definedName name="MOV.104.C.0.07.2002.00.00.351010007">180491.22</definedName>
    <definedName name="MOV.104.C.0.07.2002.00.00.351010008">35310.11</definedName>
    <definedName name="MOV.104.C.0.07.2002.00.00.351010009">0</definedName>
    <definedName name="MOV.104.C.0.07.2002.00.00.352010001">-626348.13</definedName>
    <definedName name="MOV.104.C.0.07.2002.00.00.352010006">-3932.33</definedName>
    <definedName name="MOV.104.C.0.07.2002.00.00.352010009">-89996.74</definedName>
    <definedName name="MOV.104.C.0.07.2002.00.00.361010002">4.43</definedName>
    <definedName name="MOV.104.C.0.07.2002.00.00.361020001">-77079.79</definedName>
    <definedName name="MOV.104.C.0.07.2002.00.00.361020003">-2168001.01</definedName>
    <definedName name="MOV.104.C.0.07.2002.00.00.37102">0</definedName>
    <definedName name="MOV.104.C.0.07.2002.00.00.371030001">0</definedName>
    <definedName name="MOV.104.C.0.07.2002.00.00.371030002">-104957.21</definedName>
    <definedName name="MOV.104.C.0.07.2002.00.00.381010001">0</definedName>
    <definedName name="MOV.104.C.0.07.2002.00.00.381020001">0</definedName>
    <definedName name="MOV.104.C.0.07.2002.00.00.391010001">0</definedName>
    <definedName name="MOV.104.C.0.07.2002.00.00.DBB180">-16236027.88</definedName>
    <definedName name="MOV.104.C.0.07.2002.00.00.DGAAPR17">-13779474.21</definedName>
    <definedName name="MOV.104.C.0.07.2002.00.00.DGAAPR20">-5322.37</definedName>
    <definedName name="MOV.104.C.0.08.2000.00.00.13202">-1371.37</definedName>
    <definedName name="MOV.104.C.0.08.2000.00.00.311010001">949273.65</definedName>
    <definedName name="MOV.104.C.0.08.2000.00.00.311010002">216322.7</definedName>
    <definedName name="MOV.104.C.0.08.2000.00.00.311020001">13790.43</definedName>
    <definedName name="MOV.104.C.0.08.2000.00.00.311020002">17250.06</definedName>
    <definedName name="MOV.104.C.0.08.2000.00.00.311020003">128592</definedName>
    <definedName name="MOV.104.C.0.08.2000.00.00.32101">-100824.09</definedName>
    <definedName name="MOV.104.C.0.08.2000.00.00.32102">-5826.58</definedName>
    <definedName name="MOV.104.C.0.08.2000.00.00.331010001">-280424.02</definedName>
    <definedName name="MOV.104.C.0.08.2000.00.00.331010002">-364678.07</definedName>
    <definedName name="MOV.104.C.0.08.2000.00.00.331010003">-2471.73</definedName>
    <definedName name="MOV.104.C.0.08.2000.00.00.331010004">-208873.75</definedName>
    <definedName name="MOV.104.C.0.08.2000.00.00.33102">0</definedName>
    <definedName name="MOV.104.C.0.08.2000.00.00.341">-163663.48</definedName>
    <definedName name="MOV.104.C.0.08.2000.00.00.342">-368511.51</definedName>
    <definedName name="MOV.104.C.0.08.2000.00.00.343">-5458.34</definedName>
    <definedName name="MOV.104.C.0.08.2000.00.00.344">-24695.35</definedName>
    <definedName name="MOV.104.C.0.08.2000.00.00.345">-55961.55</definedName>
    <definedName name="MOV.104.C.0.08.2000.00.00.346">-104926.12</definedName>
    <definedName name="MOV.104.C.0.08.2000.00.00.346080064">-3902.55</definedName>
    <definedName name="MOV.104.C.0.08.2000.00.00.347010058">-66340.21</definedName>
    <definedName name="MOV.104.C.0.08.2000.00.00.34702">-34967.89</definedName>
    <definedName name="MOV.104.C.0.08.2000.00.00.34704">-7200</definedName>
    <definedName name="MOV.104.C.0.08.2000.00.00.34705">0</definedName>
    <definedName name="MOV.104.C.0.08.2000.00.00.347050001">0</definedName>
    <definedName name="MOV.104.C.0.08.2000.00.00.347060001">0</definedName>
    <definedName name="MOV.104.C.0.08.2000.00.00.349">433265.57</definedName>
    <definedName name="MOV.104.C.0.08.2000.00.00.351010001">174406.91</definedName>
    <definedName name="MOV.104.C.0.08.2000.00.00.351010002">0</definedName>
    <definedName name="MOV.104.C.0.08.2000.00.00.351010004">-1135.22</definedName>
    <definedName name="MOV.104.C.0.08.2000.00.00.351010005">-5239.5</definedName>
    <definedName name="MOV.104.C.0.08.2000.00.00.351010006">0</definedName>
    <definedName name="MOV.104.C.0.08.2000.00.00.351010007">0</definedName>
    <definedName name="MOV.104.C.0.08.2000.00.00.351010008">0</definedName>
    <definedName name="MOV.104.C.0.08.2000.00.00.352010001">-751978.99</definedName>
    <definedName name="MOV.104.C.0.08.2000.00.00.352010006">0</definedName>
    <definedName name="MOV.104.C.0.08.2000.00.00.352010009">0</definedName>
    <definedName name="MOV.104.C.0.08.2000.00.00.361010002">243</definedName>
    <definedName name="MOV.104.C.0.08.2000.00.00.361020001">-93699.01</definedName>
    <definedName name="MOV.104.C.0.08.2000.00.00.361020003">-860508.76</definedName>
    <definedName name="MOV.104.C.0.08.2000.00.00.37102">5545.91</definedName>
    <definedName name="MOV.104.C.0.08.2000.00.00.371030001">0</definedName>
    <definedName name="MOV.104.C.0.08.2000.00.00.371030002">0</definedName>
    <definedName name="MOV.104.C.0.08.2000.00.00.381010001">488261.29</definedName>
    <definedName name="MOV.104.C.0.08.2000.00.00.381020001">1356322.32</definedName>
    <definedName name="MOV.104.C.0.08.2000.00.00.391010001">-277.18</definedName>
    <definedName name="MOV.104.C.0.08.2000.00.00.DBB180">-1133505.94</definedName>
    <definedName name="MOV.104.C.0.08.2000.00.00.DGAAPR17">-1408965.2</definedName>
    <definedName name="MOV.104.C.0.08.2000.00.00.DGAAPR20">-153.23</definedName>
    <definedName name="MOV.104.C.0.08.2001.00.00.13202">-1673.88</definedName>
    <definedName name="MOV.104.C.0.08.2001.00.00.311010001">1226454.4</definedName>
    <definedName name="MOV.104.C.0.08.2001.00.00.311010002">386532.7</definedName>
    <definedName name="MOV.104.C.0.08.2001.00.00.311020001">18071.57</definedName>
    <definedName name="MOV.104.C.0.08.2001.00.00.311020002">8283</definedName>
    <definedName name="MOV.104.C.0.08.2001.00.00.311020003">6500</definedName>
    <definedName name="MOV.104.C.0.08.2001.00.00.32101">-139523.39</definedName>
    <definedName name="MOV.104.C.0.08.2001.00.00.32102">-1199.19</definedName>
    <definedName name="MOV.104.C.0.08.2001.00.00.331010001">-255684.11</definedName>
    <definedName name="MOV.104.C.0.08.2001.00.00.331010002">-382285.72</definedName>
    <definedName name="MOV.104.C.0.08.2001.00.00.331010003">-2471.73</definedName>
    <definedName name="MOV.104.C.0.08.2001.00.00.331010004">-208873.75</definedName>
    <definedName name="MOV.104.C.0.08.2001.00.00.33102">0</definedName>
    <definedName name="MOV.104.C.0.08.2001.00.00.341">-174168.95</definedName>
    <definedName name="MOV.104.C.0.08.2001.00.00.342">-261641.19</definedName>
    <definedName name="MOV.104.C.0.08.2001.00.00.343">-9600.95</definedName>
    <definedName name="MOV.104.C.0.08.2001.00.00.344">-13426.94</definedName>
    <definedName name="MOV.104.C.0.08.2001.00.00.345">-56973.64</definedName>
    <definedName name="MOV.104.C.0.08.2001.00.00.346">-83505.95</definedName>
    <definedName name="MOV.104.C.0.08.2001.00.00.346080064">-8075.09</definedName>
    <definedName name="MOV.104.C.0.08.2001.00.00.347010058">-66340.21</definedName>
    <definedName name="MOV.104.C.0.08.2001.00.00.34702">-48389.61</definedName>
    <definedName name="MOV.104.C.0.08.2001.00.00.34704">-3000</definedName>
    <definedName name="MOV.104.C.0.08.2001.00.00.34705">0</definedName>
    <definedName name="MOV.104.C.0.08.2001.00.00.347050001">0</definedName>
    <definedName name="MOV.104.C.0.08.2001.00.00.347060001">-1673.88</definedName>
    <definedName name="MOV.104.C.0.08.2001.00.00.349">351454.44</definedName>
    <definedName name="MOV.104.C.0.08.2001.00.00.351010001">0</definedName>
    <definedName name="MOV.104.C.0.08.2001.00.00.351010002">205.5</definedName>
    <definedName name="MOV.104.C.0.08.2001.00.00.351010004">-1296.73</definedName>
    <definedName name="MOV.104.C.0.08.2001.00.00.351010005">-5984.92</definedName>
    <definedName name="MOV.104.C.0.08.2001.00.00.351010006">20960.36</definedName>
    <definedName name="MOV.104.C.0.08.2001.00.00.351010007">27661.98</definedName>
    <definedName name="MOV.104.C.0.08.2001.00.00.351010008">150497.79</definedName>
    <definedName name="MOV.104.C.0.08.2001.00.00.352010001">-860713.72</definedName>
    <definedName name="MOV.104.C.0.08.2001.00.00.352010006">0</definedName>
    <definedName name="MOV.104.C.0.08.2001.00.00.352010009">0</definedName>
    <definedName name="MOV.104.C.0.08.2001.00.00.361010002">246.63</definedName>
    <definedName name="MOV.104.C.0.08.2001.00.00.361020001">-72478.31</definedName>
    <definedName name="MOV.104.C.0.08.2001.00.00.361020003">-1280585.04</definedName>
    <definedName name="MOV.104.C.0.08.2001.00.00.37102">0</definedName>
    <definedName name="MOV.104.C.0.08.2001.00.00.371030001">0</definedName>
    <definedName name="MOV.104.C.0.08.2001.00.00.371030002">-74360.13</definedName>
    <definedName name="MOV.104.C.0.08.2001.00.00.381010001">0</definedName>
    <definedName name="MOV.104.C.0.08.2001.00.00.381020001">0</definedName>
    <definedName name="MOV.104.C.0.08.2001.00.00.391010001">0</definedName>
    <definedName name="MOV.104.C.0.08.2001.00.00.DBB180">-5007539.51</definedName>
    <definedName name="MOV.104.C.0.08.2001.00.00.DGAAPR17">-3197462.89</definedName>
    <definedName name="MOV.104.C.0.08.2001.00.00.DGAAPR20">-2766.93</definedName>
    <definedName name="MOV.104.C.0.08.2002.00.00.13202">0</definedName>
    <definedName name="MOV.104.C.0.08.2002.00.00.311010001">0</definedName>
    <definedName name="MOV.104.C.0.08.2002.00.00.311010002">0</definedName>
    <definedName name="MOV.104.C.0.08.2002.00.00.311020001">0</definedName>
    <definedName name="MOV.104.C.0.08.2002.00.00.311020002">0</definedName>
    <definedName name="MOV.104.C.0.08.2002.00.00.311020003">0</definedName>
    <definedName name="MOV.104.C.0.08.2002.00.00.32101">0</definedName>
    <definedName name="MOV.104.C.0.08.2002.00.00.32102">0</definedName>
    <definedName name="MOV.104.C.0.08.2002.00.00.331010001">0</definedName>
    <definedName name="MOV.104.C.0.08.2002.00.00.331010002">0</definedName>
    <definedName name="MOV.104.C.0.08.2002.00.00.331010003">0</definedName>
    <definedName name="MOV.104.C.0.08.2002.00.00.331010004">0</definedName>
    <definedName name="MOV.104.C.0.08.2002.00.00.33102">0</definedName>
    <definedName name="MOV.104.C.0.08.2002.00.00.341">0</definedName>
    <definedName name="MOV.104.C.0.08.2002.00.00.342">0</definedName>
    <definedName name="MOV.104.C.0.08.2002.00.00.343">0</definedName>
    <definedName name="MOV.104.C.0.08.2002.00.00.344">0</definedName>
    <definedName name="MOV.104.C.0.08.2002.00.00.345">0</definedName>
    <definedName name="MOV.104.C.0.08.2002.00.00.346">0</definedName>
    <definedName name="MOV.104.C.0.08.2002.00.00.346080064">0</definedName>
    <definedName name="MOV.104.C.0.08.2002.00.00.347010058">0</definedName>
    <definedName name="MOV.104.C.0.08.2002.00.00.34702">0</definedName>
    <definedName name="MOV.104.C.0.08.2002.00.00.34704">0</definedName>
    <definedName name="MOV.104.C.0.08.2002.00.00.34705">0</definedName>
    <definedName name="MOV.104.C.0.08.2002.00.00.349">0</definedName>
    <definedName name="MOV.104.C.0.08.2002.00.00.351010001">0</definedName>
    <definedName name="MOV.104.C.0.08.2002.00.00.351010002">0</definedName>
    <definedName name="MOV.104.C.0.08.2002.00.00.351010004">0</definedName>
    <definedName name="MOV.104.C.0.08.2002.00.00.351010005">0</definedName>
    <definedName name="MOV.104.C.0.08.2002.00.00.351010006">0</definedName>
    <definedName name="MOV.104.C.0.08.2002.00.00.351010007">0</definedName>
    <definedName name="MOV.104.C.0.08.2002.00.00.351010008">0</definedName>
    <definedName name="MOV.104.C.0.08.2002.00.00.351010009">0</definedName>
    <definedName name="MOV.104.C.0.08.2002.00.00.352010001">0</definedName>
    <definedName name="MOV.104.C.0.08.2002.00.00.352010006">0</definedName>
    <definedName name="MOV.104.C.0.08.2002.00.00.352010009">0</definedName>
    <definedName name="MOV.104.C.0.08.2002.00.00.361010002">0</definedName>
    <definedName name="MOV.104.C.0.08.2002.00.00.361020001">0</definedName>
    <definedName name="MOV.104.C.0.08.2002.00.00.361020003">0</definedName>
    <definedName name="MOV.104.C.0.08.2002.00.00.37102">0</definedName>
    <definedName name="MOV.104.C.0.08.2002.00.00.371030001">0</definedName>
    <definedName name="MOV.104.C.0.08.2002.00.00.371030002">0</definedName>
    <definedName name="MOV.104.C.0.08.2002.00.00.381010001">0</definedName>
    <definedName name="MOV.104.C.0.08.2002.00.00.381020001">0</definedName>
    <definedName name="MOV.104.C.0.08.2002.00.00.391010001">0</definedName>
    <definedName name="MOV.104.C.0.08.2002.00.00.DBB180">0</definedName>
    <definedName name="MOV.104.C.0.08.2002.00.00.DGAAPR17">0</definedName>
    <definedName name="MOV.104.C.0.08.2002.00.00.DGAAPR20">0</definedName>
    <definedName name="MOV.104.C.0.09.2000.00.00.13202">-1371.37</definedName>
    <definedName name="MOV.104.C.0.09.2000.00.00.311010001">1246561.5</definedName>
    <definedName name="MOV.104.C.0.09.2000.00.00.311010002">263774.9</definedName>
    <definedName name="MOV.104.C.0.09.2000.00.00.311020001">13790.43</definedName>
    <definedName name="MOV.104.C.0.09.2000.00.00.311020002">7500</definedName>
    <definedName name="MOV.104.C.0.09.2000.00.00.311020003">0</definedName>
    <definedName name="MOV.104.C.0.09.2000.00.00.32101">-130644.11</definedName>
    <definedName name="MOV.104.C.0.09.2000.00.00.32102">-777.1</definedName>
    <definedName name="MOV.104.C.0.09.2000.00.00.331010001">-264237.79</definedName>
    <definedName name="MOV.104.C.0.09.2000.00.00.331010002">-364678.07</definedName>
    <definedName name="MOV.104.C.0.09.2000.00.00.331010003">-2471.73</definedName>
    <definedName name="MOV.104.C.0.09.2000.00.00.331010004">-208873.75</definedName>
    <definedName name="MOV.104.C.0.09.2000.00.00.33102">-2587.5</definedName>
    <definedName name="MOV.104.C.0.09.2000.00.00.341">-177693.22</definedName>
    <definedName name="MOV.104.C.0.09.2000.00.00.342">-516691.17</definedName>
    <definedName name="MOV.104.C.0.09.2000.00.00.343">-21090.68</definedName>
    <definedName name="MOV.104.C.0.09.2000.00.00.344">-36468.82</definedName>
    <definedName name="MOV.104.C.0.09.2000.00.00.345">-42819.8</definedName>
    <definedName name="MOV.104.C.0.09.2000.00.00.346">-55824.37</definedName>
    <definedName name="MOV.104.C.0.09.2000.00.00.346080064">-3677.72</definedName>
    <definedName name="MOV.104.C.0.09.2000.00.00.347010058">-66340.21</definedName>
    <definedName name="MOV.104.C.0.09.2000.00.00.34702">-45310.09</definedName>
    <definedName name="MOV.104.C.0.09.2000.00.00.34704">-7200</definedName>
    <definedName name="MOV.104.C.0.09.2000.00.00.34705">0</definedName>
    <definedName name="MOV.104.C.0.09.2000.00.00.347050001">0</definedName>
    <definedName name="MOV.104.C.0.09.2000.00.00.347060001">0</definedName>
    <definedName name="MOV.104.C.0.09.2000.00.00.349">440047.61</definedName>
    <definedName name="MOV.104.C.0.09.2000.00.00.351010001">148174.31</definedName>
    <definedName name="MOV.104.C.0.09.2000.00.00.351010002">0</definedName>
    <definedName name="MOV.104.C.0.09.2000.00.00.351010004">-963.79</definedName>
    <definedName name="MOV.104.C.0.09.2000.00.00.351010005">-4448.27</definedName>
    <definedName name="MOV.104.C.0.09.2000.00.00.351010006">0</definedName>
    <definedName name="MOV.104.C.0.09.2000.00.00.351010007">0</definedName>
    <definedName name="MOV.104.C.0.09.2000.00.00.351010008">0</definedName>
    <definedName name="MOV.104.C.0.09.2000.00.00.352010001">-733167.34</definedName>
    <definedName name="MOV.104.C.0.09.2000.00.00.352010006">0</definedName>
    <definedName name="MOV.104.C.0.09.2000.00.00.352010009">0</definedName>
    <definedName name="MOV.104.C.0.09.2000.00.00.361010002">101.5</definedName>
    <definedName name="MOV.104.C.0.09.2000.00.00.361020001">-92316.14</definedName>
    <definedName name="MOV.104.C.0.09.2000.00.00.361020003">-376693.44</definedName>
    <definedName name="MOV.104.C.0.09.2000.00.00.37102">0</definedName>
    <definedName name="MOV.104.C.0.09.2000.00.00.371030001">0</definedName>
    <definedName name="MOV.104.C.0.09.2000.00.00.371030002">0</definedName>
    <definedName name="MOV.104.C.0.09.2000.00.00.381010001">146288.33</definedName>
    <definedName name="MOV.104.C.0.09.2000.00.00.381020001">406368.73</definedName>
    <definedName name="MOV.104.C.0.09.2000.00.00.391010001">0</definedName>
    <definedName name="MOV.104.C.0.09.2000.00.00.DBB180">-1072804.89</definedName>
    <definedName name="MOV.104.C.0.09.2000.00.00.DGAAPR17">-593863.58</definedName>
    <definedName name="MOV.104.C.0.09.2000.00.00.DGAAPR20">-251.23</definedName>
    <definedName name="MOV.104.C.0.09.2001.00.00.13202">-1698.3</definedName>
    <definedName name="MOV.104.C.0.09.2001.00.00.311010001">1561863.5</definedName>
    <definedName name="MOV.104.C.0.09.2001.00.00.311010002">443708.1</definedName>
    <definedName name="MOV.104.C.0.09.2001.00.00.311020001">18071.57</definedName>
    <definedName name="MOV.104.C.0.09.2001.00.00.311020002">8283</definedName>
    <definedName name="MOV.104.C.0.09.2001.00.00.311020003">6500</definedName>
    <definedName name="MOV.104.C.0.09.2001.00.00.32101">-173481.95</definedName>
    <definedName name="MOV.104.C.0.09.2001.00.00.32102">-1199.18</definedName>
    <definedName name="MOV.104.C.0.09.2001.00.00.331010001">-266952</definedName>
    <definedName name="MOV.104.C.0.09.2001.00.00.331010002">-382344.23</definedName>
    <definedName name="MOV.104.C.0.09.2001.00.00.331010003">-2471.73</definedName>
    <definedName name="MOV.104.C.0.09.2001.00.00.331010004">-208873.75</definedName>
    <definedName name="MOV.104.C.0.09.2001.00.00.33102">0</definedName>
    <definedName name="MOV.104.C.0.09.2001.00.00.341">-189566.88</definedName>
    <definedName name="MOV.104.C.0.09.2001.00.00.342">-488593.52</definedName>
    <definedName name="MOV.104.C.0.09.2001.00.00.343">-11202.42</definedName>
    <definedName name="MOV.104.C.0.09.2001.00.00.344">-63060.79</definedName>
    <definedName name="MOV.104.C.0.09.2001.00.00.345">-56287.06</definedName>
    <definedName name="MOV.104.C.0.09.2001.00.00.346">-56722.45</definedName>
    <definedName name="MOV.104.C.0.09.2001.00.00.346080064">-3687.54</definedName>
    <definedName name="MOV.104.C.0.09.2001.00.00.347010058">-66340.21</definedName>
    <definedName name="MOV.104.C.0.09.2001.00.00.34702">-60167.15</definedName>
    <definedName name="MOV.104.C.0.09.2001.00.00.34704">-3000</definedName>
    <definedName name="MOV.104.C.0.09.2001.00.00.34705">0</definedName>
    <definedName name="MOV.104.C.0.09.2001.00.00.347050001">0</definedName>
    <definedName name="MOV.104.C.0.09.2001.00.00.347060001">-1698.3</definedName>
    <definedName name="MOV.104.C.0.09.2001.00.00.349">488689.43</definedName>
    <definedName name="MOV.104.C.0.09.2001.00.00.351010001">0</definedName>
    <definedName name="MOV.104.C.0.09.2001.00.00.351010002">0</definedName>
    <definedName name="MOV.104.C.0.09.2001.00.00.351010004">-1654.81</definedName>
    <definedName name="MOV.104.C.0.09.2001.00.00.351010005">-7637.57</definedName>
    <definedName name="MOV.104.C.0.09.2001.00.00.351010006">4160.42</definedName>
    <definedName name="MOV.104.C.0.09.2001.00.00.351010007">236539.81</definedName>
    <definedName name="MOV.104.C.0.09.2001.00.00.351010008">-105186.75</definedName>
    <definedName name="MOV.104.C.0.09.2001.00.00.351010009">0</definedName>
    <definedName name="MOV.104.C.0.09.2001.00.00.352010001">-866364.01</definedName>
    <definedName name="MOV.104.C.0.09.2001.00.00.352010006">0</definedName>
    <definedName name="MOV.104.C.0.09.2001.00.00.352010009">0</definedName>
    <definedName name="MOV.104.C.0.09.2001.00.00.361010002">242.41</definedName>
    <definedName name="MOV.104.C.0.09.2001.00.00.361020001">-70016.03</definedName>
    <definedName name="MOV.104.C.0.09.2001.00.00.361020003">-900719.69</definedName>
    <definedName name="MOV.104.C.0.09.2001.00.00.37102">0</definedName>
    <definedName name="MOV.104.C.0.09.2001.00.00.371030001">0</definedName>
    <definedName name="MOV.104.C.0.09.2001.00.00.371030002">-163872.29</definedName>
    <definedName name="MOV.104.C.0.09.2001.00.00.381010001">0</definedName>
    <definedName name="MOV.104.C.0.09.2001.00.00.381020001">0</definedName>
    <definedName name="MOV.104.C.0.09.2001.00.00.391010001">-705.14</definedName>
    <definedName name="MOV.104.C.0.09.2001.00.00.DBB180">-4580397.19</definedName>
    <definedName name="MOV.104.C.0.09.2001.00.00.DGAAPR17">-3199684.54</definedName>
    <definedName name="MOV.104.C.0.09.2001.00.00.DGAAPR20">-652.98</definedName>
    <definedName name="MOV.104.C.0.09.2002.00.00.13202">0</definedName>
    <definedName name="MOV.104.C.0.09.2002.00.00.311010001">0</definedName>
    <definedName name="MOV.104.C.0.09.2002.00.00.311010002">0</definedName>
    <definedName name="MOV.104.C.0.09.2002.00.00.311020001">0</definedName>
    <definedName name="MOV.104.C.0.09.2002.00.00.311020002">0</definedName>
    <definedName name="MOV.104.C.0.09.2002.00.00.311020003">0</definedName>
    <definedName name="MOV.104.C.0.09.2002.00.00.32101">0</definedName>
    <definedName name="MOV.104.C.0.09.2002.00.00.32102">0</definedName>
    <definedName name="MOV.104.C.0.09.2002.00.00.331010001">0</definedName>
    <definedName name="MOV.104.C.0.09.2002.00.00.331010002">0</definedName>
    <definedName name="MOV.104.C.0.09.2002.00.00.331010003">0</definedName>
    <definedName name="MOV.104.C.0.09.2002.00.00.331010004">0</definedName>
    <definedName name="MOV.104.C.0.09.2002.00.00.33102">0</definedName>
    <definedName name="MOV.104.C.0.09.2002.00.00.341">0</definedName>
    <definedName name="MOV.104.C.0.09.2002.00.00.342">0</definedName>
    <definedName name="MOV.104.C.0.09.2002.00.00.343">0</definedName>
    <definedName name="MOV.104.C.0.09.2002.00.00.344">0</definedName>
    <definedName name="MOV.104.C.0.09.2002.00.00.345">0</definedName>
    <definedName name="MOV.104.C.0.09.2002.00.00.346">0</definedName>
    <definedName name="MOV.104.C.0.09.2002.00.00.346080064">0</definedName>
    <definedName name="MOV.104.C.0.09.2002.00.00.347010058">0</definedName>
    <definedName name="MOV.104.C.0.09.2002.00.00.34702">0</definedName>
    <definedName name="MOV.104.C.0.09.2002.00.00.34704">0</definedName>
    <definedName name="MOV.104.C.0.09.2002.00.00.34705">0</definedName>
    <definedName name="MOV.104.C.0.09.2002.00.00.349">0</definedName>
    <definedName name="MOV.104.C.0.09.2002.00.00.351010001">0</definedName>
    <definedName name="MOV.104.C.0.09.2002.00.00.351010002">0</definedName>
    <definedName name="MOV.104.C.0.09.2002.00.00.351010004">0</definedName>
    <definedName name="MOV.104.C.0.09.2002.00.00.351010005">0</definedName>
    <definedName name="MOV.104.C.0.09.2002.00.00.351010006">0</definedName>
    <definedName name="MOV.104.C.0.09.2002.00.00.351010007">0</definedName>
    <definedName name="MOV.104.C.0.09.2002.00.00.351010008">0</definedName>
    <definedName name="MOV.104.C.0.09.2002.00.00.351010009">0</definedName>
    <definedName name="MOV.104.C.0.09.2002.00.00.352010001">0</definedName>
    <definedName name="MOV.104.C.0.09.2002.00.00.352010006">0</definedName>
    <definedName name="MOV.104.C.0.09.2002.00.00.352010009">0</definedName>
    <definedName name="MOV.104.C.0.09.2002.00.00.361010002">0</definedName>
    <definedName name="MOV.104.C.0.09.2002.00.00.361020001">0</definedName>
    <definedName name="MOV.104.C.0.09.2002.00.00.361020003">0</definedName>
    <definedName name="MOV.104.C.0.09.2002.00.00.37102">0</definedName>
    <definedName name="MOV.104.C.0.09.2002.00.00.371030001">0</definedName>
    <definedName name="MOV.104.C.0.09.2002.00.00.371030002">0</definedName>
    <definedName name="MOV.104.C.0.09.2002.00.00.381010001">0</definedName>
    <definedName name="MOV.104.C.0.09.2002.00.00.381020001">0</definedName>
    <definedName name="MOV.104.C.0.09.2002.00.00.391010001">0</definedName>
    <definedName name="MOV.104.C.0.09.2002.00.00.DBB180">0</definedName>
    <definedName name="MOV.104.C.0.09.2002.00.00.DGAAPR17">0</definedName>
    <definedName name="MOV.104.C.0.09.2002.00.00.DGAAPR20">0</definedName>
    <definedName name="MOV.104.C.0.10.2000.00.00.13202">-1514.92</definedName>
    <definedName name="MOV.104.C.0.10.2000.00.00.311010001">1543166.5</definedName>
    <definedName name="MOV.104.C.0.10.2000.00.00.311010002">292821.3</definedName>
    <definedName name="MOV.104.C.0.10.2000.00.00.311020001">13790.43</definedName>
    <definedName name="MOV.104.C.0.10.2000.00.00.311020002">7500</definedName>
    <definedName name="MOV.104.C.0.10.2000.00.00.311020003">0</definedName>
    <definedName name="MOV.104.C.0.10.2000.00.00.32101">-158812.94</definedName>
    <definedName name="MOV.104.C.0.10.2000.00.00.32102">-777.1</definedName>
    <definedName name="MOV.104.C.0.10.2000.00.00.331010001">-277866.78</definedName>
    <definedName name="MOV.104.C.0.10.2000.00.00.331010002">-364678.07</definedName>
    <definedName name="MOV.104.C.0.10.2000.00.00.331010003">-2471.73</definedName>
    <definedName name="MOV.104.C.0.10.2000.00.00.331010004">-208873.75</definedName>
    <definedName name="MOV.104.C.0.10.2000.00.00.33102">0</definedName>
    <definedName name="MOV.104.C.0.10.2000.00.00.341">-188596.05</definedName>
    <definedName name="MOV.104.C.0.10.2000.00.00.342">-399696.16</definedName>
    <definedName name="MOV.104.C.0.10.2000.00.00.343">-1705.35</definedName>
    <definedName name="MOV.104.C.0.10.2000.00.00.344">-37267.74</definedName>
    <definedName name="MOV.104.C.0.10.2000.00.00.345">-42276.98</definedName>
    <definedName name="MOV.104.C.0.10.2000.00.00.346">-209391.54</definedName>
    <definedName name="MOV.104.C.0.10.2000.00.00.346080064">-4325.43</definedName>
    <definedName name="MOV.104.C.0.10.2000.00.00.347010058">-66340.21</definedName>
    <definedName name="MOV.104.C.0.10.2000.00.00.34702">-55079.63</definedName>
    <definedName name="MOV.104.C.0.10.2000.00.00.34704">-8400</definedName>
    <definedName name="MOV.104.C.0.10.2000.00.00.34705">0</definedName>
    <definedName name="MOV.104.C.0.10.2000.00.00.347050001">0</definedName>
    <definedName name="MOV.104.C.0.10.2000.00.00.347060001">0</definedName>
    <definedName name="MOV.104.C.0.10.2000.00.00.349">445060.35</definedName>
    <definedName name="MOV.104.C.0.10.2000.00.00.351010001">320305.46</definedName>
    <definedName name="MOV.104.C.0.10.2000.00.00.351010002">0</definedName>
    <definedName name="MOV.104.C.0.10.2000.00.00.351010004">-2084.11</definedName>
    <definedName name="MOV.104.C.0.10.2000.00.00.351010005">-9618.97</definedName>
    <definedName name="MOV.104.C.0.10.2000.00.00.351010006">0</definedName>
    <definedName name="MOV.104.C.0.10.2000.00.00.351010007">0</definedName>
    <definedName name="MOV.104.C.0.10.2000.00.00.351010008">0</definedName>
    <definedName name="MOV.104.C.0.10.2000.00.00.352010001">-770591.16</definedName>
    <definedName name="MOV.104.C.0.10.2000.00.00.352010006">0</definedName>
    <definedName name="MOV.104.C.0.10.2000.00.00.352010009">0</definedName>
    <definedName name="MOV.104.C.0.10.2000.00.00.361010002">326.5</definedName>
    <definedName name="MOV.104.C.0.10.2000.00.00.361020001">-82493.95</definedName>
    <definedName name="MOV.104.C.0.10.2000.00.00.361020003">-569923.09</definedName>
    <definedName name="MOV.104.C.0.10.2000.00.00.37102">0</definedName>
    <definedName name="MOV.104.C.0.10.2000.00.00.371030001">0</definedName>
    <definedName name="MOV.104.C.0.10.2000.00.00.371030002">0</definedName>
    <definedName name="MOV.104.C.0.10.2000.00.00.381010001">250571.64</definedName>
    <definedName name="MOV.104.C.0.10.2000.00.00.381020001">696053.34</definedName>
    <definedName name="MOV.104.C.0.10.2000.00.00.391010001">0</definedName>
    <definedName name="MOV.104.C.0.10.2000.00.00.DBB180">-1837566.13</definedName>
    <definedName name="MOV.104.C.0.10.2000.00.00.DGAAPR17">-1928956.26</definedName>
    <definedName name="MOV.104.C.0.10.2000.00.00.DGAAPR20">-21260.08</definedName>
    <definedName name="MOV.104.C.0.10.2001.00.00.13202">-1732.79</definedName>
    <definedName name="MOV.104.C.0.10.2001.00.00.311010001">1643357.1</definedName>
    <definedName name="MOV.104.C.0.10.2001.00.00.311010002">480099</definedName>
    <definedName name="MOV.104.C.0.10.2001.00.00.311020001">18071.57</definedName>
    <definedName name="MOV.104.C.0.10.2001.00.00.311020002">8283</definedName>
    <definedName name="MOV.104.C.0.10.2001.00.00.311020003">6500</definedName>
    <definedName name="MOV.104.C.0.10.2001.00.00.32101">-183678.95</definedName>
    <definedName name="MOV.104.C.0.10.2001.00.00.32102">-1199.19</definedName>
    <definedName name="MOV.104.C.0.10.2001.00.00.331010001">-229777.15</definedName>
    <definedName name="MOV.104.C.0.10.2001.00.00.331010002">-382724.18</definedName>
    <definedName name="MOV.104.C.0.10.2001.00.00.331010003">-2471.73</definedName>
    <definedName name="MOV.104.C.0.10.2001.00.00.331010004">-208873.75</definedName>
    <definedName name="MOV.104.C.0.10.2001.00.00.33102">0</definedName>
    <definedName name="MOV.104.C.0.10.2001.00.00.341">-187960.09</definedName>
    <definedName name="MOV.104.C.0.10.2001.00.00.342">-268852.14</definedName>
    <definedName name="MOV.104.C.0.10.2001.00.00.343">-9599.41</definedName>
    <definedName name="MOV.104.C.0.10.2001.00.00.344">-34845.23</definedName>
    <definedName name="MOV.104.C.0.10.2001.00.00.345">-51361.62</definedName>
    <definedName name="MOV.104.C.0.10.2001.00.00.346">-76622.23</definedName>
    <definedName name="MOV.104.C.0.10.2001.00.00.346080064">-5775.49</definedName>
    <definedName name="MOV.104.C.0.10.2001.00.00.347010058">-66340.21</definedName>
    <definedName name="MOV.104.C.0.10.2001.00.00.34702">-63703.68</definedName>
    <definedName name="MOV.104.C.0.10.2001.00.00.34704">-1900</definedName>
    <definedName name="MOV.104.C.0.10.2001.00.00.34705">0</definedName>
    <definedName name="MOV.104.C.0.10.2001.00.00.347050001">0</definedName>
    <definedName name="MOV.104.C.0.10.2001.00.00.347060001">0</definedName>
    <definedName name="MOV.104.C.0.10.2001.00.00.349">391710.36</definedName>
    <definedName name="MOV.104.C.0.10.2001.00.00.351010001">0</definedName>
    <definedName name="MOV.104.C.0.10.2001.00.00.351010002">0</definedName>
    <definedName name="MOV.104.C.0.10.2001.00.00.351010004">-1214.65</definedName>
    <definedName name="MOV.104.C.0.10.2001.00.00.351010005">-5606.02</definedName>
    <definedName name="MOV.104.C.0.10.2001.00.00.351010006">4008.87</definedName>
    <definedName name="MOV.104.C.0.10.2001.00.00.351010007">159036.96</definedName>
    <definedName name="MOV.104.C.0.10.2001.00.00.351010008">23750.13</definedName>
    <definedName name="MOV.104.C.0.10.2001.00.00.352010001">-742173.2</definedName>
    <definedName name="MOV.104.C.0.10.2001.00.00.352010006">0</definedName>
    <definedName name="MOV.104.C.0.10.2001.00.00.352010009">0</definedName>
    <definedName name="MOV.104.C.0.10.2001.00.00.361010002">-347.56</definedName>
    <definedName name="MOV.104.C.0.10.2001.00.00.361020001">-81550.97</definedName>
    <definedName name="MOV.104.C.0.10.2001.00.00.361020003">-378381.9</definedName>
    <definedName name="MOV.104.C.0.10.2001.00.00.37102">0</definedName>
    <definedName name="MOV.104.C.0.10.2001.00.00.371030001">0</definedName>
    <definedName name="MOV.104.C.0.10.2001.00.00.371030002">-121259.86</definedName>
    <definedName name="MOV.104.C.0.10.2001.00.00.381010001">0</definedName>
    <definedName name="MOV.104.C.0.10.2001.00.00.381020001">0</definedName>
    <definedName name="MOV.104.C.0.10.2001.00.00.391010001">0</definedName>
    <definedName name="MOV.104.C.0.10.2001.00.00.DBB180">-622523.26</definedName>
    <definedName name="MOV.104.C.0.10.2001.00.00.DGAAPR17">-254744.61</definedName>
    <definedName name="MOV.104.C.0.10.2001.00.00.DGAAPR20">-419.13</definedName>
    <definedName name="MOV.104.C.0.10.2002.00.00.13202">0</definedName>
    <definedName name="MOV.104.C.0.10.2002.00.00.311010001">0</definedName>
    <definedName name="MOV.104.C.0.10.2002.00.00.311010002">0</definedName>
    <definedName name="MOV.104.C.0.10.2002.00.00.311020001">0</definedName>
    <definedName name="MOV.104.C.0.10.2002.00.00.311020002">0</definedName>
    <definedName name="MOV.104.C.0.10.2002.00.00.311020003">0</definedName>
    <definedName name="MOV.104.C.0.10.2002.00.00.32101">0</definedName>
    <definedName name="MOV.104.C.0.10.2002.00.00.32102">0</definedName>
    <definedName name="MOV.104.C.0.10.2002.00.00.331010001">0</definedName>
    <definedName name="MOV.104.C.0.10.2002.00.00.331010002">0</definedName>
    <definedName name="MOV.104.C.0.10.2002.00.00.331010003">0</definedName>
    <definedName name="MOV.104.C.0.10.2002.00.00.331010004">0</definedName>
    <definedName name="MOV.104.C.0.10.2002.00.00.33102">0</definedName>
    <definedName name="MOV.104.C.0.10.2002.00.00.341">0</definedName>
    <definedName name="MOV.104.C.0.10.2002.00.00.342">0</definedName>
    <definedName name="MOV.104.C.0.10.2002.00.00.343">0</definedName>
    <definedName name="MOV.104.C.0.10.2002.00.00.344">0</definedName>
    <definedName name="MOV.104.C.0.10.2002.00.00.345">0</definedName>
    <definedName name="MOV.104.C.0.10.2002.00.00.346">0</definedName>
    <definedName name="MOV.104.C.0.10.2002.00.00.346080064">0</definedName>
    <definedName name="MOV.104.C.0.10.2002.00.00.347010058">0</definedName>
    <definedName name="MOV.104.C.0.10.2002.00.00.34702">0</definedName>
    <definedName name="MOV.104.C.0.10.2002.00.00.34704">0</definedName>
    <definedName name="MOV.104.C.0.10.2002.00.00.34705">0</definedName>
    <definedName name="MOV.104.C.0.10.2002.00.00.349">0</definedName>
    <definedName name="MOV.104.C.0.10.2002.00.00.351010001">0</definedName>
    <definedName name="MOV.104.C.0.10.2002.00.00.351010002">0</definedName>
    <definedName name="MOV.104.C.0.10.2002.00.00.351010004">0</definedName>
    <definedName name="MOV.104.C.0.10.2002.00.00.351010005">0</definedName>
    <definedName name="MOV.104.C.0.10.2002.00.00.351010006">0</definedName>
    <definedName name="MOV.104.C.0.10.2002.00.00.351010007">0</definedName>
    <definedName name="MOV.104.C.0.10.2002.00.00.351010008">0</definedName>
    <definedName name="MOV.104.C.0.10.2002.00.00.351010009">0</definedName>
    <definedName name="MOV.104.C.0.10.2002.00.00.352010001">0</definedName>
    <definedName name="MOV.104.C.0.10.2002.00.00.352010006">0</definedName>
    <definedName name="MOV.104.C.0.10.2002.00.00.352010009">0</definedName>
    <definedName name="MOV.104.C.0.10.2002.00.00.361010002">0</definedName>
    <definedName name="MOV.104.C.0.10.2002.00.00.361020001">0</definedName>
    <definedName name="MOV.104.C.0.10.2002.00.00.361020003">0</definedName>
    <definedName name="MOV.104.C.0.10.2002.00.00.37102">0</definedName>
    <definedName name="MOV.104.C.0.10.2002.00.00.371030001">0</definedName>
    <definedName name="MOV.104.C.0.10.2002.00.00.371030002">0</definedName>
    <definedName name="MOV.104.C.0.10.2002.00.00.381010001">0</definedName>
    <definedName name="MOV.104.C.0.10.2002.00.00.381020001">0</definedName>
    <definedName name="MOV.104.C.0.10.2002.00.00.391010001">0</definedName>
    <definedName name="MOV.104.C.0.10.2002.00.00.DBB180">0</definedName>
    <definedName name="MOV.104.C.0.10.2002.00.00.DGAAPR17">0</definedName>
    <definedName name="MOV.104.C.0.10.2002.00.00.DGAAPR20">0</definedName>
    <definedName name="MOV.104.C.0.11.2000.00.00.13202">-1514.92</definedName>
    <definedName name="MOV.104.C.0.11.2000.00.00.311010001">1535244.4</definedName>
    <definedName name="MOV.104.C.0.11.2000.00.00.311010002">363809.2</definedName>
    <definedName name="MOV.104.C.0.11.2000.00.00.311020001">13790.43</definedName>
    <definedName name="MOV.104.C.0.11.2000.00.00.311020002">7500</definedName>
    <definedName name="MOV.104.C.0.11.2000.00.00.311020003">0</definedName>
    <definedName name="MOV.104.C.0.11.2000.00.00.32101">-164268.14</definedName>
    <definedName name="MOV.104.C.0.11.2000.00.00.32102">-777.1</definedName>
    <definedName name="MOV.104.C.0.11.2000.00.00.331010001">-190410.83</definedName>
    <definedName name="MOV.104.C.0.11.2000.00.00.331010002">-364678.07</definedName>
    <definedName name="MOV.104.C.0.11.2000.00.00.331010003">-2471.73</definedName>
    <definedName name="MOV.104.C.0.11.2000.00.00.331010004">-208873.75</definedName>
    <definedName name="MOV.104.C.0.11.2000.00.00.33102">0</definedName>
    <definedName name="MOV.104.C.0.11.2000.00.00.341">-168566.6</definedName>
    <definedName name="MOV.104.C.0.11.2000.00.00.342">-308740.19</definedName>
    <definedName name="MOV.104.C.0.11.2000.00.00.343">-15266.62</definedName>
    <definedName name="MOV.104.C.0.11.2000.00.00.344">-32577.43</definedName>
    <definedName name="MOV.104.C.0.11.2000.00.00.345">-46851.06</definedName>
    <definedName name="MOV.104.C.0.11.2000.00.00.346">-55178.9</definedName>
    <definedName name="MOV.104.C.0.11.2000.00.00.346080064">-29406.12</definedName>
    <definedName name="MOV.104.C.0.11.2000.00.00.347010058">-66340.21</definedName>
    <definedName name="MOV.104.C.0.11.2000.00.00.34702">-56971.61</definedName>
    <definedName name="MOV.104.C.0.11.2000.00.00.34704">-7200</definedName>
    <definedName name="MOV.104.C.0.11.2000.00.00.34705">0</definedName>
    <definedName name="MOV.104.C.0.11.2000.00.00.347050001">0</definedName>
    <definedName name="MOV.104.C.0.11.2000.00.00.347060001">0</definedName>
    <definedName name="MOV.104.C.0.11.2000.00.00.349">284972.63</definedName>
    <definedName name="MOV.104.C.0.11.2000.00.00.351010001">201251.2</definedName>
    <definedName name="MOV.104.C.0.11.2000.00.00.351010002">0</definedName>
    <definedName name="MOV.104.C.0.11.2000.00.00.351010004">-1308.13</definedName>
    <definedName name="MOV.104.C.0.11.2000.00.00.351010005">-6037.54</definedName>
    <definedName name="MOV.104.C.0.11.2000.00.00.351010006">0</definedName>
    <definedName name="MOV.104.C.0.11.2000.00.00.351010007">0</definedName>
    <definedName name="MOV.104.C.0.11.2000.00.00.351010008">0</definedName>
    <definedName name="MOV.104.C.0.11.2000.00.00.352010001">-752903.91</definedName>
    <definedName name="MOV.104.C.0.11.2000.00.00.352010006">0</definedName>
    <definedName name="MOV.104.C.0.11.2000.00.00.352010009">0</definedName>
    <definedName name="MOV.104.C.0.11.2000.00.00.361010002">-1048.51</definedName>
    <definedName name="MOV.104.C.0.11.2000.00.00.361020001">-80752.84</definedName>
    <definedName name="MOV.104.C.0.11.2000.00.00.361020003">-421205.07</definedName>
    <definedName name="MOV.104.C.0.11.2000.00.00.37102">0</definedName>
    <definedName name="MOV.104.C.0.11.2000.00.00.371030001">0</definedName>
    <definedName name="MOV.104.C.0.11.2000.00.00.371030002">0</definedName>
    <definedName name="MOV.104.C.0.11.2000.00.00.381010001">184956.23</definedName>
    <definedName name="MOV.104.C.0.11.2000.00.00.381020001">513767.3</definedName>
    <definedName name="MOV.104.C.0.11.2000.00.00.391010001">0</definedName>
    <definedName name="MOV.104.C.0.11.2000.00.00.DBB180">-1356345.68</definedName>
    <definedName name="MOV.104.C.0.11.2000.00.00.DGAAPR17">-1508035.75</definedName>
    <definedName name="MOV.104.C.0.11.2000.00.00.DGAAPR20">-1173.08</definedName>
    <definedName name="MOV.104.C.0.11.2001.00.00.13202">-1752.72</definedName>
    <definedName name="MOV.104.C.0.11.2001.00.00.311010001">1759530.4</definedName>
    <definedName name="MOV.104.C.0.11.2001.00.00.311010002">477299.5</definedName>
    <definedName name="MOV.104.C.0.11.2001.00.00.311020001">18243.92</definedName>
    <definedName name="MOV.104.C.0.11.2001.00.00.311020002">8283</definedName>
    <definedName name="MOV.104.C.0.11.2001.00.00.311020003">6500</definedName>
    <definedName name="MOV.104.C.0.11.2001.00.00.32101">-193485.79</definedName>
    <definedName name="MOV.104.C.0.11.2001.00.00.32102">-1205.48</definedName>
    <definedName name="MOV.104.C.0.11.2001.00.00.331010001">-311789.86</definedName>
    <definedName name="MOV.104.C.0.11.2001.00.00.331010002">-383109.49</definedName>
    <definedName name="MOV.104.C.0.11.2001.00.00.331010003">-2471.73</definedName>
    <definedName name="MOV.104.C.0.11.2001.00.00.331010004">-208873.75</definedName>
    <definedName name="MOV.104.C.0.11.2001.00.00.33102">0</definedName>
    <definedName name="MOV.104.C.0.11.2001.00.00.341">-191016.87</definedName>
    <definedName name="MOV.104.C.0.11.2001.00.00.342">-429214.1</definedName>
    <definedName name="MOV.104.C.0.11.2001.00.00.343">-5751.43</definedName>
    <definedName name="MOV.104.C.0.11.2001.00.00.344">-121639.92</definedName>
    <definedName name="MOV.104.C.0.11.2001.00.00.345">-52019.64</definedName>
    <definedName name="MOV.104.C.0.11.2001.00.00.346">-66117.56</definedName>
    <definedName name="MOV.104.C.0.11.2001.00.00.346080064">-28225.41</definedName>
    <definedName name="MOV.104.C.0.11.2001.00.00.347010058">-66340.21</definedName>
    <definedName name="MOV.104.C.0.11.2001.00.00.34702">-67104.9</definedName>
    <definedName name="MOV.104.C.0.11.2001.00.00.34704">-2400</definedName>
    <definedName name="MOV.104.C.0.11.2001.00.00.34705">0</definedName>
    <definedName name="MOV.104.C.0.11.2001.00.00.347050001">0</definedName>
    <definedName name="MOV.104.C.0.11.2001.00.00.347060001">0</definedName>
    <definedName name="MOV.104.C.0.11.2001.00.00.349">487480.18</definedName>
    <definedName name="MOV.104.C.0.11.2001.00.00.351010001">0</definedName>
    <definedName name="MOV.104.C.0.11.2001.00.00.351010002">0</definedName>
    <definedName name="MOV.104.C.0.11.2001.00.00.351010004">-761.44</definedName>
    <definedName name="MOV.104.C.0.11.2001.00.00.351010005">-3514.27</definedName>
    <definedName name="MOV.104.C.0.11.2001.00.00.351010006">5276.32</definedName>
    <definedName name="MOV.104.C.0.11.2001.00.00.351010007">100798.58</definedName>
    <definedName name="MOV.104.C.0.11.2001.00.00.351010008">11067.86</definedName>
    <definedName name="MOV.104.C.0.11.2001.00.00.352010001">-653717.16</definedName>
    <definedName name="MOV.104.C.0.11.2001.00.00.352010006">-2063.53</definedName>
    <definedName name="MOV.104.C.0.11.2001.00.00.352010009">0</definedName>
    <definedName name="MOV.104.C.0.11.2001.00.00.361010002">-244.51</definedName>
    <definedName name="MOV.104.C.0.11.2001.00.00.361020001">-78707.57</definedName>
    <definedName name="MOV.104.C.0.11.2001.00.00.361020003">-885216.81</definedName>
    <definedName name="MOV.104.C.0.11.2001.00.00.37102">0</definedName>
    <definedName name="MOV.104.C.0.11.2001.00.00.371030001">0</definedName>
    <definedName name="MOV.104.C.0.11.2001.00.00.371030002">-41594.64</definedName>
    <definedName name="MOV.104.C.0.11.2001.00.00.381010001">0</definedName>
    <definedName name="MOV.104.C.0.11.2001.00.00.381020001">0</definedName>
    <definedName name="MOV.104.C.0.11.2001.00.00.391010001">0</definedName>
    <definedName name="MOV.104.C.0.11.2001.00.00.DBB180">3884083.22</definedName>
    <definedName name="MOV.104.C.0.11.2001.00.00.DGAAPR17">4786210.11</definedName>
    <definedName name="MOV.104.C.0.11.2001.00.00.DGAAPR20">-6493.27</definedName>
    <definedName name="MOV.104.C.0.11.2002.00.00.13202">0</definedName>
    <definedName name="MOV.104.C.0.11.2002.00.00.311010001">0</definedName>
    <definedName name="MOV.104.C.0.11.2002.00.00.311010002">0</definedName>
    <definedName name="MOV.104.C.0.11.2002.00.00.311020001">0</definedName>
    <definedName name="MOV.104.C.0.11.2002.00.00.311020002">0</definedName>
    <definedName name="MOV.104.C.0.11.2002.00.00.311020003">0</definedName>
    <definedName name="MOV.104.C.0.11.2002.00.00.32101">0</definedName>
    <definedName name="MOV.104.C.0.11.2002.00.00.32102">0</definedName>
    <definedName name="MOV.104.C.0.11.2002.00.00.331010001">0</definedName>
    <definedName name="MOV.104.C.0.11.2002.00.00.331010002">0</definedName>
    <definedName name="MOV.104.C.0.11.2002.00.00.331010003">0</definedName>
    <definedName name="MOV.104.C.0.11.2002.00.00.331010004">0</definedName>
    <definedName name="MOV.104.C.0.11.2002.00.00.33102">0</definedName>
    <definedName name="MOV.104.C.0.11.2002.00.00.341">0</definedName>
    <definedName name="MOV.104.C.0.11.2002.00.00.342">0</definedName>
    <definedName name="MOV.104.C.0.11.2002.00.00.343">0</definedName>
    <definedName name="MOV.104.C.0.11.2002.00.00.344">0</definedName>
    <definedName name="MOV.104.C.0.11.2002.00.00.345">0</definedName>
    <definedName name="MOV.104.C.0.11.2002.00.00.346">0</definedName>
    <definedName name="MOV.104.C.0.11.2002.00.00.346080064">0</definedName>
    <definedName name="MOV.104.C.0.11.2002.00.00.347010058">0</definedName>
    <definedName name="MOV.104.C.0.11.2002.00.00.34702">0</definedName>
    <definedName name="MOV.104.C.0.11.2002.00.00.34704">0</definedName>
    <definedName name="MOV.104.C.0.11.2002.00.00.34705">0</definedName>
    <definedName name="MOV.104.C.0.11.2002.00.00.349">0</definedName>
    <definedName name="MOV.104.C.0.11.2002.00.00.351010001">0</definedName>
    <definedName name="MOV.104.C.0.11.2002.00.00.351010002">0</definedName>
    <definedName name="MOV.104.C.0.11.2002.00.00.351010004">0</definedName>
    <definedName name="MOV.104.C.0.11.2002.00.00.351010005">0</definedName>
    <definedName name="MOV.104.C.0.11.2002.00.00.351010006">0</definedName>
    <definedName name="MOV.104.C.0.11.2002.00.00.351010007">0</definedName>
    <definedName name="MOV.104.C.0.11.2002.00.00.351010008">0</definedName>
    <definedName name="MOV.104.C.0.11.2002.00.00.351010009">0</definedName>
    <definedName name="MOV.104.C.0.11.2002.00.00.352010001">0</definedName>
    <definedName name="MOV.104.C.0.11.2002.00.00.352010006">0</definedName>
    <definedName name="MOV.104.C.0.11.2002.00.00.352010009">0</definedName>
    <definedName name="MOV.104.C.0.11.2002.00.00.361010002">0</definedName>
    <definedName name="MOV.104.C.0.11.2002.00.00.361020001">0</definedName>
    <definedName name="MOV.104.C.0.11.2002.00.00.361020003">0</definedName>
    <definedName name="MOV.104.C.0.11.2002.00.00.37102">0</definedName>
    <definedName name="MOV.104.C.0.11.2002.00.00.371030001">0</definedName>
    <definedName name="MOV.104.C.0.11.2002.00.00.371030002">0</definedName>
    <definedName name="MOV.104.C.0.11.2002.00.00.381010001">0</definedName>
    <definedName name="MOV.104.C.0.11.2002.00.00.381020001">0</definedName>
    <definedName name="MOV.104.C.0.11.2002.00.00.391010001">0</definedName>
    <definedName name="MOV.104.C.0.11.2002.00.00.DBB180">0</definedName>
    <definedName name="MOV.104.C.0.11.2002.00.00.DGAAPR17">0</definedName>
    <definedName name="MOV.104.C.0.11.2002.00.00.DGAAPR20">0</definedName>
    <definedName name="MOV.104.C.0.12.2000.00.00.13202">-1614.59</definedName>
    <definedName name="MOV.104.C.0.12.2000.00.00.311010001">1959281.7</definedName>
    <definedName name="MOV.104.C.0.12.2000.00.00.311010002">441662.9</definedName>
    <definedName name="MOV.104.C.0.12.2000.00.00.311020001">16790.43</definedName>
    <definedName name="MOV.104.C.0.12.2000.00.00.311020002">0</definedName>
    <definedName name="MOV.104.C.0.12.2000.00.00.311020003">7500</definedName>
    <definedName name="MOV.104.C.0.12.2000.00.00.32101">-207681.71</definedName>
    <definedName name="MOV.104.C.0.12.2000.00.00.32102">-886.6</definedName>
    <definedName name="MOV.104.C.0.12.2000.00.00.331010001">-323498.37</definedName>
    <definedName name="MOV.104.C.0.12.2000.00.00.331010002">-364678.07</definedName>
    <definedName name="MOV.104.C.0.12.2000.00.00.331010003">-2471.73</definedName>
    <definedName name="MOV.104.C.0.12.2000.00.00.331010004">-208873.75</definedName>
    <definedName name="MOV.104.C.0.12.2000.00.00.33102">2587.5</definedName>
    <definedName name="MOV.104.C.0.12.2000.00.00.341">-197021.79</definedName>
    <definedName name="MOV.104.C.0.12.2000.00.00.342">-361267.88</definedName>
    <definedName name="MOV.104.C.0.12.2000.00.00.343">-8864.38</definedName>
    <definedName name="MOV.104.C.0.12.2000.00.00.344">-51573.79</definedName>
    <definedName name="MOV.104.C.0.12.2000.00.00.345">-44699.98</definedName>
    <definedName name="MOV.104.C.0.12.2000.00.00.346">-95084.65</definedName>
    <definedName name="MOV.104.C.0.12.2000.00.00.346080064">-3787.58</definedName>
    <definedName name="MOV.104.C.0.12.2000.00.00.347010058">-66340.21</definedName>
    <definedName name="MOV.104.C.0.12.2000.00.00.34702">-72028.34</definedName>
    <definedName name="MOV.104.C.0.12.2000.00.00.34704">-7200</definedName>
    <definedName name="MOV.104.C.0.12.2000.00.00.34705">0</definedName>
    <definedName name="MOV.104.C.0.12.2000.00.00.347050001">0</definedName>
    <definedName name="MOV.104.C.0.12.2000.00.00.347060001">0</definedName>
    <definedName name="MOV.104.C.0.12.2000.00.00.349">454750.53</definedName>
    <definedName name="MOV.104.C.0.12.2000.00.00.351010001">129267.76</definedName>
    <definedName name="MOV.104.C.0.12.2000.00.00.351010002">0</definedName>
    <definedName name="MOV.104.C.0.12.2000.00.00.351010004">-840.24</definedName>
    <definedName name="MOV.104.C.0.12.2000.00.00.351010005">-3878.04</definedName>
    <definedName name="MOV.104.C.0.12.2000.00.00.351010006">0</definedName>
    <definedName name="MOV.104.C.0.12.2000.00.00.351010007">0</definedName>
    <definedName name="MOV.104.C.0.12.2000.00.00.351010008">0</definedName>
    <definedName name="MOV.104.C.0.12.2000.00.00.352010001">-764317.49</definedName>
    <definedName name="MOV.104.C.0.12.2000.00.00.352010006">0</definedName>
    <definedName name="MOV.104.C.0.12.2000.00.00.352010009">0</definedName>
    <definedName name="MOV.104.C.0.12.2000.00.00.361010002">-8.51</definedName>
    <definedName name="MOV.104.C.0.12.2000.00.00.361020001">-81198.89</definedName>
    <definedName name="MOV.104.C.0.12.2000.00.00.361020003">37502.75</definedName>
    <definedName name="MOV.104.C.0.12.2000.00.00.37102">0</definedName>
    <definedName name="MOV.104.C.0.12.2000.00.00.371030001">4861960.82</definedName>
    <definedName name="MOV.104.C.0.12.2000.00.00.371030002">0</definedName>
    <definedName name="MOV.104.C.0.12.2000.00.00.381010001">69885.78</definedName>
    <definedName name="MOV.104.C.0.12.2000.00.00.381020001">-967136.45</definedName>
    <definedName name="MOV.104.C.0.12.2000.00.00.391010001">0</definedName>
    <definedName name="MOV.104.C.0.12.2000.00.00.DBB180">4264602.36</definedName>
    <definedName name="MOV.104.C.0.12.2000.00.00.DGAAPR17">113234.26</definedName>
    <definedName name="MOV.104.C.0.12.2000.00.00.DGAAPR20">-271.2</definedName>
    <definedName name="MOV.104.C.0.12.2001.00.00.13202">-2288.87</definedName>
    <definedName name="MOV.104.C.0.12.2001.00.00.311010001">2117218</definedName>
    <definedName name="MOV.104.C.0.12.2001.00.00.311010002">507794.7</definedName>
    <definedName name="MOV.104.C.0.12.2001.00.00.311020001">16571.57</definedName>
    <definedName name="MOV.104.C.0.12.2001.00.00.311020002">8283</definedName>
    <definedName name="MOV.104.C.0.12.2001.00.00.311020003">6500</definedName>
    <definedName name="MOV.104.C.0.12.2001.00.00.32101">-227063.59</definedName>
    <definedName name="MOV.104.C.0.12.2001.00.00.32102">-1144.44</definedName>
    <definedName name="MOV.104.C.0.12.2001.00.00.331010001">-304153.52</definedName>
    <definedName name="MOV.104.C.0.12.2001.00.00.331010002">-383788.26</definedName>
    <definedName name="MOV.104.C.0.12.2001.00.00.331010003">-2471.73</definedName>
    <definedName name="MOV.104.C.0.12.2001.00.00.331010004">-208873.75</definedName>
    <definedName name="MOV.104.C.0.12.2001.00.00.33102">0</definedName>
    <definedName name="MOV.104.C.0.12.2001.00.00.341">-199343.58</definedName>
    <definedName name="MOV.104.C.0.12.2001.00.00.342">-687958.7</definedName>
    <definedName name="MOV.104.C.0.12.2001.00.00.343">-22447.02</definedName>
    <definedName name="MOV.104.C.0.12.2001.00.00.344">-31691.71</definedName>
    <definedName name="MOV.104.C.0.12.2001.00.00.345">-52536.64</definedName>
    <definedName name="MOV.104.C.0.12.2001.00.00.346">-80954.1</definedName>
    <definedName name="MOV.104.C.0.12.2001.00.00.346080064">-9396.7</definedName>
    <definedName name="MOV.104.C.0.12.2001.00.00.347010058">-66340.21</definedName>
    <definedName name="MOV.104.C.0.12.2001.00.00.34702">-78750.38</definedName>
    <definedName name="MOV.104.C.0.12.2001.00.00.34704">-2472</definedName>
    <definedName name="MOV.104.C.0.12.2001.00.00.34705">677682.12</definedName>
    <definedName name="MOV.104.C.0.12.2001.00.00.347050001">677682.12</definedName>
    <definedName name="MOV.104.C.0.12.2001.00.00.347060001">0</definedName>
    <definedName name="MOV.104.C.0.12.2001.00.00.349">509871.27</definedName>
    <definedName name="MOV.104.C.0.12.2001.00.00.351010001">0</definedName>
    <definedName name="MOV.104.C.0.12.2001.00.00.351010002">0</definedName>
    <definedName name="MOV.104.C.0.12.2001.00.00.351010004">-1250.81</definedName>
    <definedName name="MOV.104.C.0.12.2001.00.00.351010005">-5772.91</definedName>
    <definedName name="MOV.104.C.0.12.2001.00.00.351010006">4102.89</definedName>
    <definedName name="MOV.104.C.0.12.2001.00.00.351010007">170947.72</definedName>
    <definedName name="MOV.104.C.0.12.2001.00.00.351010008">17379.85</definedName>
    <definedName name="MOV.104.C.0.12.2001.00.00.352010001">162195.56</definedName>
    <definedName name="MOV.104.C.0.12.2001.00.00.352010006">0</definedName>
    <definedName name="MOV.104.C.0.12.2001.00.00.352010009">0</definedName>
    <definedName name="MOV.104.C.0.12.2001.00.00.361010002">-662.77</definedName>
    <definedName name="MOV.104.C.0.12.2001.00.00.361020001">-114800.3</definedName>
    <definedName name="MOV.104.C.0.12.2001.00.00.361020003">-265933.73</definedName>
    <definedName name="MOV.104.C.0.12.2001.00.00.37102">0</definedName>
    <definedName name="MOV.104.C.0.12.2001.00.00.371030001">0</definedName>
    <definedName name="MOV.104.C.0.12.2001.00.00.371030002">-169829.31</definedName>
    <definedName name="MOV.104.C.0.12.2001.00.00.381010001">0</definedName>
    <definedName name="MOV.104.C.0.12.2001.00.00.381020001">0</definedName>
    <definedName name="MOV.104.C.0.12.2001.00.00.391010001">0</definedName>
    <definedName name="MOV.104.C.0.12.2001.00.00.DBB180">5725207.47</definedName>
    <definedName name="MOV.104.C.0.12.2001.00.00.DGAAPR17">4440512.97</definedName>
    <definedName name="MOV.104.C.0.12.2001.00.00.DGAAPR20">-3323.85</definedName>
    <definedName name="MOV.104.C.0.12.2002.00.00.13202">0</definedName>
    <definedName name="MOV.104.C.0.12.2002.00.00.311010001">0</definedName>
    <definedName name="MOV.104.C.0.12.2002.00.00.311010002">0</definedName>
    <definedName name="MOV.104.C.0.12.2002.00.00.311020001">0</definedName>
    <definedName name="MOV.104.C.0.12.2002.00.00.311020002">0</definedName>
    <definedName name="MOV.104.C.0.12.2002.00.00.311020003">0</definedName>
    <definedName name="MOV.104.C.0.12.2002.00.00.32101">0</definedName>
    <definedName name="MOV.104.C.0.12.2002.00.00.32102">0</definedName>
    <definedName name="MOV.104.C.0.12.2002.00.00.331010001">0</definedName>
    <definedName name="MOV.104.C.0.12.2002.00.00.331010002">0</definedName>
    <definedName name="MOV.104.C.0.12.2002.00.00.331010003">0</definedName>
    <definedName name="MOV.104.C.0.12.2002.00.00.331010004">0</definedName>
    <definedName name="MOV.104.C.0.12.2002.00.00.33102">0</definedName>
    <definedName name="MOV.104.C.0.12.2002.00.00.341">0</definedName>
    <definedName name="MOV.104.C.0.12.2002.00.00.342">0</definedName>
    <definedName name="MOV.104.C.0.12.2002.00.00.343">0</definedName>
    <definedName name="MOV.104.C.0.12.2002.00.00.344">0</definedName>
    <definedName name="MOV.104.C.0.12.2002.00.00.345">0</definedName>
    <definedName name="MOV.104.C.0.12.2002.00.00.346">0</definedName>
    <definedName name="MOV.104.C.0.12.2002.00.00.346080064">0</definedName>
    <definedName name="MOV.104.C.0.12.2002.00.00.347010058">0</definedName>
    <definedName name="MOV.104.C.0.12.2002.00.00.34702">0</definedName>
    <definedName name="MOV.104.C.0.12.2002.00.00.34704">0</definedName>
    <definedName name="MOV.104.C.0.12.2002.00.00.34705">0</definedName>
    <definedName name="MOV.104.C.0.12.2002.00.00.349">0</definedName>
    <definedName name="MOV.104.C.0.12.2002.00.00.351010001">0</definedName>
    <definedName name="MOV.104.C.0.12.2002.00.00.351010002">0</definedName>
    <definedName name="MOV.104.C.0.12.2002.00.00.351010004">0</definedName>
    <definedName name="MOV.104.C.0.12.2002.00.00.351010005">0</definedName>
    <definedName name="MOV.104.C.0.12.2002.00.00.351010006">0</definedName>
    <definedName name="MOV.104.C.0.12.2002.00.00.351010007">0</definedName>
    <definedName name="MOV.104.C.0.12.2002.00.00.351010008">0</definedName>
    <definedName name="MOV.104.C.0.12.2002.00.00.351010009">0</definedName>
    <definedName name="MOV.104.C.0.12.2002.00.00.352010001">0</definedName>
    <definedName name="MOV.104.C.0.12.2002.00.00.352010006">0</definedName>
    <definedName name="MOV.104.C.0.12.2002.00.00.352010009">0</definedName>
    <definedName name="MOV.104.C.0.12.2002.00.00.361010002">0</definedName>
    <definedName name="MOV.104.C.0.12.2002.00.00.361020001">0</definedName>
    <definedName name="MOV.104.C.0.12.2002.00.00.361020003">0</definedName>
    <definedName name="MOV.104.C.0.12.2002.00.00.37102">0</definedName>
    <definedName name="MOV.104.C.0.12.2002.00.00.371030001">0</definedName>
    <definedName name="MOV.104.C.0.12.2002.00.00.371030002">0</definedName>
    <definedName name="MOV.104.C.0.12.2002.00.00.381010001">0</definedName>
    <definedName name="MOV.104.C.0.12.2002.00.00.381020001">0</definedName>
    <definedName name="MOV.104.C.0.12.2002.00.00.391010001">0</definedName>
    <definedName name="MOV.104.C.0.12.2002.00.00.DBB180">0</definedName>
    <definedName name="MOV.104.C.0.12.2002.00.00.DGAAPR17">0</definedName>
    <definedName name="MOV.104.C.0.12.2002.00.00.DGAAPR20">0</definedName>
    <definedName name="MOV.104.C.1.00.1999.00.00.241010001">0</definedName>
    <definedName name="MOV.104.C.1.00.2000.00.00.3.CG1_LK.CG2_K01.CG3_K019.CG4_LK019A">38636.99998707</definedName>
    <definedName name="MOV.104.C.1.02.1999.00.00.241010001">6359888.88885498</definedName>
    <definedName name="MOV.104.C.1.04.1999.00.00.241010001">11284305.1131439</definedName>
    <definedName name="MOV.104.C.1.12.1999.00.00.241010001">0</definedName>
    <definedName name="MOV.105.C.0.01.2000.00.00.13202">-5259.06</definedName>
    <definedName name="MOV.105.C.0.01.2000.00.00.311010001">2417925</definedName>
    <definedName name="MOV.105.C.0.01.2000.00.00.311010002">842557.75</definedName>
    <definedName name="MOV.105.C.0.01.2000.00.00.311010003">249358.91</definedName>
    <definedName name="MOV.105.C.0.01.2000.00.00.311020001">37315.38</definedName>
    <definedName name="MOV.105.C.0.01.2000.00.00.311020002">13719.6</definedName>
    <definedName name="MOV.105.C.0.01.2000.00.00.311020003">0</definedName>
    <definedName name="MOV.105.C.0.01.2000.00.00.32101">-295838.25</definedName>
    <definedName name="MOV.105.C.0.01.2000.00.00.32102">-1862.78</definedName>
    <definedName name="MOV.105.C.0.01.2000.00.00.331010001">-971073.92</definedName>
    <definedName name="MOV.105.C.0.01.2000.00.00.331010002">-667763.78</definedName>
    <definedName name="MOV.105.C.0.01.2000.00.00.331010003">-29708.8</definedName>
    <definedName name="MOV.105.C.0.01.2000.00.00.331010004">0</definedName>
    <definedName name="MOV.105.C.0.01.2000.00.00.33102">-1800</definedName>
    <definedName name="MOV.105.C.0.01.2000.00.00.341">-592519.86</definedName>
    <definedName name="MOV.105.C.0.01.2000.00.00.342">-1515606.73</definedName>
    <definedName name="MOV.105.C.0.01.2000.00.00.343">-58442.66</definedName>
    <definedName name="MOV.105.C.0.01.2000.00.00.344">-173552.47</definedName>
    <definedName name="MOV.105.C.0.01.2000.00.00.345">-269974.68</definedName>
    <definedName name="MOV.105.C.0.01.2000.00.00.34501">-103464.68</definedName>
    <definedName name="MOV.105.C.0.01.2000.00.00.34502">-166510</definedName>
    <definedName name="MOV.105.C.0.01.2000.00.00.346">-259504.73</definedName>
    <definedName name="MOV.105.C.0.01.2000.00.00.346080063">-14690.66</definedName>
    <definedName name="MOV.105.C.0.01.2000.00.00.346080064">0</definedName>
    <definedName name="MOV.105.C.0.01.2000.00.00.347010058">-97858.29</definedName>
    <definedName name="MOV.105.C.0.01.2000.00.00.34702">-65209.66</definedName>
    <definedName name="MOV.105.C.0.01.2000.00.00.34703">0</definedName>
    <definedName name="MOV.105.C.0.01.2000.00.00.34704">-2375</definedName>
    <definedName name="MOV.105.C.0.01.2000.00.00.34705">0</definedName>
    <definedName name="MOV.105.C.0.01.2000.00.00.347060001">0</definedName>
    <definedName name="MOV.105.C.0.01.2000.00.00.349">2046322.77</definedName>
    <definedName name="MOV.105.C.0.01.2000.00.00.351010001">10572.05</definedName>
    <definedName name="MOV.105.C.0.01.2000.00.00.351010002">0</definedName>
    <definedName name="MOV.105.C.0.01.2000.00.00.351010003">0</definedName>
    <definedName name="MOV.105.C.0.01.2000.00.00.351010004">-69.08</definedName>
    <definedName name="MOV.105.C.0.01.2000.00.00.351010005">-318.83</definedName>
    <definedName name="MOV.105.C.0.01.2000.00.00.351010006">0</definedName>
    <definedName name="MOV.105.C.0.01.2000.00.00.351010007">0</definedName>
    <definedName name="MOV.105.C.0.01.2000.00.00.351010008">0</definedName>
    <definedName name="MOV.105.C.0.01.2000.00.00.352010001">-452698.75</definedName>
    <definedName name="MOV.105.C.0.01.2000.00.00.361010002">55.53</definedName>
    <definedName name="MOV.105.C.0.01.2000.00.00.361020001">-126907.65</definedName>
    <definedName name="MOV.105.C.0.01.2000.00.00.361020002">-126661.31</definedName>
    <definedName name="MOV.105.C.0.01.2000.00.00.361020003">0</definedName>
    <definedName name="MOV.105.C.0.01.2000.00.00.37102">0</definedName>
    <definedName name="MOV.105.C.0.01.2000.00.00.371030001">0</definedName>
    <definedName name="MOV.105.C.0.01.2000.00.00.371030002">0</definedName>
    <definedName name="MOV.105.C.0.01.2000.00.00.381010001">8382.73</definedName>
    <definedName name="MOV.105.C.0.01.2000.00.00.381020001">23286.08</definedName>
    <definedName name="MOV.105.C.0.01.2000.00.00.391010001">0</definedName>
    <definedName name="MOV.105.C.0.01.2000.00.00.DBB180">-61474.73</definedName>
    <definedName name="MOV.105.C.0.01.2000.00.00.DGAAPR17">-126605.78</definedName>
    <definedName name="MOV.105.C.0.01.2000.00.00.DGAAPR20">-1223.3</definedName>
    <definedName name="MOV.105.C.0.01.2001.00.00.13202">-9280.43</definedName>
    <definedName name="MOV.105.C.0.01.2001.00.00.311010001">2668034.4</definedName>
    <definedName name="MOV.105.C.0.01.2001.00.00.311010002">1077011.85</definedName>
    <definedName name="MOV.105.C.0.01.2001.00.00.311010003">285885.28</definedName>
    <definedName name="MOV.105.C.0.01.2001.00.00.311020001">43308.64</definedName>
    <definedName name="MOV.105.C.0.01.2001.00.00.311020002">15074.83</definedName>
    <definedName name="MOV.105.C.0.01.2001.00.00.311020003">15166.67</definedName>
    <definedName name="MOV.105.C.0.01.2001.00.00.32101">-348675.58</definedName>
    <definedName name="MOV.105.C.0.01.2001.00.00.32102">-2684.58</definedName>
    <definedName name="MOV.105.C.0.01.2001.00.00.331010001">-985720.35</definedName>
    <definedName name="MOV.105.C.0.01.2001.00.00.331010002">-668363.43</definedName>
    <definedName name="MOV.105.C.0.01.2001.00.00.331010003">-29708.8</definedName>
    <definedName name="MOV.105.C.0.01.2001.00.00.331010004">0</definedName>
    <definedName name="MOV.105.C.0.01.2001.00.00.33102">-2057.94</definedName>
    <definedName name="MOV.105.C.0.01.2001.00.00.341">-777775.01</definedName>
    <definedName name="MOV.105.C.0.01.2001.00.00.342">-1193208.04</definedName>
    <definedName name="MOV.105.C.0.01.2001.00.00.343">-46959.88</definedName>
    <definedName name="MOV.105.C.0.01.2001.00.00.344">-145672.1</definedName>
    <definedName name="MOV.105.C.0.01.2001.00.00.345">-279795.3</definedName>
    <definedName name="MOV.105.C.0.01.2001.00.00.34501">-94466.9</definedName>
    <definedName name="MOV.105.C.0.01.2001.00.00.34502">-185328.4</definedName>
    <definedName name="MOV.105.C.0.01.2001.00.00.346">-478300.76</definedName>
    <definedName name="MOV.105.C.0.01.2001.00.00.346080063">-13386.77</definedName>
    <definedName name="MOV.105.C.0.01.2001.00.00.346080064">0</definedName>
    <definedName name="MOV.105.C.0.01.2001.00.00.347010058">-97858.29</definedName>
    <definedName name="MOV.105.C.0.01.2001.00.00.34702">-73900.46</definedName>
    <definedName name="MOV.105.C.0.01.2001.00.00.34703">0</definedName>
    <definedName name="MOV.105.C.0.01.2001.00.00.34704">-6000</definedName>
    <definedName name="MOV.105.C.0.01.2001.00.00.34705">0</definedName>
    <definedName name="MOV.105.C.0.01.2001.00.00.347060001">-9280.43</definedName>
    <definedName name="MOV.105.C.0.01.2001.00.00.349">1763485.44</definedName>
    <definedName name="MOV.105.C.0.01.2001.00.00.351010001">125587.67</definedName>
    <definedName name="MOV.105.C.0.01.2001.00.00.351010002">0</definedName>
    <definedName name="MOV.105.C.0.01.2001.00.00.351010003">0</definedName>
    <definedName name="MOV.105.C.0.01.2001.00.00.351010004">-817.19</definedName>
    <definedName name="MOV.105.C.0.01.2001.00.00.351010005">-3771.66</definedName>
    <definedName name="MOV.105.C.0.01.2001.00.00.351010006">0</definedName>
    <definedName name="MOV.105.C.0.01.2001.00.00.351010007">0</definedName>
    <definedName name="MOV.105.C.0.01.2001.00.00.351010008">0</definedName>
    <definedName name="MOV.105.C.0.01.2001.00.00.352010001">-595624.7</definedName>
    <definedName name="MOV.105.C.0.01.2001.00.00.361010002">134.22</definedName>
    <definedName name="MOV.105.C.0.01.2001.00.00.361020001">-77113.23</definedName>
    <definedName name="MOV.105.C.0.01.2001.00.00.361020002">-16323.03</definedName>
    <definedName name="MOV.105.C.0.01.2001.00.00.361020003">0</definedName>
    <definedName name="MOV.105.C.0.01.2001.00.00.37102">0</definedName>
    <definedName name="MOV.105.C.0.01.2001.00.00.371030001">0</definedName>
    <definedName name="MOV.105.C.0.01.2001.00.00.371030002">0</definedName>
    <definedName name="MOV.105.C.0.01.2001.00.00.381010001">-13819.4</definedName>
    <definedName name="MOV.105.C.0.01.2001.00.00.381020001">-38387.21</definedName>
    <definedName name="MOV.105.C.0.01.2001.00.00.391010001">0</definedName>
    <definedName name="MOV.105.C.0.01.2001.00.00.DBB180">101342.23</definedName>
    <definedName name="MOV.105.C.0.01.2001.00.00.DGAAPR17">-16188.81</definedName>
    <definedName name="MOV.105.C.0.01.2001.00.00.DGAAPR20">-529.4</definedName>
    <definedName name="MOV.105.C.0.01.2002.00.00.311010001">3251164</definedName>
    <definedName name="MOV.105.C.0.01.2002.00.00.311010002">1286305</definedName>
    <definedName name="MOV.105.C.0.01.2002.00.00.311010003">293240.54</definedName>
    <definedName name="MOV.105.C.0.01.2002.00.00.311020001">19092.65</definedName>
    <definedName name="MOV.105.C.0.01.2002.00.00.311020002">16499.4</definedName>
    <definedName name="MOV.105.C.0.01.2002.00.00.311020003">123944.49</definedName>
    <definedName name="MOV.105.C.0.01.2002.00.00.32101">-403194.35</definedName>
    <definedName name="MOV.105.C.0.01.2002.00.00.32102">-5823.09</definedName>
    <definedName name="MOV.105.C.0.01.2002.00.00.331010001">-1223486.19</definedName>
    <definedName name="MOV.105.C.0.01.2002.00.00.331010002">-420151.48</definedName>
    <definedName name="MOV.105.C.0.01.2002.00.00.331010003">-29708.8</definedName>
    <definedName name="MOV.105.C.0.01.2002.00.00.331010004">0</definedName>
    <definedName name="MOV.105.C.0.01.2002.00.00.33102">0</definedName>
    <definedName name="MOV.105.C.0.01.2002.00.00.341">-830348.89</definedName>
    <definedName name="MOV.105.C.0.01.2002.00.00.342">-1128824.58</definedName>
    <definedName name="MOV.105.C.0.01.2002.00.00.343">-33320.04</definedName>
    <definedName name="MOV.105.C.0.01.2002.00.00.344">-147342.17</definedName>
    <definedName name="MOV.105.C.0.01.2002.00.00.34501">-107957.47</definedName>
    <definedName name="MOV.105.C.0.01.2002.00.00.34502">-198121</definedName>
    <definedName name="MOV.105.C.0.01.2002.00.00.346">-394538.59</definedName>
    <definedName name="MOV.105.C.0.01.2002.00.00.346080063">-20868.9</definedName>
    <definedName name="MOV.105.C.0.01.2002.00.00.347010058">-97858.29</definedName>
    <definedName name="MOV.105.C.0.01.2002.00.00.34702">-90749.38</definedName>
    <definedName name="MOV.105.C.0.01.2002.00.00.34703">0</definedName>
    <definedName name="MOV.105.C.0.01.2002.00.00.34704">-7000</definedName>
    <definedName name="MOV.105.C.0.01.2002.00.00.34705">0</definedName>
    <definedName name="MOV.105.C.0.01.2002.00.00.349">1780264.24</definedName>
    <definedName name="MOV.105.C.0.01.2002.00.00.351010001">0</definedName>
    <definedName name="MOV.105.C.0.01.2002.00.00.351010002">0</definedName>
    <definedName name="MOV.105.C.0.01.2002.00.00.351010003">0</definedName>
    <definedName name="MOV.105.C.0.01.2002.00.00.351010004">-660</definedName>
    <definedName name="MOV.105.C.0.01.2002.00.00.351010005">-3046.16</definedName>
    <definedName name="MOV.105.C.0.01.2002.00.00.351010006">85177.52</definedName>
    <definedName name="MOV.105.C.0.01.2002.00.00.351010007">15524.45</definedName>
    <definedName name="MOV.105.C.0.01.2002.00.00.351010008">0</definedName>
    <definedName name="MOV.105.C.0.01.2002.00.00.352010001">-710586.44</definedName>
    <definedName name="MOV.105.C.0.01.2002.00.00.361010002">837</definedName>
    <definedName name="MOV.105.C.0.01.2002.00.00.361020001">-112163.33</definedName>
    <definedName name="MOV.105.C.0.01.2002.00.00.361020002">-10087.01</definedName>
    <definedName name="MOV.105.C.0.01.2002.00.00.37102">0</definedName>
    <definedName name="MOV.105.C.0.01.2002.00.00.371030001">0</definedName>
    <definedName name="MOV.105.C.0.01.2002.00.00.371030002">0</definedName>
    <definedName name="MOV.105.C.0.01.2002.00.00.381010001">-80199.81</definedName>
    <definedName name="MOV.105.C.0.01.2002.00.00.381020001">-222777.26</definedName>
    <definedName name="MOV.105.C.0.01.2002.00.00.391010001">0</definedName>
    <definedName name="MOV.105.C.0.01.2002.00.00.DBB180">588131.97</definedName>
    <definedName name="MOV.105.C.0.01.2002.00.00.DGAAPR20">-9526.03</definedName>
    <definedName name="MOV.105.C.0.02.1999.00.00.241010001">0</definedName>
    <definedName name="MOV.105.C.0.02.2000.00.00.13202">-5267.38</definedName>
    <definedName name="MOV.105.C.0.02.2000.00.00.311010001">2220497.25</definedName>
    <definedName name="MOV.105.C.0.02.2000.00.00.311010002">953118.75</definedName>
    <definedName name="MOV.105.C.0.02.2000.00.00.311010003">295999.2</definedName>
    <definedName name="MOV.105.C.0.02.2000.00.00.311020001">13800</definedName>
    <definedName name="MOV.105.C.0.02.2000.00.00.311020002">13719.6</definedName>
    <definedName name="MOV.105.C.0.02.2000.00.00.311020003">0</definedName>
    <definedName name="MOV.105.C.0.02.2000.00.00.32101">-307884.75</definedName>
    <definedName name="MOV.105.C.0.02.2000.00.00.32102">-1004.47</definedName>
    <definedName name="MOV.105.C.0.02.2000.00.00.331010001">-883257.16</definedName>
    <definedName name="MOV.105.C.0.02.2000.00.00.331010002">-667763.77</definedName>
    <definedName name="MOV.105.C.0.02.2000.00.00.331010003">-29708.8</definedName>
    <definedName name="MOV.105.C.0.02.2000.00.00.331010004">0</definedName>
    <definedName name="MOV.105.C.0.02.2000.00.00.33102">-1800</definedName>
    <definedName name="MOV.105.C.0.02.2000.00.00.341">-609616.8</definedName>
    <definedName name="MOV.105.C.0.02.2000.00.00.342">-1882067.97</definedName>
    <definedName name="MOV.105.C.0.02.2000.00.00.343">-31143.17</definedName>
    <definedName name="MOV.105.C.0.02.2000.00.00.344">-151054.14</definedName>
    <definedName name="MOV.105.C.0.02.2000.00.00.345">-259140.36</definedName>
    <definedName name="MOV.105.C.0.02.2000.00.00.34501">-92630.36</definedName>
    <definedName name="MOV.105.C.0.02.2000.00.00.34502">-166510</definedName>
    <definedName name="MOV.105.C.0.02.2000.00.00.346">-235779.66</definedName>
    <definedName name="MOV.105.C.0.02.2000.00.00.346080063">-23458.09</definedName>
    <definedName name="MOV.105.C.0.02.2000.00.00.346080064">0</definedName>
    <definedName name="MOV.105.C.0.02.2000.00.00.347010058">-97858.29</definedName>
    <definedName name="MOV.105.C.0.02.2000.00.00.34702">-63472.32</definedName>
    <definedName name="MOV.105.C.0.02.2000.00.00.34703">0</definedName>
    <definedName name="MOV.105.C.0.02.2000.00.00.34704">-6300</definedName>
    <definedName name="MOV.105.C.0.02.2000.00.00.34705">0</definedName>
    <definedName name="MOV.105.C.0.02.2000.00.00.347060001">0</definedName>
    <definedName name="MOV.105.C.0.02.2000.00.00.349">2118846.48</definedName>
    <definedName name="MOV.105.C.0.02.2000.00.00.351010001">16662.65</definedName>
    <definedName name="MOV.105.C.0.02.2000.00.00.351010002">0</definedName>
    <definedName name="MOV.105.C.0.02.2000.00.00.351010003">0</definedName>
    <definedName name="MOV.105.C.0.02.2000.00.00.351010004">-108.31</definedName>
    <definedName name="MOV.105.C.0.02.2000.00.00.351010005">-499.88</definedName>
    <definedName name="MOV.105.C.0.02.2000.00.00.351010006">0</definedName>
    <definedName name="MOV.105.C.0.02.2000.00.00.351010007">0</definedName>
    <definedName name="MOV.105.C.0.02.2000.00.00.351010008">0</definedName>
    <definedName name="MOV.105.C.0.02.2000.00.00.352010001">-415332.22</definedName>
    <definedName name="MOV.105.C.0.02.2000.00.00.361010002">-140.5</definedName>
    <definedName name="MOV.105.C.0.02.2000.00.00.361020001">-118513.67</definedName>
    <definedName name="MOV.105.C.0.02.2000.00.00.361020002">21247.09</definedName>
    <definedName name="MOV.105.C.0.02.2000.00.00.361020003">0</definedName>
    <definedName name="MOV.105.C.0.02.2000.00.00.37102">0</definedName>
    <definedName name="MOV.105.C.0.02.2000.00.00.371030001">0</definedName>
    <definedName name="MOV.105.C.0.02.2000.00.00.371030002">0</definedName>
    <definedName name="MOV.105.C.0.02.2000.00.00.381010001">9966.37</definedName>
    <definedName name="MOV.105.C.0.02.2000.00.00.381020001">27683.63</definedName>
    <definedName name="MOV.105.C.0.02.2000.00.00.391010001">0</definedName>
    <definedName name="MOV.105.C.0.02.2000.00.00.DBB180">-73085.27</definedName>
    <definedName name="MOV.105.C.0.02.2000.00.00.DGAAPR17">21106.59</definedName>
    <definedName name="MOV.105.C.0.02.2000.00.00.DGAAPR20">-2180.05</definedName>
    <definedName name="MOV.105.C.0.02.2001.00.00.13202">-9304.63</definedName>
    <definedName name="MOV.105.C.0.02.2001.00.00.311010001">2388378.45</definedName>
    <definedName name="MOV.105.C.0.02.2001.00.00.311010002">931159.7</definedName>
    <definedName name="MOV.105.C.0.02.2001.00.00.311010003">280374.78</definedName>
    <definedName name="MOV.105.C.0.02.2001.00.00.311020001">11784.24</definedName>
    <definedName name="MOV.105.C.0.02.2001.00.00.311020002">15074.83</definedName>
    <definedName name="MOV.105.C.0.02.2001.00.00.311020003">15166.67</definedName>
    <definedName name="MOV.105.C.0.02.2001.00.00.32101">-311392.46</definedName>
    <definedName name="MOV.105.C.0.02.2001.00.00.32102">-1533.94</definedName>
    <definedName name="MOV.105.C.0.02.2001.00.00.331010001">-1086155.77</definedName>
    <definedName name="MOV.105.C.0.02.2001.00.00.331010002">-658848.08</definedName>
    <definedName name="MOV.105.C.0.02.2001.00.00.331010003">-29708.8</definedName>
    <definedName name="MOV.105.C.0.02.2001.00.00.331010004">0</definedName>
    <definedName name="MOV.105.C.0.02.2001.00.00.33102">-2057.94</definedName>
    <definedName name="MOV.105.C.0.02.2001.00.00.341">-702970.39</definedName>
    <definedName name="MOV.105.C.0.02.2001.00.00.342">-2128364.25</definedName>
    <definedName name="MOV.105.C.0.02.2001.00.00.343">-17863.35</definedName>
    <definedName name="MOV.105.C.0.02.2001.00.00.344">-152940</definedName>
    <definedName name="MOV.105.C.0.02.2001.00.00.345">-302890.54</definedName>
    <definedName name="MOV.105.C.0.02.2001.00.00.34501">-117562.14</definedName>
    <definedName name="MOV.105.C.0.02.2001.00.00.34502">-185328.4</definedName>
    <definedName name="MOV.105.C.0.02.2001.00.00.346">-287106.48</definedName>
    <definedName name="MOV.105.C.0.02.2001.00.00.346080063">-17635.47</definedName>
    <definedName name="MOV.105.C.0.02.2001.00.00.346080064">0</definedName>
    <definedName name="MOV.105.C.0.02.2001.00.00.347010058">-97858.29</definedName>
    <definedName name="MOV.105.C.0.02.2001.00.00.34702">-67391.23</definedName>
    <definedName name="MOV.105.C.0.02.2001.00.00.34703">0</definedName>
    <definedName name="MOV.105.C.0.02.2001.00.00.34704">-8400</definedName>
    <definedName name="MOV.105.C.0.02.2001.00.00.34705">0</definedName>
    <definedName name="MOV.105.C.0.02.2001.00.00.347060001">-9304.63</definedName>
    <definedName name="MOV.105.C.0.02.2001.00.00.349">2628666.12</definedName>
    <definedName name="MOV.105.C.0.02.2001.00.00.351010001">18572.93</definedName>
    <definedName name="MOV.105.C.0.02.2001.00.00.351010002">0</definedName>
    <definedName name="MOV.105.C.0.02.2001.00.00.351010003">0</definedName>
    <definedName name="MOV.105.C.0.02.2001.00.00.351010004">-124.7</definedName>
    <definedName name="MOV.105.C.0.02.2001.00.00.351010005">-575.55</definedName>
    <definedName name="MOV.105.C.0.02.2001.00.00.351010006">0</definedName>
    <definedName name="MOV.105.C.0.02.2001.00.00.351010007">0</definedName>
    <definedName name="MOV.105.C.0.02.2001.00.00.351010008">0</definedName>
    <definedName name="MOV.105.C.0.02.2001.00.00.352010001">-535944.6</definedName>
    <definedName name="MOV.105.C.0.02.2001.00.00.361010002">612.14</definedName>
    <definedName name="MOV.105.C.0.02.2001.00.00.361020001">-95979.76</definedName>
    <definedName name="MOV.105.C.0.02.2001.00.00.361020002">-9748.04</definedName>
    <definedName name="MOV.105.C.0.02.2001.00.00.361020003">0</definedName>
    <definedName name="MOV.105.C.0.02.2001.00.00.37102">0</definedName>
    <definedName name="MOV.105.C.0.02.2001.00.00.371030001">0</definedName>
    <definedName name="MOV.105.C.0.02.2001.00.00.371030002">0</definedName>
    <definedName name="MOV.105.C.0.02.2001.00.00.381010001">19643.98</definedName>
    <definedName name="MOV.105.C.0.02.2001.00.00.381020001">54566.6</definedName>
    <definedName name="MOV.105.C.0.02.2001.00.00.391010001">0</definedName>
    <definedName name="MOV.105.C.0.02.2001.00.00.DBB180">-144055.83</definedName>
    <definedName name="MOV.105.C.0.02.2001.00.00.DGAAPR17">-9135.9</definedName>
    <definedName name="MOV.105.C.0.02.2001.00.00.DGAAPR20">-897.47</definedName>
    <definedName name="MOV.105.C.0.02.2002.00.00.311010001">2840836</definedName>
    <definedName name="MOV.105.C.0.02.2002.00.00.311010002">1087695</definedName>
    <definedName name="MOV.105.C.0.02.2002.00.00.311010003">291895</definedName>
    <definedName name="MOV.105.C.0.02.2002.00.00.311020001">12411.35</definedName>
    <definedName name="MOV.105.C.0.02.2002.00.00.311020002">16499.4</definedName>
    <definedName name="MOV.105.C.0.02.2002.00.00.311020003">124867.15</definedName>
    <definedName name="MOV.105.C.0.02.2002.00.00.32101">-350472.1</definedName>
    <definedName name="MOV.105.C.0.02.2002.00.00.32102">-5612.9</definedName>
    <definedName name="MOV.105.C.0.02.2002.00.00.331010001">-1082400.68</definedName>
    <definedName name="MOV.105.C.0.02.2002.00.00.331010002">-421876.61</definedName>
    <definedName name="MOV.105.C.0.02.2002.00.00.331010003">-29708.8</definedName>
    <definedName name="MOV.105.C.0.02.2002.00.00.331010004">0</definedName>
    <definedName name="MOV.105.C.0.02.2002.00.00.33102">-4115.88</definedName>
    <definedName name="MOV.105.C.0.02.2002.00.00.341">-772793.32</definedName>
    <definedName name="MOV.105.C.0.02.2002.00.00.342">-1029336.15</definedName>
    <definedName name="MOV.105.C.0.02.2002.00.00.343">-30254.09</definedName>
    <definedName name="MOV.105.C.0.02.2002.00.00.344">-273368.15</definedName>
    <definedName name="MOV.105.C.0.02.2002.00.00.34501">-107579.45</definedName>
    <definedName name="MOV.105.C.0.02.2002.00.00.34502">-198121</definedName>
    <definedName name="MOV.105.C.0.02.2002.00.00.346">-265272.08</definedName>
    <definedName name="MOV.105.C.0.02.2002.00.00.346080063">-18131.26</definedName>
    <definedName name="MOV.105.C.0.02.2002.00.00.347010058">-97858.29</definedName>
    <definedName name="MOV.105.C.0.02.2002.00.00.34702">-78570.62</definedName>
    <definedName name="MOV.105.C.0.02.2002.00.00.34703">0</definedName>
    <definedName name="MOV.105.C.0.02.2002.00.00.34704">-7000</definedName>
    <definedName name="MOV.105.C.0.02.2002.00.00.34705">0</definedName>
    <definedName name="MOV.105.C.0.02.2002.00.00.349">1773627.67</definedName>
    <definedName name="MOV.105.C.0.02.2002.00.00.351010001">0</definedName>
    <definedName name="MOV.105.C.0.02.2002.00.00.351010002">0</definedName>
    <definedName name="MOV.105.C.0.02.2002.00.00.351010003">0</definedName>
    <definedName name="MOV.105.C.0.02.2002.00.00.351010004">-514.42</definedName>
    <definedName name="MOV.105.C.0.02.2002.00.00.351010005">-2374.26</definedName>
    <definedName name="MOV.105.C.0.02.2002.00.00.351010006">58870.06</definedName>
    <definedName name="MOV.105.C.0.02.2002.00.00.351010007">20272.11</definedName>
    <definedName name="MOV.105.C.0.02.2002.00.00.351010008">0</definedName>
    <definedName name="MOV.105.C.0.02.2002.00.00.352010001">-637469.04</definedName>
    <definedName name="MOV.105.C.0.02.2002.00.00.361010002">-599.32</definedName>
    <definedName name="MOV.105.C.0.02.2002.00.00.361020001">-99937.73</definedName>
    <definedName name="MOV.105.C.0.02.2002.00.00.361020002">7222.67</definedName>
    <definedName name="MOV.105.C.0.02.2002.00.00.37102">-1460</definedName>
    <definedName name="MOV.105.C.0.02.2002.00.00.371030001">0</definedName>
    <definedName name="MOV.105.C.0.02.2002.00.00.371030002">0</definedName>
    <definedName name="MOV.105.C.0.02.2002.00.00.381010001">34425.3</definedName>
    <definedName name="MOV.105.C.0.02.2002.00.00.381020001">146486.41</definedName>
    <definedName name="MOV.105.C.0.02.2002.00.00.391010001">0</definedName>
    <definedName name="MOV.105.C.0.02.2002.00.00.DBB180">500487.93</definedName>
    <definedName name="MOV.105.C.0.02.2002.00.00.DGAAPR20">-2395.98</definedName>
    <definedName name="MOV.105.C.0.03.2000.00.00.13202">-5267.38</definedName>
    <definedName name="MOV.105.C.0.03.2000.00.00.311010001">2337264.75</definedName>
    <definedName name="MOV.105.C.0.03.2000.00.00.311010002">896033.25</definedName>
    <definedName name="MOV.105.C.0.03.2000.00.00.311010003">296735.95</definedName>
    <definedName name="MOV.105.C.0.03.2000.00.00.311020001">53330.76</definedName>
    <definedName name="MOV.105.C.0.03.2000.00.00.311020002">13719.6</definedName>
    <definedName name="MOV.105.C.0.03.2000.00.00.311020003">0</definedName>
    <definedName name="MOV.105.C.0.03.2000.00.00.32101">-305347.92</definedName>
    <definedName name="MOV.105.C.0.03.2000.00.00.32102">-9710.96</definedName>
    <definedName name="MOV.105.C.0.03.2000.00.00.331010001">-1104881.12</definedName>
    <definedName name="MOV.105.C.0.03.2000.00.00.331010002">-667763.76</definedName>
    <definedName name="MOV.105.C.0.03.2000.00.00.331010003">-29708.8</definedName>
    <definedName name="MOV.105.C.0.03.2000.00.00.331010004">0</definedName>
    <definedName name="MOV.105.C.0.03.2000.00.00.33102">-3605.58</definedName>
    <definedName name="MOV.105.C.0.03.2000.00.00.341">-666318.02</definedName>
    <definedName name="MOV.105.C.0.03.2000.00.00.342">-1740354.44</definedName>
    <definedName name="MOV.105.C.0.03.2000.00.00.343">-53413.67</definedName>
    <definedName name="MOV.105.C.0.03.2000.00.00.344">-125548.81</definedName>
    <definedName name="MOV.105.C.0.03.2000.00.00.345">-252968.21</definedName>
    <definedName name="MOV.105.C.0.03.2000.00.00.34501">-86458.21</definedName>
    <definedName name="MOV.105.C.0.03.2000.00.00.34502">-166510</definedName>
    <definedName name="MOV.105.C.0.03.2000.00.00.346">-340254.21</definedName>
    <definedName name="MOV.105.C.0.03.2000.00.00.346080063">-82894.08</definedName>
    <definedName name="MOV.105.C.0.03.2000.00.00.346080064">0</definedName>
    <definedName name="MOV.105.C.0.03.2000.00.00.347010058">-97858.29</definedName>
    <definedName name="MOV.105.C.0.03.2000.00.00.34702">-64665.96</definedName>
    <definedName name="MOV.105.C.0.03.2000.00.00.34703">0</definedName>
    <definedName name="MOV.105.C.0.03.2000.00.00.34704">1600</definedName>
    <definedName name="MOV.105.C.0.03.2000.00.00.34705">0</definedName>
    <definedName name="MOV.105.C.0.03.2000.00.00.347060001">0</definedName>
    <definedName name="MOV.105.C.0.03.2000.00.00.349">2185358.58</definedName>
    <definedName name="MOV.105.C.0.03.2000.00.00.351010001">73768.5</definedName>
    <definedName name="MOV.105.C.0.03.2000.00.00.351010002">0</definedName>
    <definedName name="MOV.105.C.0.03.2000.00.00.351010003">0</definedName>
    <definedName name="MOV.105.C.0.03.2000.00.00.351010004">-479.5</definedName>
    <definedName name="MOV.105.C.0.03.2000.00.00.351010005">-2213.06</definedName>
    <definedName name="MOV.105.C.0.03.2000.00.00.351010006">0</definedName>
    <definedName name="MOV.105.C.0.03.2000.00.00.351010007">0</definedName>
    <definedName name="MOV.105.C.0.03.2000.00.00.351010008">0</definedName>
    <definedName name="MOV.105.C.0.03.2000.00.00.352010001">-478803.15</definedName>
    <definedName name="MOV.105.C.0.03.2000.00.00.361010002">-87.86</definedName>
    <definedName name="MOV.105.C.0.03.2000.00.00.361020001">-126737.19</definedName>
    <definedName name="MOV.105.C.0.03.2000.00.00.361020002">18941.06</definedName>
    <definedName name="MOV.105.C.0.03.2000.00.00.361020003">0</definedName>
    <definedName name="MOV.105.C.0.03.2000.00.00.37102">0</definedName>
    <definedName name="MOV.105.C.0.03.2000.00.00.371030001">0</definedName>
    <definedName name="MOV.105.C.0.03.2000.00.00.371030002">0</definedName>
    <definedName name="MOV.105.C.0.03.2000.00.00.381010001">17568.43</definedName>
    <definedName name="MOV.105.C.0.03.2000.00.00.381020001">48801.18</definedName>
    <definedName name="MOV.105.C.0.03.2000.00.00.391010001">0</definedName>
    <definedName name="MOV.105.C.0.03.2000.00.00.DBB180">-128835.17</definedName>
    <definedName name="MOV.105.C.0.03.2000.00.00.DGAAPR17">18853.2</definedName>
    <definedName name="MOV.105.C.0.03.2000.00.00.DGAAPR20">-1236.72</definedName>
    <definedName name="MOV.105.C.0.03.2001.00.00.13202">-9503.41</definedName>
    <definedName name="MOV.105.C.0.03.2001.00.00.311010001">2452548.35</definedName>
    <definedName name="MOV.105.C.0.03.2001.00.00.311010002">1128103.85</definedName>
    <definedName name="MOV.105.C.0.03.2001.00.00.311010003">290414.58</definedName>
    <definedName name="MOV.105.C.0.03.2001.00.00.311020001">17334.24</definedName>
    <definedName name="MOV.105.C.0.03.2001.00.00.311020002">15074.83</definedName>
    <definedName name="MOV.105.C.0.03.2001.00.00.311020003">15166.67</definedName>
    <definedName name="MOV.105.C.0.03.2001.00.00.32101">-334847.27</definedName>
    <definedName name="MOV.105.C.0.03.2001.00.00.32102">-1736.51</definedName>
    <definedName name="MOV.105.C.0.03.2001.00.00.331010001">-1042772.25</definedName>
    <definedName name="MOV.105.C.0.03.2001.00.00.331010002">-667731.94</definedName>
    <definedName name="MOV.105.C.0.03.2001.00.00.331010003">-29708.8</definedName>
    <definedName name="MOV.105.C.0.03.2001.00.00.331010004">0</definedName>
    <definedName name="MOV.105.C.0.03.2001.00.00.33102">0</definedName>
    <definedName name="MOV.105.C.0.03.2001.00.00.341">-751182.01</definedName>
    <definedName name="MOV.105.C.0.03.2001.00.00.342">-961062.63</definedName>
    <definedName name="MOV.105.C.0.03.2001.00.00.343">-39835.63</definedName>
    <definedName name="MOV.105.C.0.03.2001.00.00.344">-140843.61</definedName>
    <definedName name="MOV.105.C.0.03.2001.00.00.345">-291648.27</definedName>
    <definedName name="MOV.105.C.0.03.2001.00.00.34501">-106319.87</definedName>
    <definedName name="MOV.105.C.0.03.2001.00.00.34502">-185328.4</definedName>
    <definedName name="MOV.105.C.0.03.2001.00.00.346">-329727.01</definedName>
    <definedName name="MOV.105.C.0.03.2001.00.00.346080063">-25060.03</definedName>
    <definedName name="MOV.105.C.0.03.2001.00.00.346080064">0</definedName>
    <definedName name="MOV.105.C.0.03.2001.00.00.347010058">-97858.29</definedName>
    <definedName name="MOV.105.C.0.03.2001.00.00.34702">-71613.04</definedName>
    <definedName name="MOV.105.C.0.03.2001.00.00.34703">0</definedName>
    <definedName name="MOV.105.C.0.03.2001.00.00.34704">-7200</definedName>
    <definedName name="MOV.105.C.0.03.2001.00.00.34705">0</definedName>
    <definedName name="MOV.105.C.0.03.2001.00.00.347060001">-9503.41</definedName>
    <definedName name="MOV.105.C.0.03.2001.00.00.349">1557985.04</definedName>
    <definedName name="MOV.105.C.0.03.2001.00.00.351010001">97479.83</definedName>
    <definedName name="MOV.105.C.0.03.2001.00.00.351010002">0</definedName>
    <definedName name="MOV.105.C.0.03.2001.00.00.351010003">0</definedName>
    <definedName name="MOV.105.C.0.03.2001.00.00.351010004">-17803.97</definedName>
    <definedName name="MOV.105.C.0.03.2001.00.00.351010005">-82172.13</definedName>
    <definedName name="MOV.105.C.0.03.2001.00.00.351010006">0</definedName>
    <definedName name="MOV.105.C.0.03.2001.00.00.351010007">0</definedName>
    <definedName name="MOV.105.C.0.03.2001.00.00.351010008">0</definedName>
    <definedName name="MOV.105.C.0.03.2001.00.00.352010001">-489430.66</definedName>
    <definedName name="MOV.105.C.0.03.2001.00.00.361010002">1016.53</definedName>
    <definedName name="MOV.105.C.0.03.2001.00.00.361020001">-98850.22</definedName>
    <definedName name="MOV.105.C.0.03.2001.00.00.361020002">-11865.76</definedName>
    <definedName name="MOV.105.C.0.03.2001.00.00.361020003">0</definedName>
    <definedName name="MOV.105.C.0.03.2001.00.00.37102">0</definedName>
    <definedName name="MOV.105.C.0.03.2001.00.00.371030001">0</definedName>
    <definedName name="MOV.105.C.0.03.2001.00.00.371030002">0</definedName>
    <definedName name="MOV.105.C.0.03.2001.00.00.381010001">-8647.24</definedName>
    <definedName name="MOV.105.C.0.03.2001.00.00.381020001">-24020.11</definedName>
    <definedName name="MOV.105.C.0.03.2001.00.00.391010001">0</definedName>
    <definedName name="MOV.105.C.0.03.2001.00.00.DBB180">63413.1</definedName>
    <definedName name="MOV.105.C.0.03.2001.00.00.DGAAPR17">-10849.23</definedName>
    <definedName name="MOV.105.C.0.03.2001.00.00.DGAAPR20">-1650.06</definedName>
    <definedName name="MOV.105.C.0.03.2002.00.00.311010001">3200177</definedName>
    <definedName name="MOV.105.C.0.03.2002.00.00.311010002">1316421</definedName>
    <definedName name="MOV.105.C.0.03.2002.00.00.311010003">288985.3</definedName>
    <definedName name="MOV.105.C.0.03.2002.00.00.311020001">12411.35</definedName>
    <definedName name="MOV.105.C.0.03.2002.00.00.311020002">30799.4</definedName>
    <definedName name="MOV.105.C.0.03.2002.00.00.311020003">125606.56</definedName>
    <definedName name="MOV.105.C.0.03.2002.00.00.32101">-401233.69</definedName>
    <definedName name="MOV.105.C.0.03.2002.00.00.32102">-6161.83</definedName>
    <definedName name="MOV.105.C.0.03.2002.00.00.331010001">-1095513.37</definedName>
    <definedName name="MOV.105.C.0.03.2002.00.00.331010002">-424161.29</definedName>
    <definedName name="MOV.105.C.0.03.2002.00.00.331010003">-29708.8</definedName>
    <definedName name="MOV.105.C.0.03.2002.00.00.331010004">0</definedName>
    <definedName name="MOV.105.C.0.03.2002.00.00.33102">-4939.24</definedName>
    <definedName name="MOV.105.C.0.03.2002.00.00.341">-861267.49</definedName>
    <definedName name="MOV.105.C.0.03.2002.00.00.342">-1348585.22</definedName>
    <definedName name="MOV.105.C.0.03.2002.00.00.343">-25169.49</definedName>
    <definedName name="MOV.105.C.0.03.2002.00.00.344">-182531.31</definedName>
    <definedName name="MOV.105.C.0.03.2002.00.00.34501">-93543.85</definedName>
    <definedName name="MOV.105.C.0.03.2002.00.00.34502">-198121</definedName>
    <definedName name="MOV.105.C.0.03.2002.00.00.346">-313695.93</definedName>
    <definedName name="MOV.105.C.0.03.2002.00.00.346080063">-18730.46</definedName>
    <definedName name="MOV.105.C.0.03.2002.00.00.347010058">-97858.29</definedName>
    <definedName name="MOV.105.C.0.03.2002.00.00.34702">-90332</definedName>
    <definedName name="MOV.105.C.0.03.2002.00.00.34703">0</definedName>
    <definedName name="MOV.105.C.0.03.2002.00.00.34704">-7000</definedName>
    <definedName name="MOV.105.C.0.03.2002.00.00.34705">0</definedName>
    <definedName name="MOV.105.C.0.03.2002.00.00.349">2024566.11</definedName>
    <definedName name="MOV.105.C.0.03.2002.00.00.351010001">0</definedName>
    <definedName name="MOV.105.C.0.03.2002.00.00.351010002">0</definedName>
    <definedName name="MOV.105.C.0.03.2002.00.00.351010003">0</definedName>
    <definedName name="MOV.105.C.0.03.2002.00.00.351010004">-461.5</definedName>
    <definedName name="MOV.105.C.0.03.2002.00.00.351010005">-2129.99</definedName>
    <definedName name="MOV.105.C.0.03.2002.00.00.351010006">56618.43</definedName>
    <definedName name="MOV.105.C.0.03.2002.00.00.351010007">14171.08</definedName>
    <definedName name="MOV.105.C.0.03.2002.00.00.351010008">0</definedName>
    <definedName name="MOV.105.C.0.03.2002.00.00.352010001">-701146.67</definedName>
    <definedName name="MOV.105.C.0.03.2002.00.00.361010002">-210.32</definedName>
    <definedName name="MOV.105.C.0.03.2002.00.00.361020001">-108264.69</definedName>
    <definedName name="MOV.105.C.0.03.2002.00.00.361020002">2534.63</definedName>
    <definedName name="MOV.105.C.0.03.2002.00.00.37102">0</definedName>
    <definedName name="MOV.105.C.0.03.2002.00.00.371030001">0</definedName>
    <definedName name="MOV.105.C.0.03.2002.00.00.371030002">0</definedName>
    <definedName name="MOV.105.C.0.03.2002.00.00.381010001">-28940.33</definedName>
    <definedName name="MOV.105.C.0.03.2002.00.00.381020001">-131250.37</definedName>
    <definedName name="MOV.105.C.0.03.2002.00.00.391010001">0</definedName>
    <definedName name="MOV.105.C.0.03.2002.00.00.DBB180">731371.92</definedName>
    <definedName name="MOV.105.C.0.03.2002.00.00.DGAAPR20">-911.95</definedName>
    <definedName name="MOV.105.C.0.04.1999.00.00.241010001">0</definedName>
    <definedName name="MOV.105.C.0.04.2000.00.00.13202">-5590.79</definedName>
    <definedName name="MOV.105.C.0.04.2000.00.00.311010001">2280228.75</definedName>
    <definedName name="MOV.105.C.0.04.2000.00.00.311010002">960546</definedName>
    <definedName name="MOV.105.C.0.04.2000.00.00.311010003">302952.08</definedName>
    <definedName name="MOV.105.C.0.04.2000.00.00.311020001">36257.95</definedName>
    <definedName name="MOV.105.C.0.04.2000.00.00.311020002">13719.6</definedName>
    <definedName name="MOV.105.C.0.04.2000.00.00.311020003">0</definedName>
    <definedName name="MOV.105.C.0.04.2000.00.00.32101">-306532.37</definedName>
    <definedName name="MOV.105.C.0.04.2000.00.00.32102">-1824.18</definedName>
    <definedName name="MOV.105.C.0.04.2000.00.00.331010001">-906199.89</definedName>
    <definedName name="MOV.105.C.0.04.2000.00.00.331010002">-914830.83</definedName>
    <definedName name="MOV.105.C.0.04.2000.00.00.331010003">-29708.8</definedName>
    <definedName name="MOV.105.C.0.04.2000.00.00.331010004">0</definedName>
    <definedName name="MOV.105.C.0.04.2000.00.00.33102">-2057.94</definedName>
    <definedName name="MOV.105.C.0.04.2000.00.00.341">-694949.65</definedName>
    <definedName name="MOV.105.C.0.04.2000.00.00.342">-1043797.84</definedName>
    <definedName name="MOV.105.C.0.04.2000.00.00.343">-15765.54</definedName>
    <definedName name="MOV.105.C.0.04.2000.00.00.344">-113375.01</definedName>
    <definedName name="MOV.105.C.0.04.2000.00.00.345">-232678.93</definedName>
    <definedName name="MOV.105.C.0.04.2000.00.00.34501">-66168.93</definedName>
    <definedName name="MOV.105.C.0.04.2000.00.00.34502">-166510</definedName>
    <definedName name="MOV.105.C.0.04.2000.00.00.346">-220997.9</definedName>
    <definedName name="MOV.105.C.0.04.2000.00.00.346080063">-14141.56</definedName>
    <definedName name="MOV.105.C.0.04.2000.00.00.346080064">0</definedName>
    <definedName name="MOV.105.C.0.04.2000.00.00.347010058">-97858.29</definedName>
    <definedName name="MOV.105.C.0.04.2000.00.00.34702">-64815.5</definedName>
    <definedName name="MOV.105.C.0.04.2000.00.00.34703">0</definedName>
    <definedName name="MOV.105.C.0.04.2000.00.00.34704">-6500</definedName>
    <definedName name="MOV.105.C.0.04.2000.00.00.34705">0</definedName>
    <definedName name="MOV.105.C.0.04.2000.00.00.347060001">0</definedName>
    <definedName name="MOV.105.C.0.04.2000.00.00.349">1467413.34</definedName>
    <definedName name="MOV.105.C.0.04.2000.00.00.351010001">13591.14</definedName>
    <definedName name="MOV.105.C.0.04.2000.00.00.351010002">0</definedName>
    <definedName name="MOV.105.C.0.04.2000.00.00.351010003">0</definedName>
    <definedName name="MOV.105.C.0.04.2000.00.00.351010004">-89.94</definedName>
    <definedName name="MOV.105.C.0.04.2000.00.00.351010005">-415.12</definedName>
    <definedName name="MOV.105.C.0.04.2000.00.00.351010006">0</definedName>
    <definedName name="MOV.105.C.0.04.2000.00.00.351010007">0</definedName>
    <definedName name="MOV.105.C.0.04.2000.00.00.351010008">0</definedName>
    <definedName name="MOV.105.C.0.04.2000.00.00.352010001">-506200.17</definedName>
    <definedName name="MOV.105.C.0.04.2000.00.00.361010002">246.19</definedName>
    <definedName name="MOV.105.C.0.04.2000.00.00.361020001">-102283.14</definedName>
    <definedName name="MOV.105.C.0.04.2000.00.00.361020002">-124754.99</definedName>
    <definedName name="MOV.105.C.0.04.2000.00.00.361020003">0</definedName>
    <definedName name="MOV.105.C.0.04.2000.00.00.37102">0</definedName>
    <definedName name="MOV.105.C.0.04.2000.00.00.371030001">0</definedName>
    <definedName name="MOV.105.C.0.04.2000.00.00.371030002">0</definedName>
    <definedName name="MOV.105.C.0.04.2000.00.00.381010001">5817.02</definedName>
    <definedName name="MOV.105.C.0.04.2000.00.00.381020001">16158.41</definedName>
    <definedName name="MOV.105.C.0.04.2000.00.00.391010001">0</definedName>
    <definedName name="MOV.105.C.0.04.2000.00.00.DBB180">-289725.28</definedName>
    <definedName name="MOV.105.C.0.04.2000.00.00.DGAAPR17">-124508.8</definedName>
    <definedName name="MOV.105.C.0.04.2000.00.00.DGAAPR20">-1019.73</definedName>
    <definedName name="MOV.105.C.0.04.2001.00.00.13202">-9608.31</definedName>
    <definedName name="MOV.105.C.0.04.2001.00.00.311010001">2426650.55</definedName>
    <definedName name="MOV.105.C.0.04.2001.00.00.311010002">1066157.55</definedName>
    <definedName name="MOV.105.C.0.04.2001.00.00.311010003">288204.84</definedName>
    <definedName name="MOV.105.C.0.04.2001.00.00.311020001">18084.24</definedName>
    <definedName name="MOV.105.C.0.04.2001.00.00.311020002">15074.83</definedName>
    <definedName name="MOV.105.C.0.04.2001.00.00.311020003">15166.67</definedName>
    <definedName name="MOV.105.C.0.04.2001.00.00.32101">-327057.61</definedName>
    <definedName name="MOV.105.C.0.04.2001.00.00.32102">-1763.89</definedName>
    <definedName name="MOV.105.C.0.04.2001.00.00.331010001">-1093887.02</definedName>
    <definedName name="MOV.105.C.0.04.2001.00.00.331010002">-670868.65</definedName>
    <definedName name="MOV.105.C.0.04.2001.00.00.331010003">-29708.8</definedName>
    <definedName name="MOV.105.C.0.04.2001.00.00.331010004">0</definedName>
    <definedName name="MOV.105.C.0.04.2001.00.00.33102">-2057.94</definedName>
    <definedName name="MOV.105.C.0.04.2001.00.00.341">-767169.83</definedName>
    <definedName name="MOV.105.C.0.04.2001.00.00.342">-1002749.63</definedName>
    <definedName name="MOV.105.C.0.04.2001.00.00.343">-17399.58</definedName>
    <definedName name="MOV.105.C.0.04.2001.00.00.344">-289916.74</definedName>
    <definedName name="MOV.105.C.0.04.2001.00.00.345">-277712.03</definedName>
    <definedName name="MOV.105.C.0.04.2001.00.00.34501">-92383.63</definedName>
    <definedName name="MOV.105.C.0.04.2001.00.00.34502">-185328.4</definedName>
    <definedName name="MOV.105.C.0.04.2001.00.00.346">-258031.2</definedName>
    <definedName name="MOV.105.C.0.04.2001.00.00.346080063">-14734.54</definedName>
    <definedName name="MOV.105.C.0.04.2001.00.00.346080064">0</definedName>
    <definedName name="MOV.105.C.0.04.2001.00.00.347010058">-97858.29</definedName>
    <definedName name="MOV.105.C.0.04.2001.00.00.34702">-69856.16</definedName>
    <definedName name="MOV.105.C.0.04.2001.00.00.34703">0</definedName>
    <definedName name="MOV.105.C.0.04.2001.00.00.34704">-7200</definedName>
    <definedName name="MOV.105.C.0.04.2001.00.00.34705">294148</definedName>
    <definedName name="MOV.105.C.0.04.2001.00.00.347060001">-9608.31</definedName>
    <definedName name="MOV.105.C.0.04.2001.00.00.349">1715918.77</definedName>
    <definedName name="MOV.105.C.0.04.2001.00.00.351010001">49187.75</definedName>
    <definedName name="MOV.105.C.0.04.2001.00.00.351010002">0</definedName>
    <definedName name="MOV.105.C.0.04.2001.00.00.351010003">0</definedName>
    <definedName name="MOV.105.C.0.04.2001.00.00.351010004">-320.96</definedName>
    <definedName name="MOV.105.C.0.04.2001.00.00.351010005">-1481.35</definedName>
    <definedName name="MOV.105.C.0.04.2001.00.00.351010006">0</definedName>
    <definedName name="MOV.105.C.0.04.2001.00.00.351010007">0</definedName>
    <definedName name="MOV.105.C.0.04.2001.00.00.351010008">0</definedName>
    <definedName name="MOV.105.C.0.04.2001.00.00.352010001">-692168.83</definedName>
    <definedName name="MOV.105.C.0.04.2001.00.00.361010002">190.65</definedName>
    <definedName name="MOV.105.C.0.04.2001.00.00.361020001">-86838.01</definedName>
    <definedName name="MOV.105.C.0.04.2001.00.00.361020002">-2241.82</definedName>
    <definedName name="MOV.105.C.0.04.2001.00.00.361020003">0</definedName>
    <definedName name="MOV.105.C.0.04.2001.00.00.37102">18500</definedName>
    <definedName name="MOV.105.C.0.04.2001.00.00.371030001">0</definedName>
    <definedName name="MOV.105.C.0.04.2001.00.00.371030002">0</definedName>
    <definedName name="MOV.105.C.0.04.2001.00.00.381010001">-18090</definedName>
    <definedName name="MOV.105.C.0.04.2001.00.00.381020001">-50250</definedName>
    <definedName name="MOV.105.C.0.04.2001.00.00.391010001">0</definedName>
    <definedName name="MOV.105.C.0.04.2001.00.00.DBB180">132178.51</definedName>
    <definedName name="MOV.105.C.0.04.2001.00.00.DGAAPR17">-2051.17</definedName>
    <definedName name="MOV.105.C.0.04.2001.00.00.DGAAPR20">-868.69</definedName>
    <definedName name="MOV.105.C.0.04.2002.00.00.3">743506.74</definedName>
    <definedName name="MOV.105.C.0.04.2002.00.00.311010001">0</definedName>
    <definedName name="MOV.105.C.0.04.2002.00.00.311010002">0</definedName>
    <definedName name="MOV.105.C.0.04.2002.00.00.311010003">0</definedName>
    <definedName name="MOV.105.C.0.04.2002.00.00.311020001">0</definedName>
    <definedName name="MOV.105.C.0.04.2002.00.00.311020002">0</definedName>
    <definedName name="MOV.105.C.0.04.2002.00.00.311020003">0</definedName>
    <definedName name="MOV.105.C.0.04.2002.00.00.32101">0</definedName>
    <definedName name="MOV.105.C.0.04.2002.00.00.32102">0</definedName>
    <definedName name="MOV.105.C.0.04.2002.00.00.331010001">0</definedName>
    <definedName name="MOV.105.C.0.04.2002.00.00.331010002">0</definedName>
    <definedName name="MOV.105.C.0.04.2002.00.00.331010003">0</definedName>
    <definedName name="MOV.105.C.0.04.2002.00.00.331010004">0</definedName>
    <definedName name="MOV.105.C.0.04.2002.00.00.33102">0</definedName>
    <definedName name="MOV.105.C.0.04.2002.00.00.341">0</definedName>
    <definedName name="MOV.105.C.0.04.2002.00.00.342">0</definedName>
    <definedName name="MOV.105.C.0.04.2002.00.00.343">0</definedName>
    <definedName name="MOV.105.C.0.04.2002.00.00.344">0</definedName>
    <definedName name="MOV.105.C.0.04.2002.00.00.34501">0</definedName>
    <definedName name="MOV.105.C.0.04.2002.00.00.34502">0</definedName>
    <definedName name="MOV.105.C.0.04.2002.00.00.346">0</definedName>
    <definedName name="MOV.105.C.0.04.2002.00.00.346080063">0</definedName>
    <definedName name="MOV.105.C.0.04.2002.00.00.347010058">0</definedName>
    <definedName name="MOV.105.C.0.04.2002.00.00.34702">0</definedName>
    <definedName name="MOV.105.C.0.04.2002.00.00.34703">0</definedName>
    <definedName name="MOV.105.C.0.04.2002.00.00.34704">0</definedName>
    <definedName name="MOV.105.C.0.04.2002.00.00.34705">0</definedName>
    <definedName name="MOV.105.C.0.04.2002.00.00.349">0</definedName>
    <definedName name="MOV.105.C.0.04.2002.00.00.351010001">0</definedName>
    <definedName name="MOV.105.C.0.04.2002.00.00.351010002">0</definedName>
    <definedName name="MOV.105.C.0.04.2002.00.00.351010003">0</definedName>
    <definedName name="MOV.105.C.0.04.2002.00.00.351010004">0</definedName>
    <definedName name="MOV.105.C.0.04.2002.00.00.351010005">0</definedName>
    <definedName name="MOV.105.C.0.04.2002.00.00.351010006">0</definedName>
    <definedName name="MOV.105.C.0.04.2002.00.00.351010007">0</definedName>
    <definedName name="MOV.105.C.0.04.2002.00.00.351010008">0</definedName>
    <definedName name="MOV.105.C.0.04.2002.00.00.352010001">0</definedName>
    <definedName name="MOV.105.C.0.04.2002.00.00.361010002">0</definedName>
    <definedName name="MOV.105.C.0.04.2002.00.00.361020001">0</definedName>
    <definedName name="MOV.105.C.0.04.2002.00.00.361020002">0</definedName>
    <definedName name="MOV.105.C.0.04.2002.00.00.37102">0</definedName>
    <definedName name="MOV.105.C.0.04.2002.00.00.371030001">0</definedName>
    <definedName name="MOV.105.C.0.04.2002.00.00.371030002">0</definedName>
    <definedName name="MOV.105.C.0.04.2002.00.00.381010001">0</definedName>
    <definedName name="MOV.105.C.0.04.2002.00.00.381020001">0</definedName>
    <definedName name="MOV.105.C.0.04.2002.00.00.391010001">0</definedName>
    <definedName name="MOV.105.C.0.04.2002.00.00.DBB180">0</definedName>
    <definedName name="MOV.105.C.0.04.2002.00.00.DGAAPR20">0</definedName>
    <definedName name="MOV.105.C.0.05.2000.00.00.13202">-5590.93</definedName>
    <definedName name="MOV.105.C.0.05.2000.00.00.311010001">2160675.75</definedName>
    <definedName name="MOV.105.C.0.05.2000.00.00.311010002">1046244.75</definedName>
    <definedName name="MOV.105.C.0.05.2000.00.00.311010003">303348.09</definedName>
    <definedName name="MOV.105.C.0.05.2000.00.00.311020001">37757.95</definedName>
    <definedName name="MOV.105.C.0.05.2000.00.00.311020002">13719.6</definedName>
    <definedName name="MOV.105.C.0.05.2000.00.00.311020003">0</definedName>
    <definedName name="MOV.105.C.0.05.2000.00.00.32101">-303638.23</definedName>
    <definedName name="MOV.105.C.0.05.2000.00.00.32102">-1878.93</definedName>
    <definedName name="MOV.105.C.0.05.2000.00.00.331010001">-1157665.08</definedName>
    <definedName name="MOV.105.C.0.05.2000.00.00.331010002">-691367.04</definedName>
    <definedName name="MOV.105.C.0.05.2000.00.00.331010003">-29708.8</definedName>
    <definedName name="MOV.105.C.0.05.2000.00.00.331010004">0</definedName>
    <definedName name="MOV.105.C.0.05.2000.00.00.33102">-2057.94</definedName>
    <definedName name="MOV.105.C.0.05.2000.00.00.341">-831011.04</definedName>
    <definedName name="MOV.105.C.0.05.2000.00.00.342">-1485805.24</definedName>
    <definedName name="MOV.105.C.0.05.2000.00.00.343">-80097.44</definedName>
    <definedName name="MOV.105.C.0.05.2000.00.00.344">-128388.46</definedName>
    <definedName name="MOV.105.C.0.05.2000.00.00.345">-241421.97</definedName>
    <definedName name="MOV.105.C.0.05.2000.00.00.34501">-74911.97</definedName>
    <definedName name="MOV.105.C.0.05.2000.00.00.34502">-166510</definedName>
    <definedName name="MOV.105.C.0.05.2000.00.00.346">-343709.78</definedName>
    <definedName name="MOV.105.C.0.05.2000.00.00.346080063">-22995.53</definedName>
    <definedName name="MOV.105.C.0.05.2000.00.00.346080064">0</definedName>
    <definedName name="MOV.105.C.0.05.2000.00.00.347010058">-97858.29</definedName>
    <definedName name="MOV.105.C.0.05.2000.00.00.34702">-64138.41</definedName>
    <definedName name="MOV.105.C.0.05.2000.00.00.34703">0</definedName>
    <definedName name="MOV.105.C.0.05.2000.00.00.34704">-9400</definedName>
    <definedName name="MOV.105.C.0.05.2000.00.00.34705">0</definedName>
    <definedName name="MOV.105.C.0.05.2000.00.00.347060001">0</definedName>
    <definedName name="MOV.105.C.0.05.2000.00.00.349">2111414.61</definedName>
    <definedName name="MOV.105.C.0.05.2000.00.00.351010001">10557.72</definedName>
    <definedName name="MOV.105.C.0.05.2000.00.00.351010002">0</definedName>
    <definedName name="MOV.105.C.0.05.2000.00.00.351010003">0</definedName>
    <definedName name="MOV.105.C.0.05.2000.00.00.351010004">-69.16</definedName>
    <definedName name="MOV.105.C.0.05.2000.00.00.351010005">-319.21</definedName>
    <definedName name="MOV.105.C.0.05.2000.00.00.351010006">0</definedName>
    <definedName name="MOV.105.C.0.05.2000.00.00.351010007">0</definedName>
    <definedName name="MOV.105.C.0.05.2000.00.00.351010008">0</definedName>
    <definedName name="MOV.105.C.0.05.2000.00.00.352010001">-526509.21</definedName>
    <definedName name="MOV.105.C.0.05.2000.00.00.361010002">82.48</definedName>
    <definedName name="MOV.105.C.0.05.2000.00.00.361020001">-99352.41</definedName>
    <definedName name="MOV.105.C.0.05.2000.00.00.361020002">-62472.53</definedName>
    <definedName name="MOV.105.C.0.05.2000.00.00.361020003">0</definedName>
    <definedName name="MOV.105.C.0.05.2000.00.00.37102">0</definedName>
    <definedName name="MOV.105.C.0.05.2000.00.00.371030001">0</definedName>
    <definedName name="MOV.105.C.0.05.2000.00.00.371030002">0</definedName>
    <definedName name="MOV.105.C.0.05.2000.00.00.381010001">98963.26</definedName>
    <definedName name="MOV.105.C.0.05.2000.00.00.381020001">274897.92</definedName>
    <definedName name="MOV.105.C.0.05.2000.00.00.391010001">-649355.93</definedName>
    <definedName name="MOV.105.C.0.05.2000.00.00.DBB180">-749333.85</definedName>
    <definedName name="MOV.105.C.0.05.2000.00.00.DGAAPR17">-62390.05</definedName>
    <definedName name="MOV.105.C.0.05.2000.00.00.DGAAPR20">-770.88</definedName>
    <definedName name="MOV.105.C.0.05.2001.00.00.13202">-9953.73</definedName>
    <definedName name="MOV.105.C.0.05.2001.00.00.311010001">2412474.25</definedName>
    <definedName name="MOV.105.C.0.05.2001.00.00.311010002">1157813.9</definedName>
    <definedName name="MOV.105.C.0.05.2001.00.00.311010003">284146.87</definedName>
    <definedName name="MOV.105.C.0.05.2001.00.00.311020001">14484.24</definedName>
    <definedName name="MOV.105.C.0.05.2001.00.00.311020002">15074.83</definedName>
    <definedName name="MOV.105.C.0.05.2001.00.00.311020003">15166.67</definedName>
    <definedName name="MOV.105.C.0.05.2001.00.00.32101">-333408.63</definedName>
    <definedName name="MOV.105.C.0.05.2001.00.00.32102">-1632.49</definedName>
    <definedName name="MOV.105.C.0.05.2001.00.00.331010001">-1170649.61</definedName>
    <definedName name="MOV.105.C.0.05.2001.00.00.331010002">-670808.63</definedName>
    <definedName name="MOV.105.C.0.05.2001.00.00.331010003">-29708.8</definedName>
    <definedName name="MOV.105.C.0.05.2001.00.00.331010004">0</definedName>
    <definedName name="MOV.105.C.0.05.2001.00.00.33102">-2057.94</definedName>
    <definedName name="MOV.105.C.0.05.2001.00.00.341">-904808.51</definedName>
    <definedName name="MOV.105.C.0.05.2001.00.00.342">-1181353.64</definedName>
    <definedName name="MOV.105.C.0.05.2001.00.00.343">-32885.56</definedName>
    <definedName name="MOV.105.C.0.05.2001.00.00.344">-146726.57</definedName>
    <definedName name="MOV.105.C.0.05.2001.00.00.345">-283967.74</definedName>
    <definedName name="MOV.105.C.0.05.2001.00.00.34501">-98639.34</definedName>
    <definedName name="MOV.105.C.0.05.2001.00.00.34502">-185328.4</definedName>
    <definedName name="MOV.105.C.0.05.2001.00.00.346">-313239.92</definedName>
    <definedName name="MOV.105.C.0.05.2001.00.00.346080063">-26801.04</definedName>
    <definedName name="MOV.105.C.0.05.2001.00.00.346080064">0</definedName>
    <definedName name="MOV.105.C.0.05.2001.00.00.347010058">-97858.29</definedName>
    <definedName name="MOV.105.C.0.05.2001.00.00.34702">-71405.76</definedName>
    <definedName name="MOV.105.C.0.05.2001.00.00.34703">0</definedName>
    <definedName name="MOV.105.C.0.05.2001.00.00.34704">-7200</definedName>
    <definedName name="MOV.105.C.0.05.2001.00.00.34705">294148</definedName>
    <definedName name="MOV.105.C.0.05.2001.00.00.347060001">-9953.73</definedName>
    <definedName name="MOV.105.C.0.05.2001.00.00.349">1795842.27</definedName>
    <definedName name="MOV.105.C.0.05.2001.00.00.351010001">40115.09</definedName>
    <definedName name="MOV.105.C.0.05.2001.00.00.351010002">0</definedName>
    <definedName name="MOV.105.C.0.05.2001.00.00.351010003">0</definedName>
    <definedName name="MOV.105.C.0.05.2001.00.00.351010004">-270.52</definedName>
    <definedName name="MOV.105.C.0.05.2001.00.00.351010005">-1248.62</definedName>
    <definedName name="MOV.105.C.0.05.2001.00.00.351010006">0</definedName>
    <definedName name="MOV.105.C.0.05.2001.00.00.351010007">0</definedName>
    <definedName name="MOV.105.C.0.05.2001.00.00.351010008">0</definedName>
    <definedName name="MOV.105.C.0.05.2001.00.00.352010001">-610235.4</definedName>
    <definedName name="MOV.105.C.0.05.2001.00.00.361010002">1505.55</definedName>
    <definedName name="MOV.105.C.0.05.2001.00.00.361020001">-93901.82</definedName>
    <definedName name="MOV.105.C.0.05.2001.00.00.361020002">-17894.19</definedName>
    <definedName name="MOV.105.C.0.05.2001.00.00.361020003">0</definedName>
    <definedName name="MOV.105.C.0.05.2001.00.00.37102">0</definedName>
    <definedName name="MOV.105.C.0.05.2001.00.00.371030001">0</definedName>
    <definedName name="MOV.105.C.0.05.2001.00.00.371030002">0</definedName>
    <definedName name="MOV.105.C.0.05.2001.00.00.381010001">76112.04</definedName>
    <definedName name="MOV.105.C.0.05.2001.00.00.381020001">211428.75</definedName>
    <definedName name="MOV.105.C.0.05.2001.00.00.391010001">-893916.24</definedName>
    <definedName name="MOV.105.C.0.05.2001.00.00.DBB180">-557685.92</definedName>
    <definedName name="MOV.105.C.0.05.2001.00.00.DGAAPR17">-16388.64</definedName>
    <definedName name="MOV.105.C.0.05.2001.00.00.DGAAPR20">-865.77</definedName>
    <definedName name="MOV.105.C.0.05.2002.00.00.3">-15488.24</definedName>
    <definedName name="MOV.105.C.0.05.2002.00.00.311010001">0</definedName>
    <definedName name="MOV.105.C.0.05.2002.00.00.311010002">0</definedName>
    <definedName name="MOV.105.C.0.05.2002.00.00.311010003">0</definedName>
    <definedName name="MOV.105.C.0.05.2002.00.00.311020001">0</definedName>
    <definedName name="MOV.105.C.0.05.2002.00.00.311020002">0</definedName>
    <definedName name="MOV.105.C.0.05.2002.00.00.311020003">0</definedName>
    <definedName name="MOV.105.C.0.05.2002.00.00.32101">0</definedName>
    <definedName name="MOV.105.C.0.05.2002.00.00.32102">0</definedName>
    <definedName name="MOV.105.C.0.05.2002.00.00.331010001">0</definedName>
    <definedName name="MOV.105.C.0.05.2002.00.00.331010002">0</definedName>
    <definedName name="MOV.105.C.0.05.2002.00.00.331010003">0</definedName>
    <definedName name="MOV.105.C.0.05.2002.00.00.331010004">0</definedName>
    <definedName name="MOV.105.C.0.05.2002.00.00.33102">0</definedName>
    <definedName name="MOV.105.C.0.05.2002.00.00.341">0</definedName>
    <definedName name="MOV.105.C.0.05.2002.00.00.342">0</definedName>
    <definedName name="MOV.105.C.0.05.2002.00.00.343">0</definedName>
    <definedName name="MOV.105.C.0.05.2002.00.00.344">0</definedName>
    <definedName name="MOV.105.C.0.05.2002.00.00.34501">0</definedName>
    <definedName name="MOV.105.C.0.05.2002.00.00.34502">0</definedName>
    <definedName name="MOV.105.C.0.05.2002.00.00.346">0</definedName>
    <definedName name="MOV.105.C.0.05.2002.00.00.346080063">0</definedName>
    <definedName name="MOV.105.C.0.05.2002.00.00.347010058">0</definedName>
    <definedName name="MOV.105.C.0.05.2002.00.00.34702">0</definedName>
    <definedName name="MOV.105.C.0.05.2002.00.00.34703">0</definedName>
    <definedName name="MOV.105.C.0.05.2002.00.00.34704">0</definedName>
    <definedName name="MOV.105.C.0.05.2002.00.00.34705">0</definedName>
    <definedName name="MOV.105.C.0.05.2002.00.00.349">0</definedName>
    <definedName name="MOV.105.C.0.05.2002.00.00.351010001">0</definedName>
    <definedName name="MOV.105.C.0.05.2002.00.00.351010002">0</definedName>
    <definedName name="MOV.105.C.0.05.2002.00.00.351010003">0</definedName>
    <definedName name="MOV.105.C.0.05.2002.00.00.351010004">0</definedName>
    <definedName name="MOV.105.C.0.05.2002.00.00.351010005">0</definedName>
    <definedName name="MOV.105.C.0.05.2002.00.00.351010006">0</definedName>
    <definedName name="MOV.105.C.0.05.2002.00.00.351010007">0</definedName>
    <definedName name="MOV.105.C.0.05.2002.00.00.351010008">0</definedName>
    <definedName name="MOV.105.C.0.05.2002.00.00.352010001">0</definedName>
    <definedName name="MOV.105.C.0.05.2002.00.00.361010002">0</definedName>
    <definedName name="MOV.105.C.0.05.2002.00.00.361020001">0</definedName>
    <definedName name="MOV.105.C.0.05.2002.00.00.361020002">0</definedName>
    <definedName name="MOV.105.C.0.05.2002.00.00.37102">0</definedName>
    <definedName name="MOV.105.C.0.05.2002.00.00.371030001">0</definedName>
    <definedName name="MOV.105.C.0.05.2002.00.00.371030002">0</definedName>
    <definedName name="MOV.105.C.0.05.2002.00.00.381010001">0</definedName>
    <definedName name="MOV.105.C.0.05.2002.00.00.381020001">0</definedName>
    <definedName name="MOV.105.C.0.05.2002.00.00.391010001">0</definedName>
    <definedName name="MOV.105.C.0.05.2002.00.00.DBB180">0</definedName>
    <definedName name="MOV.105.C.0.05.2002.00.00.DGAAPR20">0</definedName>
    <definedName name="MOV.105.C.0.06.2000.00.00.13202">-2634.54</definedName>
    <definedName name="MOV.105.C.0.06.2000.00.00.311010001">2253537</definedName>
    <definedName name="MOV.105.C.0.06.2000.00.00.311010002">1005290.4</definedName>
    <definedName name="MOV.105.C.0.06.2000.00.00.311010003">262716.79</definedName>
    <definedName name="MOV.105.C.0.06.2000.00.00.311020001">14308.05</definedName>
    <definedName name="MOV.105.C.0.06.2000.00.00.311020002">13719.6</definedName>
    <definedName name="MOV.105.C.0.06.2000.00.00.311020003">1450000</definedName>
    <definedName name="MOV.105.C.0.06.2000.00.00.32101">-304613.58</definedName>
    <definedName name="MOV.105.C.0.06.2000.00.00.32102">-53948.01</definedName>
    <definedName name="MOV.105.C.0.06.2000.00.00.331010001">-885257.65</definedName>
    <definedName name="MOV.105.C.0.06.2000.00.00.331010002">-707531.14</definedName>
    <definedName name="MOV.105.C.0.06.2000.00.00.331010003">-29708.8</definedName>
    <definedName name="MOV.105.C.0.06.2000.00.00.331010004">0</definedName>
    <definedName name="MOV.105.C.0.06.2000.00.00.33102">-2057.94</definedName>
    <definedName name="MOV.105.C.0.06.2000.00.00.341">-740376.16</definedName>
    <definedName name="MOV.105.C.0.06.2000.00.00.342">-1438376.54</definedName>
    <definedName name="MOV.105.C.0.06.2000.00.00.343">-24077.44</definedName>
    <definedName name="MOV.105.C.0.06.2000.00.00.344">-131673.78</definedName>
    <definedName name="MOV.105.C.0.06.2000.00.00.345">-247725.19</definedName>
    <definedName name="MOV.105.C.0.06.2000.00.00.34501">-81215.19</definedName>
    <definedName name="MOV.105.C.0.06.2000.00.00.34502">-166510</definedName>
    <definedName name="MOV.105.C.0.06.2000.00.00.346">-260226.15</definedName>
    <definedName name="MOV.105.C.0.06.2000.00.00.346080063">-16948.25</definedName>
    <definedName name="MOV.105.C.0.06.2000.00.00.346080064">0</definedName>
    <definedName name="MOV.105.C.0.06.2000.00.00.347010058">-97858.29</definedName>
    <definedName name="MOV.105.C.0.06.2000.00.00.34702">-65176.55</definedName>
    <definedName name="MOV.105.C.0.06.2000.00.00.34703">0</definedName>
    <definedName name="MOV.105.C.0.06.2000.00.00.34704">-7200</definedName>
    <definedName name="MOV.105.C.0.06.2000.00.00.34705">0</definedName>
    <definedName name="MOV.105.C.0.06.2000.00.00.347060001">0</definedName>
    <definedName name="MOV.105.C.0.06.2000.00.00.349">1944307.81</definedName>
    <definedName name="MOV.105.C.0.06.2000.00.00.351010001">21247.92</definedName>
    <definedName name="MOV.105.C.0.06.2000.00.00.351010002">0</definedName>
    <definedName name="MOV.105.C.0.06.2000.00.00.351010003">0</definedName>
    <definedName name="MOV.105.C.0.06.2000.00.00.351010004">-138.11</definedName>
    <definedName name="MOV.105.C.0.06.2000.00.00.351010005">-637.43</definedName>
    <definedName name="MOV.105.C.0.06.2000.00.00.351010006">0</definedName>
    <definedName name="MOV.105.C.0.06.2000.00.00.351010007">0</definedName>
    <definedName name="MOV.105.C.0.06.2000.00.00.351010008">0</definedName>
    <definedName name="MOV.105.C.0.06.2000.00.00.352010001">-494080.69</definedName>
    <definedName name="MOV.105.C.0.06.2000.00.00.361010002">-110.24</definedName>
    <definedName name="MOV.105.C.0.06.2000.00.00.361020001">-100923.83</definedName>
    <definedName name="MOV.105.C.0.06.2000.00.00.361020002">56096.93</definedName>
    <definedName name="MOV.105.C.0.06.2000.00.00.361020003">0</definedName>
    <definedName name="MOV.105.C.0.06.2000.00.00.37102">0</definedName>
    <definedName name="MOV.105.C.0.06.2000.00.00.371030001">0</definedName>
    <definedName name="MOV.105.C.0.06.2000.00.00.371030002">0</definedName>
    <definedName name="MOV.105.C.0.06.2000.00.00.381010001">-103424.42</definedName>
    <definedName name="MOV.105.C.0.06.2000.00.00.381020001">-287298.72</definedName>
    <definedName name="MOV.105.C.0.06.2000.00.00.391010001">-8788.79</definedName>
    <definedName name="MOV.105.C.0.06.2000.00.00.DBB180">1029132.99</definedName>
    <definedName name="MOV.105.C.0.06.2000.00.00.DGAAPR17">55986.69</definedName>
    <definedName name="MOV.105.C.0.06.2000.00.00.DGAAPR20">-882.06</definedName>
    <definedName name="MOV.105.C.0.06.2001.00.00.13202">-10431.49</definedName>
    <definedName name="MOV.105.C.0.06.2001.00.00.132020003">0</definedName>
    <definedName name="MOV.105.C.0.06.2001.00.00.311010001">2447782.4</definedName>
    <definedName name="MOV.105.C.0.06.2001.00.00.311010002">1078745.2</definedName>
    <definedName name="MOV.105.C.0.06.2001.00.00.311010003">286490.7</definedName>
    <definedName name="MOV.105.C.0.06.2001.00.00.311020001">17222.98</definedName>
    <definedName name="MOV.105.C.0.06.2001.00.00.311020002">15074.83</definedName>
    <definedName name="MOV.105.C.0.06.2001.00.00.311020003">15166.65</definedName>
    <definedName name="MOV.105.C.0.06.2001.00.00.32101">-319798.9</definedName>
    <definedName name="MOV.105.C.0.06.2001.00.00.32102">-1732.45</definedName>
    <definedName name="MOV.105.C.0.06.2001.00.00.331010001">-1242980.3</definedName>
    <definedName name="MOV.105.C.0.06.2001.00.00.331010002">-677024.33</definedName>
    <definedName name="MOV.105.C.0.06.2001.00.00.331010003">-29708.8</definedName>
    <definedName name="MOV.105.C.0.06.2001.00.00.331010004">0</definedName>
    <definedName name="MOV.105.C.0.06.2001.00.00.33102">-4115.88</definedName>
    <definedName name="MOV.105.C.0.06.2001.00.00.341">-770979.73</definedName>
    <definedName name="MOV.105.C.0.06.2001.00.00.342">-1338350.23</definedName>
    <definedName name="MOV.105.C.0.06.2001.00.00.343">-24833.22</definedName>
    <definedName name="MOV.105.C.0.06.2001.00.00.344">-393767.87</definedName>
    <definedName name="MOV.105.C.0.06.2001.00.00.345">-260265.78</definedName>
    <definedName name="MOV.105.C.0.06.2001.00.00.34501">-74937.38</definedName>
    <definedName name="MOV.105.C.0.06.2001.00.00.34502">-185328.4</definedName>
    <definedName name="MOV.105.C.0.06.2001.00.00.346">-329556.07</definedName>
    <definedName name="MOV.105.C.0.06.2001.00.00.346080063">-29188.46</definedName>
    <definedName name="MOV.105.C.0.06.2001.00.00.346080064">0</definedName>
    <definedName name="MOV.105.C.0.06.2001.00.00.347010058">-97858.29</definedName>
    <definedName name="MOV.105.C.0.06.2001.00.00.34702">-70530.55</definedName>
    <definedName name="MOV.105.C.0.06.2001.00.00.34703">0</definedName>
    <definedName name="MOV.105.C.0.06.2001.00.00.34704">-7200</definedName>
    <definedName name="MOV.105.C.0.06.2001.00.00.34705">205903.6</definedName>
    <definedName name="MOV.105.C.0.06.2001.00.00.347060001">-10431.49</definedName>
    <definedName name="MOV.105.C.0.06.2001.00.00.349">2129006.03</definedName>
    <definedName name="MOV.105.C.0.06.2001.00.00.351010001">60553.21</definedName>
    <definedName name="MOV.105.C.0.06.2001.00.00.351010002">0</definedName>
    <definedName name="MOV.105.C.0.06.2001.00.00.351010003">0</definedName>
    <definedName name="MOV.105.C.0.06.2001.00.00.351010004">-393.6</definedName>
    <definedName name="MOV.105.C.0.06.2001.00.00.351010005">-1816.6</definedName>
    <definedName name="MOV.105.C.0.06.2001.00.00.351010006">0</definedName>
    <definedName name="MOV.105.C.0.06.2001.00.00.351010007">0</definedName>
    <definedName name="MOV.105.C.0.06.2001.00.00.351010008">0</definedName>
    <definedName name="MOV.105.C.0.06.2001.00.00.352010001">-621041.26</definedName>
    <definedName name="MOV.105.C.0.06.2001.00.00.361010002">-471.07</definedName>
    <definedName name="MOV.105.C.0.06.2001.00.00.361020001">-92718.72</definedName>
    <definedName name="MOV.105.C.0.06.2001.00.00.361020002">5633.22</definedName>
    <definedName name="MOV.105.C.0.06.2001.00.00.361020003">0</definedName>
    <definedName name="MOV.105.C.0.06.2001.00.00.37102">20000</definedName>
    <definedName name="MOV.105.C.0.06.2001.00.00.371030001">0</definedName>
    <definedName name="MOV.105.C.0.06.2001.00.00.371030002">0</definedName>
    <definedName name="MOV.105.C.0.06.2001.00.00.381010001">1322.2</definedName>
    <definedName name="MOV.105.C.0.06.2001.00.00.381020001">3672.78</definedName>
    <definedName name="MOV.105.C.0.06.2001.00.00.391010001">0</definedName>
    <definedName name="MOV.105.C.0.06.2001.00.00.DBB180">-9696.14</definedName>
    <definedName name="MOV.105.C.0.06.2001.00.00.DGAAPR17">5162.15</definedName>
    <definedName name="MOV.105.C.0.06.2001.00.00.DGAAPR20">-694.8</definedName>
    <definedName name="MOV.105.C.0.06.2002.00.00.3">355634.88</definedName>
    <definedName name="MOV.105.C.0.06.2002.00.00.311010001">0</definedName>
    <definedName name="MOV.105.C.0.06.2002.00.00.311010002">0</definedName>
    <definedName name="MOV.105.C.0.06.2002.00.00.311010003">0</definedName>
    <definedName name="MOV.105.C.0.06.2002.00.00.311020001">0</definedName>
    <definedName name="MOV.105.C.0.06.2002.00.00.311020002">0</definedName>
    <definedName name="MOV.105.C.0.06.2002.00.00.311020003">0</definedName>
    <definedName name="MOV.105.C.0.06.2002.00.00.32101">0</definedName>
    <definedName name="MOV.105.C.0.06.2002.00.00.32102">0</definedName>
    <definedName name="MOV.105.C.0.06.2002.00.00.331010001">0</definedName>
    <definedName name="MOV.105.C.0.06.2002.00.00.331010002">0</definedName>
    <definedName name="MOV.105.C.0.06.2002.00.00.331010003">0</definedName>
    <definedName name="MOV.105.C.0.06.2002.00.00.331010004">0</definedName>
    <definedName name="MOV.105.C.0.06.2002.00.00.33102">0</definedName>
    <definedName name="MOV.105.C.0.06.2002.00.00.341">0</definedName>
    <definedName name="MOV.105.C.0.06.2002.00.00.342">0</definedName>
    <definedName name="MOV.105.C.0.06.2002.00.00.343">0</definedName>
    <definedName name="MOV.105.C.0.06.2002.00.00.344">0</definedName>
    <definedName name="MOV.105.C.0.06.2002.00.00.34501">0</definedName>
    <definedName name="MOV.105.C.0.06.2002.00.00.34502">0</definedName>
    <definedName name="MOV.105.C.0.06.2002.00.00.346">0</definedName>
    <definedName name="MOV.105.C.0.06.2002.00.00.346080063">0</definedName>
    <definedName name="MOV.105.C.0.06.2002.00.00.347010058">0</definedName>
    <definedName name="MOV.105.C.0.06.2002.00.00.34702">0</definedName>
    <definedName name="MOV.105.C.0.06.2002.00.00.34703">0</definedName>
    <definedName name="MOV.105.C.0.06.2002.00.00.34704">0</definedName>
    <definedName name="MOV.105.C.0.06.2002.00.00.34705">0</definedName>
    <definedName name="MOV.105.C.0.06.2002.00.00.349">0</definedName>
    <definedName name="MOV.105.C.0.06.2002.00.00.351010001">0</definedName>
    <definedName name="MOV.105.C.0.06.2002.00.00.351010002">0</definedName>
    <definedName name="MOV.105.C.0.06.2002.00.00.351010003">0</definedName>
    <definedName name="MOV.105.C.0.06.2002.00.00.351010004">0</definedName>
    <definedName name="MOV.105.C.0.06.2002.00.00.351010005">0</definedName>
    <definedName name="MOV.105.C.0.06.2002.00.00.351010006">0</definedName>
    <definedName name="MOV.105.C.0.06.2002.00.00.351010007">0</definedName>
    <definedName name="MOV.105.C.0.06.2002.00.00.351010008">0</definedName>
    <definedName name="MOV.105.C.0.06.2002.00.00.352010001">0</definedName>
    <definedName name="MOV.105.C.0.06.2002.00.00.361010002">0</definedName>
    <definedName name="MOV.105.C.0.06.2002.00.00.361020001">0</definedName>
    <definedName name="MOV.105.C.0.06.2002.00.00.361020002">0</definedName>
    <definedName name="MOV.105.C.0.06.2002.00.00.37102">0</definedName>
    <definedName name="MOV.105.C.0.06.2002.00.00.371030001">0</definedName>
    <definedName name="MOV.105.C.0.06.2002.00.00.371030002">0</definedName>
    <definedName name="MOV.105.C.0.06.2002.00.00.381010001">0</definedName>
    <definedName name="MOV.105.C.0.06.2002.00.00.381020001">0</definedName>
    <definedName name="MOV.105.C.0.06.2002.00.00.391010001">0</definedName>
    <definedName name="MOV.105.C.0.06.2002.00.00.DBB180">0</definedName>
    <definedName name="MOV.105.C.0.06.2002.00.00.DGAAPR20">0</definedName>
    <definedName name="MOV.105.C.0.07.2000.00.00.13202">-5841.54</definedName>
    <definedName name="MOV.105.C.0.07.2000.00.00.311010001">2371582.5</definedName>
    <definedName name="MOV.105.C.0.07.2000.00.00.311010002">1015328.25</definedName>
    <definedName name="MOV.105.C.0.07.2000.00.00.311010003">256168.23</definedName>
    <definedName name="MOV.105.C.0.07.2000.00.00.311020001">13434.24</definedName>
    <definedName name="MOV.105.C.0.07.2000.00.00.311020002">13719.6</definedName>
    <definedName name="MOV.105.C.0.07.2000.00.00.311020003">300000</definedName>
    <definedName name="MOV.105.C.0.07.2000.00.00.32101">-315126.32</definedName>
    <definedName name="MOV.105.C.0.07.2000.00.00.32102">-11941.12</definedName>
    <definedName name="MOV.105.C.0.07.2000.00.00.331010001">-948086.01</definedName>
    <definedName name="MOV.105.C.0.07.2000.00.00.331010002">-693007.6</definedName>
    <definedName name="MOV.105.C.0.07.2000.00.00.331010003">-29708.8</definedName>
    <definedName name="MOV.105.C.0.07.2000.00.00.331010004">0</definedName>
    <definedName name="MOV.105.C.0.07.2000.00.00.33102">-2057.94</definedName>
    <definedName name="MOV.105.C.0.07.2000.00.00.341">-767522.78</definedName>
    <definedName name="MOV.105.C.0.07.2000.00.00.342">-1114625.71</definedName>
    <definedName name="MOV.105.C.0.07.2000.00.00.343">-46812.66</definedName>
    <definedName name="MOV.105.C.0.07.2000.00.00.344">-103037.31</definedName>
    <definedName name="MOV.105.C.0.07.2000.00.00.345">-285649.43</definedName>
    <definedName name="MOV.105.C.0.07.2000.00.00.34501">-119139.43</definedName>
    <definedName name="MOV.105.C.0.07.2000.00.00.34502">-166510</definedName>
    <definedName name="MOV.105.C.0.07.2000.00.00.346">-235912.03</definedName>
    <definedName name="MOV.105.C.0.07.2000.00.00.346080063">-15257.76</definedName>
    <definedName name="MOV.105.C.0.07.2000.00.00.346080064">0</definedName>
    <definedName name="MOV.105.C.0.07.2000.00.00.347010058">-97858.29</definedName>
    <definedName name="MOV.105.C.0.07.2000.00.00.34702">-67783.22</definedName>
    <definedName name="MOV.105.C.0.07.2000.00.00.34703">0</definedName>
    <definedName name="MOV.105.C.0.07.2000.00.00.34704">-7200</definedName>
    <definedName name="MOV.105.C.0.07.2000.00.00.34705">0</definedName>
    <definedName name="MOV.105.C.0.07.2000.00.00.347060001">0</definedName>
    <definedName name="MOV.105.C.0.07.2000.00.00.349">1629567.68</definedName>
    <definedName name="MOV.105.C.0.07.2000.00.00.351010001">9207.39</definedName>
    <definedName name="MOV.105.C.0.07.2000.00.00.351010002">0</definedName>
    <definedName name="MOV.105.C.0.07.2000.00.00.351010003">0</definedName>
    <definedName name="MOV.105.C.0.07.2000.00.00.351010004">-59.85</definedName>
    <definedName name="MOV.105.C.0.07.2000.00.00.351010005">-276.22</definedName>
    <definedName name="MOV.105.C.0.07.2000.00.00.351010006">0</definedName>
    <definedName name="MOV.105.C.0.07.2000.00.00.351010007">0</definedName>
    <definedName name="MOV.105.C.0.07.2000.00.00.351010008">0</definedName>
    <definedName name="MOV.105.C.0.07.2000.00.00.352010001">-501497.36</definedName>
    <definedName name="MOV.105.C.0.07.2000.00.00.361010002">-104.45</definedName>
    <definedName name="MOV.105.C.0.07.2000.00.00.361020001">-88961.51</definedName>
    <definedName name="MOV.105.C.0.07.2000.00.00.361020002">62701.86</definedName>
    <definedName name="MOV.105.C.0.07.2000.00.00.361020003">0</definedName>
    <definedName name="MOV.105.C.0.07.2000.00.00.37102">0</definedName>
    <definedName name="MOV.105.C.0.07.2000.00.00.371030001">0</definedName>
    <definedName name="MOV.105.C.0.07.2000.00.00.371030002">0</definedName>
    <definedName name="MOV.105.C.0.07.2000.00.00.381010001">-31786.14</definedName>
    <definedName name="MOV.105.C.0.07.2000.00.00.381020001">-88294.81</definedName>
    <definedName name="MOV.105.C.0.07.2000.00.00.391010001">-772.56</definedName>
    <definedName name="MOV.105.C.0.07.2000.00.00.DBB180">233098.3</definedName>
    <definedName name="MOV.105.C.0.07.2000.00.00.DGAAPR17">62597.41</definedName>
    <definedName name="MOV.105.C.0.07.2000.00.00.DGAAPR20">-529.33</definedName>
    <definedName name="MOV.105.C.0.07.2001.00.00.13202">-11866.89</definedName>
    <definedName name="MOV.105.C.0.07.2001.00.00.311010001">2563948.5</definedName>
    <definedName name="MOV.105.C.0.07.2001.00.00.311010002">1120651.05</definedName>
    <definedName name="MOV.105.C.0.07.2001.00.00.311010003">285865.88</definedName>
    <definedName name="MOV.105.C.0.07.2001.00.00.311020001">15480.05</definedName>
    <definedName name="MOV.105.C.0.07.2001.00.00.311020002">15074.83</definedName>
    <definedName name="MOV.105.C.0.07.2001.00.00.311020003">15445.9</definedName>
    <definedName name="MOV.105.C.0.07.2001.00.00.32101">-329151.95</definedName>
    <definedName name="MOV.105.C.0.07.2001.00.00.32102">-1875.21</definedName>
    <definedName name="MOV.105.C.0.07.2001.00.00.331010001">-1114403.61</definedName>
    <definedName name="MOV.105.C.0.07.2001.00.00.331010002">-681820.8</definedName>
    <definedName name="MOV.105.C.0.07.2001.00.00.331010003">-29708.8</definedName>
    <definedName name="MOV.105.C.0.07.2001.00.00.331010004">0</definedName>
    <definedName name="MOV.105.C.0.07.2001.00.00.33102">-2057.94</definedName>
    <definedName name="MOV.105.C.0.07.2001.00.00.341">-774628.12</definedName>
    <definedName name="MOV.105.C.0.07.2001.00.00.342">-1392719.82</definedName>
    <definedName name="MOV.105.C.0.07.2001.00.00.343">-54683.29</definedName>
    <definedName name="MOV.105.C.0.07.2001.00.00.344">-227055.63</definedName>
    <definedName name="MOV.105.C.0.07.2001.00.00.345">-280054.04</definedName>
    <definedName name="MOV.105.C.0.07.2001.00.00.34501">-94725.64</definedName>
    <definedName name="MOV.105.C.0.07.2001.00.00.34502">-185328.4</definedName>
    <definedName name="MOV.105.C.0.07.2001.00.00.346">-261089.96</definedName>
    <definedName name="MOV.105.C.0.07.2001.00.00.346080063">-17169.34</definedName>
    <definedName name="MOV.105.C.0.07.2001.00.00.346080064">0</definedName>
    <definedName name="MOV.105.C.0.07.2001.00.00.347010058">-97858.29</definedName>
    <definedName name="MOV.105.C.0.07.2001.00.00.34702">-73691.99</definedName>
    <definedName name="MOV.105.C.0.07.2001.00.00.34703">0</definedName>
    <definedName name="MOV.105.C.0.07.2001.00.00.34704">-7200</definedName>
    <definedName name="MOV.105.C.0.07.2001.00.00.34705">205903.6</definedName>
    <definedName name="MOV.105.C.0.07.2001.00.00.347060001">-11866.89</definedName>
    <definedName name="MOV.105.C.0.07.2001.00.00.349">1915231.88</definedName>
    <definedName name="MOV.105.C.0.07.2001.00.00.351010001">-391496.48</definedName>
    <definedName name="MOV.105.C.0.07.2001.00.00.351010002">0</definedName>
    <definedName name="MOV.105.C.0.07.2001.00.00.351010003">0</definedName>
    <definedName name="MOV.105.C.0.07.2001.00.00.351010004">-738.35</definedName>
    <definedName name="MOV.105.C.0.07.2001.00.00.351010005">-3407.73</definedName>
    <definedName name="MOV.105.C.0.07.2001.00.00.351010006">416398.07</definedName>
    <definedName name="MOV.105.C.0.07.2001.00.00.351010007">101791.6</definedName>
    <definedName name="MOV.105.C.0.07.2001.00.00.351010008">0</definedName>
    <definedName name="MOV.105.C.0.07.2001.00.00.352010001">-668427.84</definedName>
    <definedName name="MOV.105.C.0.07.2001.00.00.361010002">1080.65</definedName>
    <definedName name="MOV.105.C.0.07.2001.00.00.361020001">-102320.58</definedName>
    <definedName name="MOV.105.C.0.07.2001.00.00.361020002">-12942.83</definedName>
    <definedName name="MOV.105.C.0.07.2001.00.00.361020003">0</definedName>
    <definedName name="MOV.105.C.0.07.2001.00.00.37102">-23984</definedName>
    <definedName name="MOV.105.C.0.07.2001.00.00.371030001">0</definedName>
    <definedName name="MOV.105.C.0.07.2001.00.00.371030002">0</definedName>
    <definedName name="MOV.105.C.0.07.2001.00.00.381010001">-10044.66</definedName>
    <definedName name="MOV.105.C.0.07.2001.00.00.381020001">-27901.86</definedName>
    <definedName name="MOV.105.C.0.07.2001.00.00.391010001">0</definedName>
    <definedName name="MOV.105.C.0.07.2001.00.00.DBB180">73660.89</definedName>
    <definedName name="MOV.105.C.0.07.2001.00.00.DGAAPR17">-11862.18</definedName>
    <definedName name="MOV.105.C.0.07.2001.00.00.DGAAPR20">-2080.45</definedName>
    <definedName name="MOV.105.C.0.07.2002.00.00.311010001">0</definedName>
    <definedName name="MOV.105.C.0.07.2002.00.00.311010002">0</definedName>
    <definedName name="MOV.105.C.0.07.2002.00.00.311010003">0</definedName>
    <definedName name="MOV.105.C.0.07.2002.00.00.311020001">0</definedName>
    <definedName name="MOV.105.C.0.07.2002.00.00.311020002">0</definedName>
    <definedName name="MOV.105.C.0.07.2002.00.00.311020003">0</definedName>
    <definedName name="MOV.105.C.0.07.2002.00.00.32101">0</definedName>
    <definedName name="MOV.105.C.0.07.2002.00.00.32102">0</definedName>
    <definedName name="MOV.105.C.0.07.2002.00.00.331010001">0</definedName>
    <definedName name="MOV.105.C.0.07.2002.00.00.331010002">0</definedName>
    <definedName name="MOV.105.C.0.07.2002.00.00.331010003">0</definedName>
    <definedName name="MOV.105.C.0.07.2002.00.00.331010004">0</definedName>
    <definedName name="MOV.105.C.0.07.2002.00.00.33102">0</definedName>
    <definedName name="MOV.105.C.0.07.2002.00.00.341">0</definedName>
    <definedName name="MOV.105.C.0.07.2002.00.00.342">0</definedName>
    <definedName name="MOV.105.C.0.07.2002.00.00.343">0</definedName>
    <definedName name="MOV.105.C.0.07.2002.00.00.344">0</definedName>
    <definedName name="MOV.105.C.0.07.2002.00.00.34501">0</definedName>
    <definedName name="MOV.105.C.0.07.2002.00.00.34502">0</definedName>
    <definedName name="MOV.105.C.0.07.2002.00.00.346">0</definedName>
    <definedName name="MOV.105.C.0.07.2002.00.00.346080063">0</definedName>
    <definedName name="MOV.105.C.0.07.2002.00.00.347010058">0</definedName>
    <definedName name="MOV.105.C.0.07.2002.00.00.34702">0</definedName>
    <definedName name="MOV.105.C.0.07.2002.00.00.34703">0</definedName>
    <definedName name="MOV.105.C.0.07.2002.00.00.34704">0</definedName>
    <definedName name="MOV.105.C.0.07.2002.00.00.34705">0</definedName>
    <definedName name="MOV.105.C.0.07.2002.00.00.349">0</definedName>
    <definedName name="MOV.105.C.0.07.2002.00.00.351010001">0</definedName>
    <definedName name="MOV.105.C.0.07.2002.00.00.351010002">0</definedName>
    <definedName name="MOV.105.C.0.07.2002.00.00.351010003">0</definedName>
    <definedName name="MOV.105.C.0.07.2002.00.00.351010004">0</definedName>
    <definedName name="MOV.105.C.0.07.2002.00.00.351010005">0</definedName>
    <definedName name="MOV.105.C.0.07.2002.00.00.351010006">0</definedName>
    <definedName name="MOV.105.C.0.07.2002.00.00.351010007">0</definedName>
    <definedName name="MOV.105.C.0.07.2002.00.00.351010008">0</definedName>
    <definedName name="MOV.105.C.0.07.2002.00.00.352010001">0</definedName>
    <definedName name="MOV.105.C.0.07.2002.00.00.361010002">0</definedName>
    <definedName name="MOV.105.C.0.07.2002.00.00.361020001">0</definedName>
    <definedName name="MOV.105.C.0.07.2002.00.00.361020002">0</definedName>
    <definedName name="MOV.105.C.0.07.2002.00.00.37102">0</definedName>
    <definedName name="MOV.105.C.0.07.2002.00.00.371030001">0</definedName>
    <definedName name="MOV.105.C.0.07.2002.00.00.371030002">0</definedName>
    <definedName name="MOV.105.C.0.07.2002.00.00.381010001">0</definedName>
    <definedName name="MOV.105.C.0.07.2002.00.00.381020001">0</definedName>
    <definedName name="MOV.105.C.0.07.2002.00.00.391010001">0</definedName>
    <definedName name="MOV.105.C.0.07.2002.00.00.DBB180">0</definedName>
    <definedName name="MOV.105.C.0.07.2002.00.00.DGAAPR20">0</definedName>
    <definedName name="MOV.105.C.0.08.2000.00.00.13202">-9063.25</definedName>
    <definedName name="MOV.105.C.0.08.2000.00.00.311010001">2247553.6</definedName>
    <definedName name="MOV.105.C.0.08.2000.00.00.311010002">1083350.75</definedName>
    <definedName name="MOV.105.C.0.08.2000.00.00.311010003">273087.14</definedName>
    <definedName name="MOV.105.C.0.08.2000.00.00.311020001">11934.24</definedName>
    <definedName name="MOV.105.C.0.08.2000.00.00.311020002">13719.6</definedName>
    <definedName name="MOV.105.C.0.08.2000.00.00.311020003">446902.62</definedName>
    <definedName name="MOV.105.C.0.08.2000.00.00.32101">-311745.25</definedName>
    <definedName name="MOV.105.C.0.08.2000.00.00.32102">-17248.31</definedName>
    <definedName name="MOV.105.C.0.08.2000.00.00.331010001">-995722.86</definedName>
    <definedName name="MOV.105.C.0.08.2000.00.00.331010002">-872405.83</definedName>
    <definedName name="MOV.105.C.0.08.2000.00.00.331010003">-29708.8</definedName>
    <definedName name="MOV.105.C.0.08.2000.00.00.331010004">0</definedName>
    <definedName name="MOV.105.C.0.08.2000.00.00.33102">-2057.94</definedName>
    <definedName name="MOV.105.C.0.08.2000.00.00.341">-796378.89</definedName>
    <definedName name="MOV.105.C.0.08.2000.00.00.342">-2356211.89</definedName>
    <definedName name="MOV.105.C.0.08.2000.00.00.343">-471639.23</definedName>
    <definedName name="MOV.105.C.0.08.2000.00.00.344">-274048.26</definedName>
    <definedName name="MOV.105.C.0.08.2000.00.00.345">-257936.91</definedName>
    <definedName name="MOV.105.C.0.08.2000.00.00.34501">-91426.91</definedName>
    <definedName name="MOV.105.C.0.08.2000.00.00.34502">-166510</definedName>
    <definedName name="MOV.105.C.0.08.2000.00.00.346">-400751.55</definedName>
    <definedName name="MOV.105.C.0.08.2000.00.00.346080063">-33920.65</definedName>
    <definedName name="MOV.105.C.0.08.2000.00.00.346080064">0</definedName>
    <definedName name="MOV.105.C.0.08.2000.00.00.347010058">-97858.29</definedName>
    <definedName name="MOV.105.C.0.08.2000.00.00.34702">-66618.09</definedName>
    <definedName name="MOV.105.C.0.08.2000.00.00.34703">0</definedName>
    <definedName name="MOV.105.C.0.08.2000.00.00.34704">-7200</definedName>
    <definedName name="MOV.105.C.0.08.2000.00.00.34705">0</definedName>
    <definedName name="MOV.105.C.0.08.2000.00.00.347060001">0</definedName>
    <definedName name="MOV.105.C.0.08.2000.00.00.349">3488155.66</definedName>
    <definedName name="MOV.105.C.0.08.2000.00.00.351010001">81481.77</definedName>
    <definedName name="MOV.105.C.0.08.2000.00.00.351010002">0</definedName>
    <definedName name="MOV.105.C.0.08.2000.00.00.351010003">11767.29</definedName>
    <definedName name="MOV.105.C.0.08.2000.00.00.351010004">-606.12</definedName>
    <definedName name="MOV.105.C.0.08.2000.00.00.351010005">-2797.48</definedName>
    <definedName name="MOV.105.C.0.08.2000.00.00.351010006">0</definedName>
    <definedName name="MOV.105.C.0.08.2000.00.00.351010007">0</definedName>
    <definedName name="MOV.105.C.0.08.2000.00.00.351010008">0</definedName>
    <definedName name="MOV.105.C.0.08.2000.00.00.352010001">-513569.37</definedName>
    <definedName name="MOV.105.C.0.08.2000.00.00.361010002">-378.17</definedName>
    <definedName name="MOV.105.C.0.08.2000.00.00.361020001">-93222.45</definedName>
    <definedName name="MOV.105.C.0.08.2000.00.00.361020002">-78314.16</definedName>
    <definedName name="MOV.105.C.0.08.2000.00.00.361020003">0</definedName>
    <definedName name="MOV.105.C.0.08.2000.00.00.37102">21000</definedName>
    <definedName name="MOV.105.C.0.08.2000.00.00.371030001">0</definedName>
    <definedName name="MOV.105.C.0.08.2000.00.00.371030002">0</definedName>
    <definedName name="MOV.105.C.0.08.2000.00.00.381010001">-2809.66</definedName>
    <definedName name="MOV.105.C.0.08.2000.00.00.381020001">-7804.83</definedName>
    <definedName name="MOV.105.C.0.08.2000.00.00.391010001">0</definedName>
    <definedName name="MOV.105.C.0.08.2000.00.00.DBB180">20604.61</definedName>
    <definedName name="MOV.105.C.0.08.2000.00.00.DGAAPR17">-78692.33</definedName>
    <definedName name="MOV.105.C.0.08.2000.00.00.DGAAPR20">-1313.72</definedName>
    <definedName name="MOV.105.C.0.08.2001.00.00.13202">-9875.78</definedName>
    <definedName name="MOV.105.C.0.08.2001.00.00.311010001">2566694</definedName>
    <definedName name="MOV.105.C.0.08.2001.00.00.311010002">1175175.15</definedName>
    <definedName name="MOV.105.C.0.08.2001.00.00.311010003">272988.14</definedName>
    <definedName name="MOV.105.C.0.08.2001.00.00.311020001">15855.05</definedName>
    <definedName name="MOV.105.C.0.08.2001.00.00.311020002">15074.83</definedName>
    <definedName name="MOV.105.C.0.08.2001.00.00.311020003">15445.9</definedName>
    <definedName name="MOV.105.C.0.08.2001.00.00.32101">-334888.99</definedName>
    <definedName name="MOV.105.C.0.08.2001.00.00.32102">-1692.71</definedName>
    <definedName name="MOV.105.C.0.08.2001.00.00.331010001">-1132112.09</definedName>
    <definedName name="MOV.105.C.0.08.2001.00.00.331010002">-669768.47</definedName>
    <definedName name="MOV.105.C.0.08.2001.00.00.331010003">-29708.8</definedName>
    <definedName name="MOV.105.C.0.08.2001.00.00.331010004">0</definedName>
    <definedName name="MOV.105.C.0.08.2001.00.00.33102">-2057.94</definedName>
    <definedName name="MOV.105.C.0.08.2001.00.00.341">-778098.85</definedName>
    <definedName name="MOV.105.C.0.08.2001.00.00.342">-1396156.32</definedName>
    <definedName name="MOV.105.C.0.08.2001.00.00.343">-30839.23</definedName>
    <definedName name="MOV.105.C.0.08.2001.00.00.344">-114704.09</definedName>
    <definedName name="MOV.105.C.0.08.2001.00.00.345">-294122.63</definedName>
    <definedName name="MOV.105.C.0.08.2001.00.00.34501">-108794.23</definedName>
    <definedName name="MOV.105.C.0.08.2001.00.00.34502">-185328.4</definedName>
    <definedName name="MOV.105.C.0.08.2001.00.00.346">-301850.18</definedName>
    <definedName name="MOV.105.C.0.08.2001.00.00.346080063">-32735.55</definedName>
    <definedName name="MOV.105.C.0.08.2001.00.00.346080064">0</definedName>
    <definedName name="MOV.105.C.0.08.2001.00.00.347010058">-97858.29</definedName>
    <definedName name="MOV.105.C.0.08.2001.00.00.34702">-75127.15</definedName>
    <definedName name="MOV.105.C.0.08.2001.00.00.34703">0</definedName>
    <definedName name="MOV.105.C.0.08.2001.00.00.34704">-7000</definedName>
    <definedName name="MOV.105.C.0.08.2001.00.00.34705">205903.6</definedName>
    <definedName name="MOV.105.C.0.08.2001.00.00.347060001">-9875.78</definedName>
    <definedName name="MOV.105.C.0.08.2001.00.00.349">1826342.15</definedName>
    <definedName name="MOV.105.C.0.08.2001.00.00.351010001">0</definedName>
    <definedName name="MOV.105.C.0.08.2001.00.00.351010002">0</definedName>
    <definedName name="MOV.105.C.0.08.2001.00.00.351010003">0</definedName>
    <definedName name="MOV.105.C.0.08.2001.00.00.351010004">-1042.97</definedName>
    <definedName name="MOV.105.C.0.08.2001.00.00.351010005">-4813.7</definedName>
    <definedName name="MOV.105.C.0.08.2001.00.00.351010006">-38873.14</definedName>
    <definedName name="MOV.105.C.0.08.2001.00.00.351010007">22483.47</definedName>
    <definedName name="MOV.105.C.0.08.2001.00.00.351010008">0</definedName>
    <definedName name="MOV.105.C.0.08.2001.00.00.352010001">-738977.31</definedName>
    <definedName name="MOV.105.C.0.08.2001.00.00.361010002">1029.35</definedName>
    <definedName name="MOV.105.C.0.08.2001.00.00.361020001">-93928.54</definedName>
    <definedName name="MOV.105.C.0.08.2001.00.00.361020002">-20434.18</definedName>
    <definedName name="MOV.105.C.0.08.2001.00.00.361020003">0</definedName>
    <definedName name="MOV.105.C.0.08.2001.00.00.37102">11300</definedName>
    <definedName name="MOV.105.C.0.08.2001.00.00.371030001">0</definedName>
    <definedName name="MOV.105.C.0.08.2001.00.00.371030002">0</definedName>
    <definedName name="MOV.105.C.0.08.2001.00.00.381010001">4496.51</definedName>
    <definedName name="MOV.105.C.0.08.2001.00.00.381020001">12490.31</definedName>
    <definedName name="MOV.105.C.0.08.2001.00.00.391010001">0</definedName>
    <definedName name="MOV.105.C.0.08.2001.00.00.DBB180">-32974.4</definedName>
    <definedName name="MOV.105.C.0.08.2001.00.00.DGAAPR17">-19404.83</definedName>
    <definedName name="MOV.105.C.0.08.2001.00.00.DGAAPR20">-4321.5</definedName>
    <definedName name="MOV.105.C.0.08.2002.00.00.311010001">0</definedName>
    <definedName name="MOV.105.C.0.08.2002.00.00.311010002">0</definedName>
    <definedName name="MOV.105.C.0.08.2002.00.00.311010003">0</definedName>
    <definedName name="MOV.105.C.0.08.2002.00.00.311020001">0</definedName>
    <definedName name="MOV.105.C.0.08.2002.00.00.311020002">0</definedName>
    <definedName name="MOV.105.C.0.08.2002.00.00.311020003">0</definedName>
    <definedName name="MOV.105.C.0.08.2002.00.00.32101">0</definedName>
    <definedName name="MOV.105.C.0.08.2002.00.00.32102">0</definedName>
    <definedName name="MOV.105.C.0.08.2002.00.00.331010001">0</definedName>
    <definedName name="MOV.105.C.0.08.2002.00.00.331010002">0</definedName>
    <definedName name="MOV.105.C.0.08.2002.00.00.331010003">0</definedName>
    <definedName name="MOV.105.C.0.08.2002.00.00.331010004">0</definedName>
    <definedName name="MOV.105.C.0.08.2002.00.00.33102">0</definedName>
    <definedName name="MOV.105.C.0.08.2002.00.00.341">0</definedName>
    <definedName name="MOV.105.C.0.08.2002.00.00.342">0</definedName>
    <definedName name="MOV.105.C.0.08.2002.00.00.343">0</definedName>
    <definedName name="MOV.105.C.0.08.2002.00.00.344">0</definedName>
    <definedName name="MOV.105.C.0.08.2002.00.00.34501">0</definedName>
    <definedName name="MOV.105.C.0.08.2002.00.00.34502">0</definedName>
    <definedName name="MOV.105.C.0.08.2002.00.00.346">0</definedName>
    <definedName name="MOV.105.C.0.08.2002.00.00.346080063">0</definedName>
    <definedName name="MOV.105.C.0.08.2002.00.00.347010058">0</definedName>
    <definedName name="MOV.105.C.0.08.2002.00.00.34702">0</definedName>
    <definedName name="MOV.105.C.0.08.2002.00.00.34703">0</definedName>
    <definedName name="MOV.105.C.0.08.2002.00.00.34704">0</definedName>
    <definedName name="MOV.105.C.0.08.2002.00.00.34705">0</definedName>
    <definedName name="MOV.105.C.0.08.2002.00.00.349">0</definedName>
    <definedName name="MOV.105.C.0.08.2002.00.00.351010001">0</definedName>
    <definedName name="MOV.105.C.0.08.2002.00.00.351010002">0</definedName>
    <definedName name="MOV.105.C.0.08.2002.00.00.351010003">0</definedName>
    <definedName name="MOV.105.C.0.08.2002.00.00.351010004">0</definedName>
    <definedName name="MOV.105.C.0.08.2002.00.00.351010005">0</definedName>
    <definedName name="MOV.105.C.0.08.2002.00.00.351010006">0</definedName>
    <definedName name="MOV.105.C.0.08.2002.00.00.351010007">0</definedName>
    <definedName name="MOV.105.C.0.08.2002.00.00.351010008">0</definedName>
    <definedName name="MOV.105.C.0.08.2002.00.00.352010001">0</definedName>
    <definedName name="MOV.105.C.0.08.2002.00.00.361010002">0</definedName>
    <definedName name="MOV.105.C.0.08.2002.00.00.361020001">0</definedName>
    <definedName name="MOV.105.C.0.08.2002.00.00.361020002">0</definedName>
    <definedName name="MOV.105.C.0.08.2002.00.00.37102">0</definedName>
    <definedName name="MOV.105.C.0.08.2002.00.00.371030001">0</definedName>
    <definedName name="MOV.105.C.0.08.2002.00.00.371030002">0</definedName>
    <definedName name="MOV.105.C.0.08.2002.00.00.381010001">0</definedName>
    <definedName name="MOV.105.C.0.08.2002.00.00.381020001">0</definedName>
    <definedName name="MOV.105.C.0.08.2002.00.00.391010001">0</definedName>
    <definedName name="MOV.105.C.0.08.2002.00.00.DBB180">0</definedName>
    <definedName name="MOV.105.C.0.08.2002.00.00.DGAAPR20">0</definedName>
    <definedName name="MOV.105.C.0.09.2000.00.00.13202">-6359.79</definedName>
    <definedName name="MOV.105.C.0.09.2000.00.00.311010001">2230572.55</definedName>
    <definedName name="MOV.105.C.0.09.2000.00.00.311010002">1030757.6</definedName>
    <definedName name="MOV.105.C.0.09.2000.00.00.311010003">289035.4</definedName>
    <definedName name="MOV.105.C.0.09.2000.00.00.311020001">3150</definedName>
    <definedName name="MOV.105.C.0.09.2000.00.00.311020002">13719.6</definedName>
    <definedName name="MOV.105.C.0.09.2000.00.00.311020003">72000</definedName>
    <definedName name="MOV.105.C.0.09.2000.00.00.32101">-307106.61</definedName>
    <definedName name="MOV.105.C.0.09.2000.00.00.32102">-3243.74</definedName>
    <definedName name="MOV.105.C.0.09.2000.00.00.331010001">-1029751.04</definedName>
    <definedName name="MOV.105.C.0.09.2000.00.00.331010002">-968696.47</definedName>
    <definedName name="MOV.105.C.0.09.2000.00.00.331010003">-29708.8</definedName>
    <definedName name="MOV.105.C.0.09.2000.00.00.331010004">0</definedName>
    <definedName name="MOV.105.C.0.09.2000.00.00.33102">-2057.94</definedName>
    <definedName name="MOV.105.C.0.09.2000.00.00.341">-814325.92</definedName>
    <definedName name="MOV.105.C.0.09.2000.00.00.342">-2693712.34</definedName>
    <definedName name="MOV.105.C.0.09.2000.00.00.343">-212890.17</definedName>
    <definedName name="MOV.105.C.0.09.2000.00.00.344">-164873.27</definedName>
    <definedName name="MOV.105.C.0.09.2000.00.00.345">-308796.73</definedName>
    <definedName name="MOV.105.C.0.09.2000.00.00.34501">-104649.93</definedName>
    <definedName name="MOV.105.C.0.09.2000.00.00.34502">-204146.8</definedName>
    <definedName name="MOV.105.C.0.09.2000.00.00.346">-308277.63</definedName>
    <definedName name="MOV.105.C.0.09.2000.00.00.346080063">-20560.87</definedName>
    <definedName name="MOV.105.C.0.09.2000.00.00.346080064">0</definedName>
    <definedName name="MOV.105.C.0.09.2000.00.00.347010058">-97858.29</definedName>
    <definedName name="MOV.105.C.0.09.2000.00.00.34702">-65226.6</definedName>
    <definedName name="MOV.105.C.0.09.2000.00.00.34703">0</definedName>
    <definedName name="MOV.105.C.0.09.2000.00.00.34704">-7200</definedName>
    <definedName name="MOV.105.C.0.09.2000.00.00.34705">0</definedName>
    <definedName name="MOV.105.C.0.09.2000.00.00.347060001">0</definedName>
    <definedName name="MOV.105.C.0.09.2000.00.00.349">3394638.82</definedName>
    <definedName name="MOV.105.C.0.09.2000.00.00.351010001">62617.63</definedName>
    <definedName name="MOV.105.C.0.09.2000.00.00.351010002">0</definedName>
    <definedName name="MOV.105.C.0.09.2000.00.00.351010003">1290.07</definedName>
    <definedName name="MOV.105.C.0.09.2000.00.00.351010004">-416.74</definedName>
    <definedName name="MOV.105.C.0.09.2000.00.00.351010005">-1923.41</definedName>
    <definedName name="MOV.105.C.0.09.2000.00.00.351010006">0</definedName>
    <definedName name="MOV.105.C.0.09.2000.00.00.351010007">0</definedName>
    <definedName name="MOV.105.C.0.09.2000.00.00.351010008">0</definedName>
    <definedName name="MOV.105.C.0.09.2000.00.00.352010001">-534003.25</definedName>
    <definedName name="MOV.105.C.0.09.2000.00.00.361010002">205.93</definedName>
    <definedName name="MOV.105.C.0.09.2000.00.00.361020001">-103741.85</definedName>
    <definedName name="MOV.105.C.0.09.2000.00.00.361020002">-23797.27</definedName>
    <definedName name="MOV.105.C.0.09.2000.00.00.361020003">0</definedName>
    <definedName name="MOV.105.C.0.09.2000.00.00.37102">0</definedName>
    <definedName name="MOV.105.C.0.09.2000.00.00.371030001">0</definedName>
    <definedName name="MOV.105.C.0.09.2000.00.00.371030002">0</definedName>
    <definedName name="MOV.105.C.0.09.2000.00.00.381010001">52265.1</definedName>
    <definedName name="MOV.105.C.0.09.2000.00.00.381020001">145185.21</definedName>
    <definedName name="MOV.105.C.0.09.2000.00.00.391010001">0</definedName>
    <definedName name="MOV.105.C.0.09.2000.00.00.DBB180">-383285.88</definedName>
    <definedName name="MOV.105.C.0.09.2000.00.00.DGAAPR17">-23591.34</definedName>
    <definedName name="MOV.105.C.0.09.2000.00.00.DGAAPR20">-1115.72</definedName>
    <definedName name="MOV.105.C.0.09.2001.00.00.13202">-12682.02</definedName>
    <definedName name="MOV.105.C.0.09.2001.00.00.311010001">2428143.15</definedName>
    <definedName name="MOV.105.C.0.09.2001.00.00.311010002">1066528.15</definedName>
    <definedName name="MOV.105.C.0.09.2001.00.00.311010003">277476.42</definedName>
    <definedName name="MOV.105.C.0.09.2001.00.00.311020001">13830.05</definedName>
    <definedName name="MOV.105.C.0.09.2001.00.00.311020002">15074.83</definedName>
    <definedName name="MOV.105.C.0.09.2001.00.00.311020003">15445.9</definedName>
    <definedName name="MOV.105.C.0.09.2001.00.00.32101">-312416.95</definedName>
    <definedName name="MOV.105.C.0.09.2001.00.00.32102">-1618.8</definedName>
    <definedName name="MOV.105.C.0.09.2001.00.00.331010001">-1142769.53</definedName>
    <definedName name="MOV.105.C.0.09.2001.00.00.331010002">-403164.57</definedName>
    <definedName name="MOV.105.C.0.09.2001.00.00.331010003">-29708.8</definedName>
    <definedName name="MOV.105.C.0.09.2001.00.00.331010004">0</definedName>
    <definedName name="MOV.105.C.0.09.2001.00.00.33102">-2057.94</definedName>
    <definedName name="MOV.105.C.0.09.2001.00.00.341">-836784.25</definedName>
    <definedName name="MOV.105.C.0.09.2001.00.00.342">-1589739.75</definedName>
    <definedName name="MOV.105.C.0.09.2001.00.00.343">-22162.61</definedName>
    <definedName name="MOV.105.C.0.09.2001.00.00.344">-132380.65</definedName>
    <definedName name="MOV.105.C.0.09.2001.00.00.345">-277402.25</definedName>
    <definedName name="MOV.105.C.0.09.2001.00.00.34501">-92073.85</definedName>
    <definedName name="MOV.105.C.0.09.2001.00.00.34502">-185328.4</definedName>
    <definedName name="MOV.105.C.0.09.2001.00.00.346">-370297.73</definedName>
    <definedName name="MOV.105.C.0.09.2001.00.00.346080063">-109483.94</definedName>
    <definedName name="MOV.105.C.0.09.2001.00.00.346080064">0</definedName>
    <definedName name="MOV.105.C.0.09.2001.00.00.347010058">-97858.29</definedName>
    <definedName name="MOV.105.C.0.09.2001.00.00.34702">-69893.43</definedName>
    <definedName name="MOV.105.C.0.09.2001.00.00.34703">0</definedName>
    <definedName name="MOV.105.C.0.09.2001.00.00.34704">-5000</definedName>
    <definedName name="MOV.105.C.0.09.2001.00.00.34705">84811.46</definedName>
    <definedName name="MOV.105.C.0.09.2001.00.00.347060001">-12682.02</definedName>
    <definedName name="MOV.105.C.0.09.2001.00.00.349">2113022.04</definedName>
    <definedName name="MOV.105.C.0.09.2001.00.00.351010001">0</definedName>
    <definedName name="MOV.105.C.0.09.2001.00.00.351010002">0</definedName>
    <definedName name="MOV.105.C.0.09.2001.00.00.351010003">421.76</definedName>
    <definedName name="MOV.105.C.0.09.2001.00.00.351010004">-22935.93</definedName>
    <definedName name="MOV.105.C.0.09.2001.00.00.351010005">-105858.14</definedName>
    <definedName name="MOV.105.C.0.09.2001.00.00.351010006">77475.1</definedName>
    <definedName name="MOV.105.C.0.09.2001.00.00.351010007">13331.01</definedName>
    <definedName name="MOV.105.C.0.09.2001.00.00.351010008">0</definedName>
    <definedName name="MOV.105.C.0.09.2001.00.00.352010001">-652732.88</definedName>
    <definedName name="MOV.105.C.0.09.2001.00.00.361010002">1022.51</definedName>
    <definedName name="MOV.105.C.0.09.2001.00.00.361020001">-102125.07</definedName>
    <definedName name="MOV.105.C.0.09.2001.00.00.361020002">0</definedName>
    <definedName name="MOV.105.C.0.09.2001.00.00.361020003">0</definedName>
    <definedName name="MOV.105.C.0.09.2001.00.00.37102">0</definedName>
    <definedName name="MOV.105.C.0.09.2001.00.00.371030001">0</definedName>
    <definedName name="MOV.105.C.0.09.2001.00.00.371030002">0</definedName>
    <definedName name="MOV.105.C.0.09.2001.00.00.381010001">7583.26</definedName>
    <definedName name="MOV.105.C.0.09.2001.00.00.381020001">21064.63</definedName>
    <definedName name="MOV.105.C.0.09.2001.00.00.391010001">0</definedName>
    <definedName name="MOV.105.C.0.09.2001.00.00.DBB180">-55610.63</definedName>
    <definedName name="MOV.105.C.0.09.2001.00.00.DGAAPR17">1022.51</definedName>
    <definedName name="MOV.105.C.0.09.2001.00.00.DGAAPR20">-1251.31</definedName>
    <definedName name="MOV.105.C.0.09.2002.00.00.311010001">0</definedName>
    <definedName name="MOV.105.C.0.09.2002.00.00.311010002">0</definedName>
    <definedName name="MOV.105.C.0.09.2002.00.00.311010003">0</definedName>
    <definedName name="MOV.105.C.0.09.2002.00.00.311020001">0</definedName>
    <definedName name="MOV.105.C.0.09.2002.00.00.311020002">0</definedName>
    <definedName name="MOV.105.C.0.09.2002.00.00.311020003">0</definedName>
    <definedName name="MOV.105.C.0.09.2002.00.00.32101">0</definedName>
    <definedName name="MOV.105.C.0.09.2002.00.00.32102">0</definedName>
    <definedName name="MOV.105.C.0.09.2002.00.00.331010001">0</definedName>
    <definedName name="MOV.105.C.0.09.2002.00.00.331010002">0</definedName>
    <definedName name="MOV.105.C.0.09.2002.00.00.331010003">0</definedName>
    <definedName name="MOV.105.C.0.09.2002.00.00.331010004">0</definedName>
    <definedName name="MOV.105.C.0.09.2002.00.00.33102">0</definedName>
    <definedName name="MOV.105.C.0.09.2002.00.00.341">0</definedName>
    <definedName name="MOV.105.C.0.09.2002.00.00.342">0</definedName>
    <definedName name="MOV.105.C.0.09.2002.00.00.343">0</definedName>
    <definedName name="MOV.105.C.0.09.2002.00.00.344">0</definedName>
    <definedName name="MOV.105.C.0.09.2002.00.00.34501">0</definedName>
    <definedName name="MOV.105.C.0.09.2002.00.00.34502">0</definedName>
    <definedName name="MOV.105.C.0.09.2002.00.00.346">0</definedName>
    <definedName name="MOV.105.C.0.09.2002.00.00.346080063">0</definedName>
    <definedName name="MOV.105.C.0.09.2002.00.00.347010058">0</definedName>
    <definedName name="MOV.105.C.0.09.2002.00.00.34702">0</definedName>
    <definedName name="MOV.105.C.0.09.2002.00.00.34703">0</definedName>
    <definedName name="MOV.105.C.0.09.2002.00.00.34704">0</definedName>
    <definedName name="MOV.105.C.0.09.2002.00.00.34705">0</definedName>
    <definedName name="MOV.105.C.0.09.2002.00.00.349">0</definedName>
    <definedName name="MOV.105.C.0.09.2002.00.00.351010001">0</definedName>
    <definedName name="MOV.105.C.0.09.2002.00.00.351010002">0</definedName>
    <definedName name="MOV.105.C.0.09.2002.00.00.351010003">0</definedName>
    <definedName name="MOV.105.C.0.09.2002.00.00.351010004">0</definedName>
    <definedName name="MOV.105.C.0.09.2002.00.00.351010005">0</definedName>
    <definedName name="MOV.105.C.0.09.2002.00.00.351010006">0</definedName>
    <definedName name="MOV.105.C.0.09.2002.00.00.351010007">0</definedName>
    <definedName name="MOV.105.C.0.09.2002.00.00.351010008">0</definedName>
    <definedName name="MOV.105.C.0.09.2002.00.00.352010001">0</definedName>
    <definedName name="MOV.105.C.0.09.2002.00.00.361010002">0</definedName>
    <definedName name="MOV.105.C.0.09.2002.00.00.361020001">0</definedName>
    <definedName name="MOV.105.C.0.09.2002.00.00.361020002">0</definedName>
    <definedName name="MOV.105.C.0.09.2002.00.00.37102">0</definedName>
    <definedName name="MOV.105.C.0.09.2002.00.00.371030001">0</definedName>
    <definedName name="MOV.105.C.0.09.2002.00.00.371030002">0</definedName>
    <definedName name="MOV.105.C.0.09.2002.00.00.381010001">0</definedName>
    <definedName name="MOV.105.C.0.09.2002.00.00.381020001">0</definedName>
    <definedName name="MOV.105.C.0.09.2002.00.00.391010001">0</definedName>
    <definedName name="MOV.105.C.0.09.2002.00.00.DBB180">0</definedName>
    <definedName name="MOV.105.C.0.09.2002.00.00.DGAAPR20">0</definedName>
    <definedName name="MOV.105.C.0.10.2000.00.00.13202">-6743.97</definedName>
    <definedName name="MOV.105.C.0.10.2000.00.00.311010001">2404222.45</definedName>
    <definedName name="MOV.105.C.0.10.2000.00.00.311010002">1085880.1</definedName>
    <definedName name="MOV.105.C.0.10.2000.00.00.311010003">289194.67</definedName>
    <definedName name="MOV.105.C.0.10.2000.00.00.311020001">35847.45</definedName>
    <definedName name="MOV.105.C.0.10.2000.00.00.311020002">13719.6</definedName>
    <definedName name="MOV.105.C.0.10.2000.00.00.311020003">72000</definedName>
    <definedName name="MOV.105.C.0.10.2000.00.00.32101">-326909.21</definedName>
    <definedName name="MOV.105.C.0.10.2000.00.00.32102">-4437.2</definedName>
    <definedName name="MOV.105.C.0.10.2000.00.00.331010001">-1314965.25</definedName>
    <definedName name="MOV.105.C.0.10.2000.00.00.331010002">-722299.6</definedName>
    <definedName name="MOV.105.C.0.10.2000.00.00.331010003">-29708.8</definedName>
    <definedName name="MOV.105.C.0.10.2000.00.00.331010004">0</definedName>
    <definedName name="MOV.105.C.0.10.2000.00.00.33102">-2057.94</definedName>
    <definedName name="MOV.105.C.0.10.2000.00.00.341">-832244.98</definedName>
    <definedName name="MOV.105.C.0.10.2000.00.00.342">-3305130.41</definedName>
    <definedName name="MOV.105.C.0.10.2000.00.00.343">-228316.25</definedName>
    <definedName name="MOV.105.C.0.10.2000.00.00.344">-197408.15</definedName>
    <definedName name="MOV.105.C.0.10.2000.00.00.345">-282518.54</definedName>
    <definedName name="MOV.105.C.0.10.2000.00.00.34501">-97190.14</definedName>
    <definedName name="MOV.105.C.0.10.2000.00.00.34502">-185328.4</definedName>
    <definedName name="MOV.105.C.0.10.2000.00.00.346">-270135.94</definedName>
    <definedName name="MOV.105.C.0.10.2000.00.00.346080063">-19661.02</definedName>
    <definedName name="MOV.105.C.0.10.2000.00.00.346080064">0</definedName>
    <definedName name="MOV.105.C.0.10.2000.00.00.347010058">-97858.29</definedName>
    <definedName name="MOV.105.C.0.10.2000.00.00.34702">-69802.05</definedName>
    <definedName name="MOV.105.C.0.10.2000.00.00.34703">0</definedName>
    <definedName name="MOV.105.C.0.10.2000.00.00.34704">-8400</definedName>
    <definedName name="MOV.105.C.0.10.2000.00.00.34705">0</definedName>
    <definedName name="MOV.105.C.0.10.2000.00.00.347060001">0</definedName>
    <definedName name="MOV.105.C.0.10.2000.00.00.349">4013011.82</definedName>
    <definedName name="MOV.105.C.0.10.2000.00.00.351010001">112144.33</definedName>
    <definedName name="MOV.105.C.0.10.2000.00.00.351010002">0</definedName>
    <definedName name="MOV.105.C.0.10.2000.00.00.351010003">563.44</definedName>
    <definedName name="MOV.105.C.0.10.2000.00.00.351010004">-737.02</definedName>
    <definedName name="MOV.105.C.0.10.2000.00.00.351010005">-3401.63</definedName>
    <definedName name="MOV.105.C.0.10.2000.00.00.351010006">0</definedName>
    <definedName name="MOV.105.C.0.10.2000.00.00.351010007">0</definedName>
    <definedName name="MOV.105.C.0.10.2000.00.00.351010008">0</definedName>
    <definedName name="MOV.105.C.0.10.2000.00.00.352010001">-553302.33</definedName>
    <definedName name="MOV.105.C.0.10.2000.00.00.361010002">679.99</definedName>
    <definedName name="MOV.105.C.0.10.2000.00.00.361020001">-94613.53</definedName>
    <definedName name="MOV.105.C.0.10.2000.00.00.361020002">-69883.17</definedName>
    <definedName name="MOV.105.C.0.10.2000.00.00.361020003">0</definedName>
    <definedName name="MOV.105.C.0.10.2000.00.00.37102">0</definedName>
    <definedName name="MOV.105.C.0.10.2000.00.00.371030001">0</definedName>
    <definedName name="MOV.105.C.0.10.2000.00.00.371030002">0</definedName>
    <definedName name="MOV.105.C.0.10.2000.00.00.381010001">34919.33</definedName>
    <definedName name="MOV.105.C.0.10.2000.00.00.381020001">97001.06</definedName>
    <definedName name="MOV.105.C.0.10.2000.00.00.391010001">0</definedName>
    <definedName name="MOV.105.C.0.10.2000.00.00.DBB180">-256080.74</definedName>
    <definedName name="MOV.105.C.0.10.2000.00.00.DGAAPR17">-69203.18</definedName>
    <definedName name="MOV.105.C.0.10.2000.00.00.DGAAPR20">-1134.69</definedName>
    <definedName name="MOV.105.C.0.10.2001.00.00.13202">-12920.97</definedName>
    <definedName name="MOV.105.C.0.10.2001.00.00.241010001">0</definedName>
    <definedName name="MOV.105.C.0.10.2001.00.00.311010001">2945806.1</definedName>
    <definedName name="MOV.105.C.0.10.2001.00.00.311010002">1298318.25</definedName>
    <definedName name="MOV.105.C.0.10.2001.00.00.311010003">285998.96</definedName>
    <definedName name="MOV.105.C.0.10.2001.00.00.311020001">12780.05</definedName>
    <definedName name="MOV.105.C.0.10.2001.00.00.311020002">15074.83</definedName>
    <definedName name="MOV.105.C.0.10.2001.00.00.311020003">15445.9</definedName>
    <definedName name="MOV.105.C.0.10.2001.00.00.32101">-377555.71</definedName>
    <definedName name="MOV.105.C.0.10.2001.00.00.32102">-1580.48</definedName>
    <definedName name="MOV.105.C.0.10.2001.00.00.331010001">-1109057.54</definedName>
    <definedName name="MOV.105.C.0.10.2001.00.00.331010002">-445826.05</definedName>
    <definedName name="MOV.105.C.0.10.2001.00.00.331010003">-29708.8</definedName>
    <definedName name="MOV.105.C.0.10.2001.00.00.331010004">0</definedName>
    <definedName name="MOV.105.C.0.10.2001.00.00.33102">-2057.94</definedName>
    <definedName name="MOV.105.C.0.10.2001.00.00.341">-852429.98</definedName>
    <definedName name="MOV.105.C.0.10.2001.00.00.342">-1446816.3</definedName>
    <definedName name="MOV.105.C.0.10.2001.00.00.343">-26246.8</definedName>
    <definedName name="MOV.105.C.0.10.2001.00.00.344">-148197.51</definedName>
    <definedName name="MOV.105.C.0.10.2001.00.00.345">0</definedName>
    <definedName name="MOV.105.C.0.10.2001.00.00.34501">-91558.41</definedName>
    <definedName name="MOV.105.C.0.10.2001.00.00.34502">-185328.4</definedName>
    <definedName name="MOV.105.C.0.10.2001.00.00.346">-297087.96</definedName>
    <definedName name="MOV.105.C.0.10.2001.00.00.346080063">-19292.05</definedName>
    <definedName name="MOV.105.C.0.10.2001.00.00.346080064">0</definedName>
    <definedName name="MOV.105.C.0.10.2001.00.00.347010058">-97858.29</definedName>
    <definedName name="MOV.105.C.0.10.2001.00.00.34702">-84882.49</definedName>
    <definedName name="MOV.105.C.0.10.2001.00.00.34703">0</definedName>
    <definedName name="MOV.105.C.0.10.2001.00.00.34704">-6015</definedName>
    <definedName name="MOV.105.C.0.10.2001.00.00.34705">84811.46</definedName>
    <definedName name="MOV.105.C.0.10.2001.00.00.347060001">0</definedName>
    <definedName name="MOV.105.C.0.10.2001.00.00.349">1975201.57</definedName>
    <definedName name="MOV.105.C.0.10.2001.00.00.351010001">0</definedName>
    <definedName name="MOV.105.C.0.10.2001.00.00.351010002">0</definedName>
    <definedName name="MOV.105.C.0.10.2001.00.00.351010003">0</definedName>
    <definedName name="MOV.105.C.0.10.2001.00.00.351010004">-722.12</definedName>
    <definedName name="MOV.105.C.0.10.2001.00.00.351010005">-3332.87</definedName>
    <definedName name="MOV.105.C.0.10.2001.00.00.351010006">91914.91</definedName>
    <definedName name="MOV.105.C.0.10.2001.00.00.351010007">18874.57</definedName>
    <definedName name="MOV.105.C.0.10.2001.00.00.351010008">0</definedName>
    <definedName name="MOV.105.C.0.10.2001.00.00.352010001">-708075.29</definedName>
    <definedName name="MOV.105.C.0.10.2001.00.00.361010002">306.07</definedName>
    <definedName name="MOV.105.C.0.10.2001.00.00.361020001">-117635.83</definedName>
    <definedName name="MOV.105.C.0.10.2001.00.00.361020002">-16011.44</definedName>
    <definedName name="MOV.105.C.0.10.2001.00.00.361020003">0</definedName>
    <definedName name="MOV.105.C.0.10.2001.00.00.37102">2210</definedName>
    <definedName name="MOV.105.C.0.10.2001.00.00.371030001">0</definedName>
    <definedName name="MOV.105.C.0.10.2001.00.00.371030002">0</definedName>
    <definedName name="MOV.105.C.0.10.2001.00.00.381010001">-61628.63</definedName>
    <definedName name="MOV.105.C.0.10.2001.00.00.381020001">-171190.63</definedName>
    <definedName name="MOV.105.C.0.10.2001.00.00.391010001">0</definedName>
    <definedName name="MOV.105.C.0.10.2001.00.00.DBB180">451943.27</definedName>
    <definedName name="MOV.105.C.0.10.2001.00.00.DGAAPR17">0</definedName>
    <definedName name="MOV.105.C.0.10.2001.00.00.DGAAPR20">-1073.96</definedName>
    <definedName name="MOV.105.C.0.10.2002.00.00.311010001">0</definedName>
    <definedName name="MOV.105.C.0.10.2002.00.00.311010002">0</definedName>
    <definedName name="MOV.105.C.0.10.2002.00.00.311010003">0</definedName>
    <definedName name="MOV.105.C.0.10.2002.00.00.311020001">0</definedName>
    <definedName name="MOV.105.C.0.10.2002.00.00.311020002">0</definedName>
    <definedName name="MOV.105.C.0.10.2002.00.00.311020003">0</definedName>
    <definedName name="MOV.105.C.0.10.2002.00.00.32101">0</definedName>
    <definedName name="MOV.105.C.0.10.2002.00.00.32102">0</definedName>
    <definedName name="MOV.105.C.0.10.2002.00.00.331010001">0</definedName>
    <definedName name="MOV.105.C.0.10.2002.00.00.331010002">0</definedName>
    <definedName name="MOV.105.C.0.10.2002.00.00.331010003">0</definedName>
    <definedName name="MOV.105.C.0.10.2002.00.00.331010004">0</definedName>
    <definedName name="MOV.105.C.0.10.2002.00.00.33102">0</definedName>
    <definedName name="MOV.105.C.0.10.2002.00.00.341">0</definedName>
    <definedName name="MOV.105.C.0.10.2002.00.00.342">0</definedName>
    <definedName name="MOV.105.C.0.10.2002.00.00.343">0</definedName>
    <definedName name="MOV.105.C.0.10.2002.00.00.344">0</definedName>
    <definedName name="MOV.105.C.0.10.2002.00.00.34501">0</definedName>
    <definedName name="MOV.105.C.0.10.2002.00.00.34502">0</definedName>
    <definedName name="MOV.105.C.0.10.2002.00.00.346">0</definedName>
    <definedName name="MOV.105.C.0.10.2002.00.00.346080063">0</definedName>
    <definedName name="MOV.105.C.0.10.2002.00.00.347010058">0</definedName>
    <definedName name="MOV.105.C.0.10.2002.00.00.34702">0</definedName>
    <definedName name="MOV.105.C.0.10.2002.00.00.34703">0</definedName>
    <definedName name="MOV.105.C.0.10.2002.00.00.34704">0</definedName>
    <definedName name="MOV.105.C.0.10.2002.00.00.34705">0</definedName>
    <definedName name="MOV.105.C.0.10.2002.00.00.349">0</definedName>
    <definedName name="MOV.105.C.0.10.2002.00.00.351010001">0</definedName>
    <definedName name="MOV.105.C.0.10.2002.00.00.351010002">0</definedName>
    <definedName name="MOV.105.C.0.10.2002.00.00.351010003">0</definedName>
    <definedName name="MOV.105.C.0.10.2002.00.00.351010004">0</definedName>
    <definedName name="MOV.105.C.0.10.2002.00.00.351010005">0</definedName>
    <definedName name="MOV.105.C.0.10.2002.00.00.351010006">0</definedName>
    <definedName name="MOV.105.C.0.10.2002.00.00.351010007">0</definedName>
    <definedName name="MOV.105.C.0.10.2002.00.00.351010008">0</definedName>
    <definedName name="MOV.105.C.0.10.2002.00.00.352010001">0</definedName>
    <definedName name="MOV.105.C.0.10.2002.00.00.361010002">0</definedName>
    <definedName name="MOV.105.C.0.10.2002.00.00.361020001">0</definedName>
    <definedName name="MOV.105.C.0.10.2002.00.00.361020002">0</definedName>
    <definedName name="MOV.105.C.0.10.2002.00.00.37102">0</definedName>
    <definedName name="MOV.105.C.0.10.2002.00.00.371030001">0</definedName>
    <definedName name="MOV.105.C.0.10.2002.00.00.371030002">0</definedName>
    <definedName name="MOV.105.C.0.10.2002.00.00.381010001">0</definedName>
    <definedName name="MOV.105.C.0.10.2002.00.00.381020001">0</definedName>
    <definedName name="MOV.105.C.0.10.2002.00.00.391010001">0</definedName>
    <definedName name="MOV.105.C.0.10.2002.00.00.DBB180">0</definedName>
    <definedName name="MOV.105.C.0.10.2002.00.00.DGAAPR20">0</definedName>
    <definedName name="MOV.105.C.0.11.2000.00.00.13202">-6910.57</definedName>
    <definedName name="MOV.105.C.0.11.2000.00.00.311010001">2371741.4</definedName>
    <definedName name="MOV.105.C.0.11.2000.00.00.311010002">1055617.55</definedName>
    <definedName name="MOV.105.C.0.11.2000.00.00.311010003">287050.61</definedName>
    <definedName name="MOV.105.C.0.11.2000.00.00.311020001">38202.78</definedName>
    <definedName name="MOV.105.C.0.11.2000.00.00.311020002">13874.44</definedName>
    <definedName name="MOV.105.C.0.11.2000.00.00.311020003">156848</definedName>
    <definedName name="MOV.105.C.0.11.2000.00.00.32101">-321296.41</definedName>
    <definedName name="MOV.105.C.0.11.2000.00.00.32102">-7625.77</definedName>
    <definedName name="MOV.105.C.0.11.2000.00.00.331010001">-1214962.18</definedName>
    <definedName name="MOV.105.C.0.11.2000.00.00.331010002">-732899.6</definedName>
    <definedName name="MOV.105.C.0.11.2000.00.00.331010003">-29708.8</definedName>
    <definedName name="MOV.105.C.0.11.2000.00.00.331010004">0</definedName>
    <definedName name="MOV.105.C.0.11.2000.00.00.33102">-2057.94</definedName>
    <definedName name="MOV.105.C.0.11.2000.00.00.341">-829047.11</definedName>
    <definedName name="MOV.105.C.0.11.2000.00.00.342">-4239306.39</definedName>
    <definedName name="MOV.105.C.0.11.2000.00.00.343">-126288.89</definedName>
    <definedName name="MOV.105.C.0.11.2000.00.00.344">-224740.36</definedName>
    <definedName name="MOV.105.C.0.11.2000.00.00.345">-288723.64</definedName>
    <definedName name="MOV.105.C.0.11.2000.00.00.34501">-103395.24</definedName>
    <definedName name="MOV.105.C.0.11.2000.00.00.34502">-185328.4</definedName>
    <definedName name="MOV.105.C.0.11.2000.00.00.346">-305910.32</definedName>
    <definedName name="MOV.105.C.0.11.2000.00.00.346080063">-19553.25</definedName>
    <definedName name="MOV.105.C.0.11.2000.00.00.346080064">0</definedName>
    <definedName name="MOV.105.C.0.11.2000.00.00.347010058">-97858.29</definedName>
    <definedName name="MOV.105.C.0.11.2000.00.00.34702">-68547.18</definedName>
    <definedName name="MOV.105.C.0.11.2000.00.00.34703">0</definedName>
    <definedName name="MOV.105.C.0.11.2000.00.00.34704">-7200</definedName>
    <definedName name="MOV.105.C.0.11.2000.00.00.34705">0</definedName>
    <definedName name="MOV.105.C.0.11.2000.00.00.347060001">0</definedName>
    <definedName name="MOV.105.C.0.11.2000.00.00.349">5017380.36</definedName>
    <definedName name="MOV.105.C.0.11.2000.00.00.351010001">61910.35</definedName>
    <definedName name="MOV.105.C.0.11.2000.00.00.351010002">0</definedName>
    <definedName name="MOV.105.C.0.11.2000.00.00.351010003">0</definedName>
    <definedName name="MOV.105.C.0.11.2000.00.00.351010004">-405.24</definedName>
    <definedName name="MOV.105.C.0.11.2000.00.00.351010005">-1870.29</definedName>
    <definedName name="MOV.105.C.0.11.2000.00.00.351010006">0</definedName>
    <definedName name="MOV.105.C.0.11.2000.00.00.351010007">0</definedName>
    <definedName name="MOV.105.C.0.11.2000.00.00.351010008">0</definedName>
    <definedName name="MOV.105.C.0.11.2000.00.00.352010001">-538090.19</definedName>
    <definedName name="MOV.105.C.0.11.2000.00.00.361010002">432.6</definedName>
    <definedName name="MOV.105.C.0.11.2000.00.00.361020001">-91559.84</definedName>
    <definedName name="MOV.105.C.0.11.2000.00.00.361020002">-63432.53</definedName>
    <definedName name="MOV.105.C.0.11.2000.00.00.361020003">0</definedName>
    <definedName name="MOV.105.C.0.11.2000.00.00.37102">0</definedName>
    <definedName name="MOV.105.C.0.11.2000.00.00.371030001">0</definedName>
    <definedName name="MOV.105.C.0.11.2000.00.00.371030002">0</definedName>
    <definedName name="MOV.105.C.0.11.2000.00.00.381010001">17488.89</definedName>
    <definedName name="MOV.105.C.0.11.2000.00.00.381020001">48580.26</definedName>
    <definedName name="MOV.105.C.0.11.2000.00.00.391010001">0</definedName>
    <definedName name="MOV.105.C.0.11.2000.00.00.DBB180">-128251.89</definedName>
    <definedName name="MOV.105.C.0.11.2000.00.00.DGAAPR17">-62999.93</definedName>
    <definedName name="MOV.105.C.0.11.2000.00.00.DGAAPR20">-5848.16</definedName>
    <definedName name="MOV.105.C.0.11.2001.00.00.13202">-13216.12</definedName>
    <definedName name="MOV.105.C.0.11.2001.00.00.241010001">5000000</definedName>
    <definedName name="MOV.105.C.0.11.2001.00.00.311010001">2776263.4</definedName>
    <definedName name="MOV.105.C.0.11.2001.00.00.311010002">1177237.7</definedName>
    <definedName name="MOV.105.C.0.11.2001.00.00.311010003">292759.55</definedName>
    <definedName name="MOV.105.C.0.11.2001.00.00.311020001">12930.05</definedName>
    <definedName name="MOV.105.C.0.11.2001.00.00.311020002">15597.17</definedName>
    <definedName name="MOV.105.C.0.11.2001.00.00.311020003">181914.46</definedName>
    <definedName name="MOV.105.C.0.11.2001.00.00.32101">-352663.56</definedName>
    <definedName name="MOV.105.C.0.11.2001.00.00.32102">-5466.79</definedName>
    <definedName name="MOV.105.C.0.11.2001.00.00.331010001">-1146111.38</definedName>
    <definedName name="MOV.105.C.0.11.2001.00.00.331010002">-451649.74</definedName>
    <definedName name="MOV.105.C.0.11.2001.00.00.331010003">-29708.8</definedName>
    <definedName name="MOV.105.C.0.11.2001.00.00.331010004">0</definedName>
    <definedName name="MOV.105.C.0.11.2001.00.00.33102">-2057.94</definedName>
    <definedName name="MOV.105.C.0.11.2001.00.00.341">-872905.54</definedName>
    <definedName name="MOV.105.C.0.11.2001.00.00.342">-2496166.61</definedName>
    <definedName name="MOV.105.C.0.11.2001.00.00.343">-24366.93</definedName>
    <definedName name="MOV.105.C.0.11.2001.00.00.344">-418176.72</definedName>
    <definedName name="MOV.105.C.0.11.2001.00.00.345">0</definedName>
    <definedName name="MOV.105.C.0.11.2001.00.00.34501">-90503.93</definedName>
    <definedName name="MOV.105.C.0.11.2001.00.00.34502">-236498.8</definedName>
    <definedName name="MOV.105.C.0.11.2001.00.00.346">-314270.79</definedName>
    <definedName name="MOV.105.C.0.11.2001.00.00.346080063">-21606.55</definedName>
    <definedName name="MOV.105.C.0.11.2001.00.00.346080064">0</definedName>
    <definedName name="MOV.105.C.0.11.2001.00.00.347010058">-97858.29</definedName>
    <definedName name="MOV.105.C.0.11.2001.00.00.34702">-79070.02</definedName>
    <definedName name="MOV.105.C.0.11.2001.00.00.34703">0</definedName>
    <definedName name="MOV.105.C.0.11.2001.00.00.34704">-5000</definedName>
    <definedName name="MOV.105.C.0.11.2001.00.00.34705">84811.46</definedName>
    <definedName name="MOV.105.C.0.11.2001.00.00.347060001">0</definedName>
    <definedName name="MOV.105.C.0.11.2001.00.00.349">3309479.12</definedName>
    <definedName name="MOV.105.C.0.11.2001.00.00.351010001">0</definedName>
    <definedName name="MOV.105.C.0.11.2001.00.00.351010002">0</definedName>
    <definedName name="MOV.105.C.0.11.2001.00.00.351010003">0</definedName>
    <definedName name="MOV.105.C.0.11.2001.00.00.351010004">-691.25</definedName>
    <definedName name="MOV.105.C.0.11.2001.00.00.351010005">-3190.39</definedName>
    <definedName name="MOV.105.C.0.11.2001.00.00.351010006">89247.35</definedName>
    <definedName name="MOV.105.C.0.11.2001.00.00.351010007">17098.87</definedName>
    <definedName name="MOV.105.C.0.11.2001.00.00.351010008">0</definedName>
    <definedName name="MOV.105.C.0.11.2001.00.00.352010001">-686420.16</definedName>
    <definedName name="MOV.105.C.0.11.2001.00.00.361010002">-1525.22</definedName>
    <definedName name="MOV.105.C.0.11.2001.00.00.361020001">-112386.59</definedName>
    <definedName name="MOV.105.C.0.11.2001.00.00.361020002">18381.22</definedName>
    <definedName name="MOV.105.C.0.11.2001.00.00.361020003">0</definedName>
    <definedName name="MOV.105.C.0.11.2001.00.00.37102">0</definedName>
    <definedName name="MOV.105.C.0.11.2001.00.00.371030001">0</definedName>
    <definedName name="MOV.105.C.0.11.2001.00.00.371030002">0</definedName>
    <definedName name="MOV.105.C.0.11.2001.00.00.381010001">-48135</definedName>
    <definedName name="MOV.105.C.0.11.2001.00.00.381020001">-133708.32</definedName>
    <definedName name="MOV.105.C.0.11.2001.00.00.391010001">0</definedName>
    <definedName name="MOV.105.C.0.11.2001.00.00.DBB180">352989.96</definedName>
    <definedName name="MOV.105.C.0.11.2001.00.00.DGAAPR17">0</definedName>
    <definedName name="MOV.105.C.0.11.2001.00.00.DGAAPR20">-981.5</definedName>
    <definedName name="MOV.105.C.0.11.2002.00.00.311010001">0</definedName>
    <definedName name="MOV.105.C.0.11.2002.00.00.311010002">0</definedName>
    <definedName name="MOV.105.C.0.11.2002.00.00.311010003">0</definedName>
    <definedName name="MOV.105.C.0.11.2002.00.00.311020001">0</definedName>
    <definedName name="MOV.105.C.0.11.2002.00.00.311020002">0</definedName>
    <definedName name="MOV.105.C.0.11.2002.00.00.311020003">0</definedName>
    <definedName name="MOV.105.C.0.11.2002.00.00.32101">0</definedName>
    <definedName name="MOV.105.C.0.11.2002.00.00.32102">0</definedName>
    <definedName name="MOV.105.C.0.11.2002.00.00.331010001">0</definedName>
    <definedName name="MOV.105.C.0.11.2002.00.00.331010002">0</definedName>
    <definedName name="MOV.105.C.0.11.2002.00.00.331010003">0</definedName>
    <definedName name="MOV.105.C.0.11.2002.00.00.331010004">0</definedName>
    <definedName name="MOV.105.C.0.11.2002.00.00.33102">0</definedName>
    <definedName name="MOV.105.C.0.11.2002.00.00.341">0</definedName>
    <definedName name="MOV.105.C.0.11.2002.00.00.342">0</definedName>
    <definedName name="MOV.105.C.0.11.2002.00.00.343">0</definedName>
    <definedName name="MOV.105.C.0.11.2002.00.00.344">0</definedName>
    <definedName name="MOV.105.C.0.11.2002.00.00.34501">0</definedName>
    <definedName name="MOV.105.C.0.11.2002.00.00.34502">0</definedName>
    <definedName name="MOV.105.C.0.11.2002.00.00.346">0</definedName>
    <definedName name="MOV.105.C.0.11.2002.00.00.346080063">0</definedName>
    <definedName name="MOV.105.C.0.11.2002.00.00.347010058">0</definedName>
    <definedName name="MOV.105.C.0.11.2002.00.00.34702">0</definedName>
    <definedName name="MOV.105.C.0.11.2002.00.00.34703">0</definedName>
    <definedName name="MOV.105.C.0.11.2002.00.00.34704">0</definedName>
    <definedName name="MOV.105.C.0.11.2002.00.00.34705">0</definedName>
    <definedName name="MOV.105.C.0.11.2002.00.00.349">0</definedName>
    <definedName name="MOV.105.C.0.11.2002.00.00.351010001">0</definedName>
    <definedName name="MOV.105.C.0.11.2002.00.00.351010002">0</definedName>
    <definedName name="MOV.105.C.0.11.2002.00.00.351010003">0</definedName>
    <definedName name="MOV.105.C.0.11.2002.00.00.351010004">0</definedName>
    <definedName name="MOV.105.C.0.11.2002.00.00.351010005">0</definedName>
    <definedName name="MOV.105.C.0.11.2002.00.00.351010006">0</definedName>
    <definedName name="MOV.105.C.0.11.2002.00.00.351010007">0</definedName>
    <definedName name="MOV.105.C.0.11.2002.00.00.351010008">0</definedName>
    <definedName name="MOV.105.C.0.11.2002.00.00.352010001">0</definedName>
    <definedName name="MOV.105.C.0.11.2002.00.00.361010002">0</definedName>
    <definedName name="MOV.105.C.0.11.2002.00.00.361020001">0</definedName>
    <definedName name="MOV.105.C.0.11.2002.00.00.361020002">0</definedName>
    <definedName name="MOV.105.C.0.11.2002.00.00.37102">0</definedName>
    <definedName name="MOV.105.C.0.11.2002.00.00.371030001">0</definedName>
    <definedName name="MOV.105.C.0.11.2002.00.00.371030002">0</definedName>
    <definedName name="MOV.105.C.0.11.2002.00.00.381010001">0</definedName>
    <definedName name="MOV.105.C.0.11.2002.00.00.381020001">0</definedName>
    <definedName name="MOV.105.C.0.11.2002.00.00.391010001">0</definedName>
    <definedName name="MOV.105.C.0.11.2002.00.00.DBB180">0</definedName>
    <definedName name="MOV.105.C.0.11.2002.00.00.DGAAPR20">0</definedName>
    <definedName name="MOV.105.C.0.12.2000.00.00.13202">-6940.74</definedName>
    <definedName name="MOV.105.C.0.12.2000.00.00.311010001">2701190.35</definedName>
    <definedName name="MOV.105.C.0.12.2000.00.00.311010002">1089791.8</definedName>
    <definedName name="MOV.105.C.0.12.2000.00.00.311010003">286242.18</definedName>
    <definedName name="MOV.105.C.0.12.2000.00.00.311020001">35825.74</definedName>
    <definedName name="MOV.105.C.0.12.2000.00.00.311020002">15074.83</definedName>
    <definedName name="MOV.105.C.0.12.2000.00.00.311020003">72000</definedName>
    <definedName name="MOV.105.C.0.12.2000.00.00.32101">-352679.9</definedName>
    <definedName name="MOV.105.C.0.12.2000.00.00.32102">-4485.87</definedName>
    <definedName name="MOV.105.C.0.12.2000.00.00.331010001">-1195743.3</definedName>
    <definedName name="MOV.105.C.0.12.2000.00.00.331010002">-732999.6</definedName>
    <definedName name="MOV.105.C.0.12.2000.00.00.331010003">-29708.8</definedName>
    <definedName name="MOV.105.C.0.12.2000.00.00.331010004">0</definedName>
    <definedName name="MOV.105.C.0.12.2000.00.00.33102">-2057.94</definedName>
    <definedName name="MOV.105.C.0.12.2000.00.00.341">-786854.91</definedName>
    <definedName name="MOV.105.C.0.12.2000.00.00.342">-2708329.55</definedName>
    <definedName name="MOV.105.C.0.12.2000.00.00.343">-154309</definedName>
    <definedName name="MOV.105.C.0.12.2000.00.00.344">-276401.11</definedName>
    <definedName name="MOV.105.C.0.12.2000.00.00.345">-297413.91</definedName>
    <definedName name="MOV.105.C.0.12.2000.00.00.34501">-112085.51</definedName>
    <definedName name="MOV.105.C.0.12.2000.00.00.34502">-185328.4</definedName>
    <definedName name="MOV.105.C.0.12.2000.00.00.346">-371772.74</definedName>
    <definedName name="MOV.105.C.0.12.2000.00.00.346080063">-33489.13</definedName>
    <definedName name="MOV.105.C.0.12.2000.00.00.346080064">0</definedName>
    <definedName name="MOV.105.C.0.12.2000.00.00.347010058">-97858.29</definedName>
    <definedName name="MOV.105.C.0.12.2000.00.00.34702">-75774.64</definedName>
    <definedName name="MOV.105.C.0.12.2000.00.00.34703">-642197.3</definedName>
    <definedName name="MOV.105.C.0.12.2000.00.00.34704">-7200</definedName>
    <definedName name="MOV.105.C.0.12.2000.00.00.34705">904977.23</definedName>
    <definedName name="MOV.105.C.0.12.2000.00.00.347060001">0</definedName>
    <definedName name="MOV.105.C.0.12.2000.00.00.349">3409367.62</definedName>
    <definedName name="MOV.105.C.0.12.2000.00.00.351010001">62741.48</definedName>
    <definedName name="MOV.105.C.0.12.2000.00.00.351010002">0</definedName>
    <definedName name="MOV.105.C.0.12.2000.00.00.351010003">0</definedName>
    <definedName name="MOV.105.C.0.12.2000.00.00.351010004">-407.82</definedName>
    <definedName name="MOV.105.C.0.12.2000.00.00.351010005">-1882.24</definedName>
    <definedName name="MOV.105.C.0.12.2000.00.00.351010006">0</definedName>
    <definedName name="MOV.105.C.0.12.2000.00.00.351010007">0</definedName>
    <definedName name="MOV.105.C.0.12.2000.00.00.351010008">0</definedName>
    <definedName name="MOV.105.C.0.12.2000.00.00.352010001">-601863.68</definedName>
    <definedName name="MOV.105.C.0.12.2000.00.00.361010002">-35.9</definedName>
    <definedName name="MOV.105.C.0.12.2000.00.00.361020001">-109424.94</definedName>
    <definedName name="MOV.105.C.0.12.2000.00.00.361020002">4332.94</definedName>
    <definedName name="MOV.105.C.0.12.2000.00.00.361020003">0</definedName>
    <definedName name="MOV.105.C.0.12.2000.00.00.37102">0</definedName>
    <definedName name="MOV.105.C.0.12.2000.00.00.371030001">0</definedName>
    <definedName name="MOV.105.C.0.12.2000.00.00.371030002">0</definedName>
    <definedName name="MOV.105.C.0.12.2000.00.00.381010001">-11720.24</definedName>
    <definedName name="MOV.105.C.0.12.2000.00.00.381020001">-32556.24</definedName>
    <definedName name="MOV.105.C.0.12.2000.00.00.391010001">-1050</definedName>
    <definedName name="MOV.105.C.0.12.2000.00.00.DBB180">85948.46</definedName>
    <definedName name="MOV.105.C.0.12.2000.00.00.DGAAPR17">4297.04</definedName>
    <definedName name="MOV.105.C.0.12.2000.00.00.DGAAPR20">-867.79</definedName>
    <definedName name="MOV.105.C.0.12.2001.00.00.13202">-15665.56</definedName>
    <definedName name="MOV.105.C.0.12.2001.00.00.311010001">2989992.8</definedName>
    <definedName name="MOV.105.C.0.12.2001.00.00.311010002">1154554</definedName>
    <definedName name="MOV.105.C.0.12.2001.00.00.311010003">291044.67</definedName>
    <definedName name="MOV.105.C.0.12.2001.00.00.311020001">13680.05</definedName>
    <definedName name="MOV.105.C.0.12.2001.00.00.311020002">16499.4</definedName>
    <definedName name="MOV.105.C.0.12.2001.00.00.311020003">121974.55</definedName>
    <definedName name="MOV.105.C.0.12.2001.00.00.32101">-369126.42</definedName>
    <definedName name="MOV.105.C.0.12.2001.00.00.32102">-7767.94</definedName>
    <definedName name="MOV.105.C.0.12.2001.00.00.331010001">-1342521.85</definedName>
    <definedName name="MOV.105.C.0.12.2001.00.00.331010002">-463228.16</definedName>
    <definedName name="MOV.105.C.0.12.2001.00.00.331010003">-29708.8</definedName>
    <definedName name="MOV.105.C.0.12.2001.00.00.331010004">0</definedName>
    <definedName name="MOV.105.C.0.12.2001.00.00.33102">-2057.94</definedName>
    <definedName name="MOV.105.C.0.12.2001.00.00.341">-865553.68</definedName>
    <definedName name="MOV.105.C.0.12.2001.00.00.342">-1999505.83</definedName>
    <definedName name="MOV.105.C.0.12.2001.00.00.343">-38948.65</definedName>
    <definedName name="MOV.105.C.0.12.2001.00.00.344">-305730.73</definedName>
    <definedName name="MOV.105.C.0.12.2001.00.00.345">0</definedName>
    <definedName name="MOV.105.C.0.12.2001.00.00.34501">-88713.48</definedName>
    <definedName name="MOV.105.C.0.12.2001.00.00.34502">-198121</definedName>
    <definedName name="MOV.105.C.0.12.2001.00.00.346">-439824.01</definedName>
    <definedName name="MOV.105.C.0.12.2001.00.00.346080063">-24329.17</definedName>
    <definedName name="MOV.105.C.0.12.2001.00.00.346080064">0</definedName>
    <definedName name="MOV.105.C.0.12.2001.00.00.347010058">-97858.29</definedName>
    <definedName name="MOV.105.C.0.12.2001.00.00.34702">-82890.89</definedName>
    <definedName name="MOV.105.C.0.12.2001.00.00.34703">0</definedName>
    <definedName name="MOV.105.C.0.12.2001.00.00.34704">-5000</definedName>
    <definedName name="MOV.105.C.0.12.2001.00.00.34705">0</definedName>
    <definedName name="MOV.105.C.0.12.2001.00.00.347060001">0</definedName>
    <definedName name="MOV.105.C.0.12.2001.00.00.349">2440620.82</definedName>
    <definedName name="MOV.105.C.0.12.2001.00.00.351010001">0</definedName>
    <definedName name="MOV.105.C.0.12.2001.00.00.351010002">0</definedName>
    <definedName name="MOV.105.C.0.12.2001.00.00.351010003">0</definedName>
    <definedName name="MOV.105.C.0.12.2001.00.00.351010004">-565.69</definedName>
    <definedName name="MOV.105.C.0.12.2001.00.00.351010005">-2610.87</definedName>
    <definedName name="MOV.105.C.0.12.2001.00.00.351010006">57959.78</definedName>
    <definedName name="MOV.105.C.0.12.2001.00.00.351010007">21018.91</definedName>
    <definedName name="MOV.105.C.0.12.2001.00.00.351010008">0</definedName>
    <definedName name="MOV.105.C.0.12.2001.00.00.352010001">-709227.83</definedName>
    <definedName name="MOV.105.C.0.12.2001.00.00.361010002">-1780.85</definedName>
    <definedName name="MOV.105.C.0.12.2001.00.00.361020001">-114497.47</definedName>
    <definedName name="MOV.105.C.0.12.2001.00.00.361020002">21461.93</definedName>
    <definedName name="MOV.105.C.0.12.2001.00.00.361020003">0</definedName>
    <definedName name="MOV.105.C.0.12.2001.00.00.37102">0</definedName>
    <definedName name="MOV.105.C.0.12.2001.00.00.371030001">0</definedName>
    <definedName name="MOV.105.C.0.12.2001.00.00.371030002">0</definedName>
    <definedName name="MOV.105.C.0.12.2001.00.00.381010001">4873.49</definedName>
    <definedName name="MOV.105.C.0.12.2001.00.00.381020001">13537.48</definedName>
    <definedName name="MOV.105.C.0.12.2001.00.00.391010001">0</definedName>
    <definedName name="MOV.105.C.0.12.2001.00.00.DBB180">-35738.94</definedName>
    <definedName name="MOV.105.C.0.12.2001.00.00.DGAAPR17">0</definedName>
    <definedName name="MOV.105.C.0.12.2001.00.00.DGAAPR20">-2050.88</definedName>
    <definedName name="MOV.105.C.0.12.2002.00.00.311010001">0</definedName>
    <definedName name="MOV.105.C.0.12.2002.00.00.311010002">0</definedName>
    <definedName name="MOV.105.C.0.12.2002.00.00.311010003">0</definedName>
    <definedName name="MOV.105.C.0.12.2002.00.00.311020001">0</definedName>
    <definedName name="MOV.105.C.0.12.2002.00.00.311020002">0</definedName>
    <definedName name="MOV.105.C.0.12.2002.00.00.311020003">0</definedName>
    <definedName name="MOV.105.C.0.12.2002.00.00.32101">0</definedName>
    <definedName name="MOV.105.C.0.12.2002.00.00.32102">0</definedName>
    <definedName name="MOV.105.C.0.12.2002.00.00.331010001">0</definedName>
    <definedName name="MOV.105.C.0.12.2002.00.00.331010002">0</definedName>
    <definedName name="MOV.105.C.0.12.2002.00.00.331010003">0</definedName>
    <definedName name="MOV.105.C.0.12.2002.00.00.331010004">0</definedName>
    <definedName name="MOV.105.C.0.12.2002.00.00.33102">0</definedName>
    <definedName name="MOV.105.C.0.12.2002.00.00.341">0</definedName>
    <definedName name="MOV.105.C.0.12.2002.00.00.342">0</definedName>
    <definedName name="MOV.105.C.0.12.2002.00.00.343">0</definedName>
    <definedName name="MOV.105.C.0.12.2002.00.00.344">0</definedName>
    <definedName name="MOV.105.C.0.12.2002.00.00.34501">0</definedName>
    <definedName name="MOV.105.C.0.12.2002.00.00.34502">0</definedName>
    <definedName name="MOV.105.C.0.12.2002.00.00.346">0</definedName>
    <definedName name="MOV.105.C.0.12.2002.00.00.346080063">0</definedName>
    <definedName name="MOV.105.C.0.12.2002.00.00.347010058">0</definedName>
    <definedName name="MOV.105.C.0.12.2002.00.00.34702">0</definedName>
    <definedName name="MOV.105.C.0.12.2002.00.00.34703">0</definedName>
    <definedName name="MOV.105.C.0.12.2002.00.00.34704">0</definedName>
    <definedName name="MOV.105.C.0.12.2002.00.00.34705">0</definedName>
    <definedName name="MOV.105.C.0.12.2002.00.00.349">0</definedName>
    <definedName name="MOV.105.C.0.12.2002.00.00.351010001">0</definedName>
    <definedName name="MOV.105.C.0.12.2002.00.00.351010002">0</definedName>
    <definedName name="MOV.105.C.0.12.2002.00.00.351010003">0</definedName>
    <definedName name="MOV.105.C.0.12.2002.00.00.351010004">0</definedName>
    <definedName name="MOV.105.C.0.12.2002.00.00.351010005">0</definedName>
    <definedName name="MOV.105.C.0.12.2002.00.00.351010006">0</definedName>
    <definedName name="MOV.105.C.0.12.2002.00.00.351010007">0</definedName>
    <definedName name="MOV.105.C.0.12.2002.00.00.351010008">0</definedName>
    <definedName name="MOV.105.C.0.12.2002.00.00.352010001">0</definedName>
    <definedName name="MOV.105.C.0.12.2002.00.00.361010002">0</definedName>
    <definedName name="MOV.105.C.0.12.2002.00.00.361020001">0</definedName>
    <definedName name="MOV.105.C.0.12.2002.00.00.361020002">0</definedName>
    <definedName name="MOV.105.C.0.12.2002.00.00.37102">0</definedName>
    <definedName name="MOV.105.C.0.12.2002.00.00.371030001">0</definedName>
    <definedName name="MOV.105.C.0.12.2002.00.00.371030002">0</definedName>
    <definedName name="MOV.105.C.0.12.2002.00.00.381010001">0</definedName>
    <definedName name="MOV.105.C.0.12.2002.00.00.381020001">0</definedName>
    <definedName name="MOV.105.C.0.12.2002.00.00.391010001">0</definedName>
    <definedName name="MOV.105.C.0.12.2002.00.00.DBB180">0</definedName>
    <definedName name="MOV.105.C.0.12.2002.00.00.DGAAPR20">0</definedName>
    <definedName name="MOV.105.O.0.01.2002.00.00.34706">-16446.96</definedName>
    <definedName name="MOV.105.O.0.01.2002.00.00.381010002">0</definedName>
    <definedName name="MOV.105.O.0.01.2002.00.00.381020002">0</definedName>
    <definedName name="MOV.105.O.0.02.2002.00.00.34706">-16035.5</definedName>
    <definedName name="MOV.105.O.0.02.2002.00.00.381010002">-106807.19</definedName>
    <definedName name="MOV.105.O.0.02.2002.00.00.381020002">-292686.63</definedName>
    <definedName name="MOV.105.O.0.03.2002.00.00.34706">-17693.16</definedName>
    <definedName name="MOV.105.O.0.03.2002.00.00.381010002">-67527.44</definedName>
    <definedName name="MOV.105.O.0.03.2002.00.00.381020002">-185576.21</definedName>
    <definedName name="MOV.105.O.0.04.2002.00.00.34706">0</definedName>
    <definedName name="MOV.105.O.0.04.2002.00.00.381010002">0</definedName>
    <definedName name="MOV.105.O.0.04.2002.00.00.381020002">0</definedName>
    <definedName name="MOV.105.O.0.05.2002.00.00.34706">0</definedName>
    <definedName name="MOV.105.O.0.05.2002.00.00.381010002">0</definedName>
    <definedName name="MOV.105.O.0.05.2002.00.00.381020002">0</definedName>
    <definedName name="MOV.105.O.0.06.2002.00.00.311010001">2884820</definedName>
    <definedName name="MOV.105.O.0.06.2002.00.00.311010002">1278473</definedName>
    <definedName name="MOV.105.O.0.06.2002.00.00.311010003">289653.7</definedName>
    <definedName name="MOV.105.O.0.06.2002.00.00.311020001">19217.28</definedName>
    <definedName name="MOV.105.O.0.06.2002.00.00.311020002">30799.4</definedName>
    <definedName name="MOV.105.O.0.06.2002.00.00.311020003">168621.04</definedName>
    <definedName name="MOV.105.O.0.06.2002.00.00.32101">-370696.85</definedName>
    <definedName name="MOV.105.O.0.06.2002.00.00.32102">-7980.28</definedName>
    <definedName name="MOV.105.O.0.06.2002.00.00.331010001">-1291597.86</definedName>
    <definedName name="MOV.105.O.0.06.2002.00.00.331010002">-438315.45</definedName>
    <definedName name="MOV.105.O.0.06.2002.00.00.331010003">-29708.8</definedName>
    <definedName name="MOV.105.O.0.06.2002.00.00.331010004">0</definedName>
    <definedName name="MOV.105.O.0.06.2002.00.00.33102">-2512.06</definedName>
    <definedName name="MOV.105.O.0.06.2002.00.00.34501">-89216.54</definedName>
    <definedName name="MOV.105.O.0.06.2002.00.00.34502">-198121</definedName>
    <definedName name="MOV.105.O.0.06.2002.00.00.34706">0</definedName>
    <definedName name="MOV.105.O.0.06.2002.00.00.381010002">0</definedName>
    <definedName name="MOV.105.O.0.06.2002.00.00.381020002">0</definedName>
    <definedName name="MOV.105.O.0.06.2002.00.00.391010001">0</definedName>
    <definedName name="MOV.105.O.0.07.2002.00.00.311010001">3215494</definedName>
    <definedName name="MOV.105.O.0.07.2002.00.00.311010002">1391336</definedName>
    <definedName name="MOV.105.O.0.07.2002.00.00.311010003">286516.32</definedName>
    <definedName name="MOV.105.O.0.07.2002.00.00.311020001">18834.25</definedName>
    <definedName name="MOV.105.O.0.07.2002.00.00.311020002">30799.4</definedName>
    <definedName name="MOV.105.O.0.07.2002.00.00.311020003">164785.72</definedName>
    <definedName name="MOV.105.O.0.07.2002.00.00.32101">-408948.64</definedName>
    <definedName name="MOV.105.O.0.07.2002.00.00.32102">-7826.31</definedName>
    <definedName name="MOV.105.O.0.07.2002.00.00.331010001">-1329578.54</definedName>
    <definedName name="MOV.105.O.0.07.2002.00.00.331010002">-438315.44</definedName>
    <definedName name="MOV.105.O.0.07.2002.00.00.331010003">-19708.8</definedName>
    <definedName name="MOV.105.O.0.07.2002.00.00.331010004">0</definedName>
    <definedName name="MOV.105.O.0.07.2002.00.00.33102">-2057.94</definedName>
    <definedName name="MOV.105.O.0.07.2002.00.00.34501">-247411.09</definedName>
    <definedName name="MOV.105.O.0.07.2002.00.00.34502">-198121</definedName>
    <definedName name="MOV.105.O.0.07.2002.00.00.34706">0</definedName>
    <definedName name="MOV.105.O.0.07.2002.00.00.381010002">0</definedName>
    <definedName name="MOV.105.O.0.07.2002.00.00.381020002">0</definedName>
    <definedName name="MOV.105.O.0.07.2002.00.00.391010001">0</definedName>
    <definedName name="MOV.105.O.0.08.2002.00.00.34706">0</definedName>
    <definedName name="MOV.105.O.0.08.2002.00.00.381010002">0</definedName>
    <definedName name="MOV.105.O.0.08.2002.00.00.381020002">0</definedName>
    <definedName name="MOV.105.O.0.09.2002.00.00.34706">0</definedName>
    <definedName name="MOV.105.O.0.09.2002.00.00.381010002">0</definedName>
    <definedName name="MOV.105.O.0.09.2002.00.00.381020002">0</definedName>
    <definedName name="MOV.105.O.0.10.2002.00.00.34706">0</definedName>
    <definedName name="MOV.105.O.0.10.2002.00.00.381010002">0</definedName>
    <definedName name="MOV.105.O.0.10.2002.00.00.381020002">0</definedName>
    <definedName name="MOV.105.O.0.11.2002.00.00.34706">0</definedName>
    <definedName name="MOV.105.O.0.11.2002.00.00.381010002">0</definedName>
    <definedName name="MOV.105.O.0.11.2002.00.00.381020002">0</definedName>
    <definedName name="MOV.105.O.0.12.2002.00.00.34706">0</definedName>
    <definedName name="MOV.105.O.0.12.2002.00.00.381010002">0</definedName>
    <definedName name="MOV.105.O.0.12.2002.00.00.381020002">0</definedName>
    <definedName name="MSA.000.C.0.01.2002.00.00.DRR140">3000</definedName>
    <definedName name="MSA.000.C.1.00.0000.00.00.3.CG1_LK.CG2_K01.CG3_K019.CG4_LK019A">38636.99998707</definedName>
    <definedName name="MSA.104.C.0.01.2002.00.00.DRR140">3000</definedName>
    <definedName name="MSA.104.C.1.01.2002.00.00.DRR140">2999.9999711</definedName>
    <definedName name="MSA.104.O.0.01.2002.00.00.DRR140">3000</definedName>
    <definedName name="MU_D_PI" localSheetId="0">#REF!</definedName>
    <definedName name="MU_D_PI">#REF!</definedName>
    <definedName name="MU_D_PP" localSheetId="0">#REF!</definedName>
    <definedName name="MU_D_PP">#REF!</definedName>
    <definedName name="MU_T_PI" localSheetId="0">#REF!</definedName>
    <definedName name="MU_T_PI">#REF!</definedName>
    <definedName name="MU_T_PP" localSheetId="0">#REF!</definedName>
    <definedName name="MU_T_PP">#REF!</definedName>
    <definedName name="MUDAMES" localSheetId="0">#REF!</definedName>
    <definedName name="MUDAMES">#REF!</definedName>
    <definedName name="MUNU" localSheetId="0">#REF!</definedName>
    <definedName name="MUNU">#REF!</definedName>
    <definedName name="mutações_cmi" localSheetId="0">#REF!</definedName>
    <definedName name="mutações_cmi">#REF!</definedName>
    <definedName name="mutações_societário" localSheetId="0">#REF!</definedName>
    <definedName name="mutações_societário">#REF!</definedName>
    <definedName name="MUTPATR" localSheetId="0">#REF!</definedName>
    <definedName name="MUTPATR">#REF!</definedName>
    <definedName name="Mutuo" localSheetId="0">#REF!</definedName>
    <definedName name="Mutuo">#REF!</definedName>
    <definedName name="Mutuo2" localSheetId="0">#REF!</definedName>
    <definedName name="Mutuo2">#REF!</definedName>
    <definedName name="Mutuo2B" localSheetId="0">#REF!</definedName>
    <definedName name="Mutuo2B">#REF!</definedName>
    <definedName name="n" localSheetId="0" hidden="1">{#N/A,#N/A,FALSE,"Aging Summary";#N/A,#N/A,FALSE,"Ratio Analysis";#N/A,#N/A,FALSE,"Test 120 Day Accts";#N/A,#N/A,FALSE,"Tickmarks"}</definedName>
    <definedName name="n" hidden="1">{#N/A,#N/A,FALSE,"Aging Summary";#N/A,#N/A,FALSE,"Ratio Analysis";#N/A,#N/A,FALSE,"Test 120 Day Accts";#N/A,#N/A,FALSE,"Tickmarks"}</definedName>
    <definedName name="name">#REF!</definedName>
    <definedName name="Não_Dedutível" localSheetId="0">#REF!</definedName>
    <definedName name="Não_Dedutível">#REF!</definedName>
    <definedName name="NB" localSheetId="0" hidden="1">#REF!</definedName>
    <definedName name="NB" hidden="1">#REF!</definedName>
    <definedName name="network" localSheetId="0">#REF!</definedName>
    <definedName name="network">#REF!</definedName>
    <definedName name="NEW" localSheetId="0" hidden="1">{#N/A,#N/A,FALSE,"Aging Summary";#N/A,#N/A,FALSE,"Ratio Analysis";#N/A,#N/A,FALSE,"Test 120 Day Accts";#N/A,#N/A,FALSE,"Tickmarks"}</definedName>
    <definedName name="NEW" hidden="1">{#N/A,#N/A,FALSE,"Aging Summary";#N/A,#N/A,FALSE,"Ratio Analysis";#N/A,#N/A,FALSE,"Test 120 Day Accts";#N/A,#N/A,FALSE,"Tickmarks"}</definedName>
    <definedName name="NFNFN" localSheetId="0">#REF!</definedName>
    <definedName name="NFNFN">#REF!</definedName>
    <definedName name="nj">#REF!</definedName>
    <definedName name="nn" localSheetId="0">#REF!</definedName>
    <definedName name="nn">#REF!</definedName>
    <definedName name="NO" localSheetId="0">#REF!</definedName>
    <definedName name="NO">#REF!</definedName>
    <definedName name="Normal" localSheetId="0">#REF!</definedName>
    <definedName name="Normal">#REF!</definedName>
    <definedName name="NOTA" localSheetId="0">#REF!</definedName>
    <definedName name="NOTA">#REF!</definedName>
    <definedName name="NOV" localSheetId="0">#REF!</definedName>
    <definedName name="NOV">#REF!</definedName>
    <definedName name="NOVEMBRO" localSheetId="0">#REF!</definedName>
    <definedName name="NOVEMBRO">#REF!</definedName>
    <definedName name="Novo" localSheetId="0" hidden="1">{#N/A,#N/A,FALSE,"IR E CS 1997";#N/A,#N/A,FALSE,"PR ND";#N/A,#N/A,FALSE,"8191";#N/A,#N/A,FALSE,"8383";#N/A,#N/A,FALSE,"MP 1024";#N/A,#N/A,FALSE,"AD_EX_97";#N/A,#N/A,FALSE,"BD 97"}</definedName>
    <definedName name="Novo" hidden="1">{#N/A,#N/A,FALSE,"IR E CS 1997";#N/A,#N/A,FALSE,"PR ND";#N/A,#N/A,FALSE,"8191";#N/A,#N/A,FALSE,"8383";#N/A,#N/A,FALSE,"MP 1024";#N/A,#N/A,FALSE,"AD_EX_97";#N/A,#N/A,FALSE,"BD 97"}</definedName>
    <definedName name="novo_mundo" localSheetId="0">#REF!</definedName>
    <definedName name="novo_mundo">#REF!</definedName>
    <definedName name="NOVO1" localSheetId="0" hidden="1">{#N/A,#N/A,FALSE,"IR E CS 1997";#N/A,#N/A,FALSE,"PR ND";#N/A,#N/A,FALSE,"8191";#N/A,#N/A,FALSE,"8383";#N/A,#N/A,FALSE,"MP 1024";#N/A,#N/A,FALSE,"AD_EX_97";#N/A,#N/A,FALSE,"BD 97"}</definedName>
    <definedName name="NOVO1" hidden="1">{#N/A,#N/A,FALSE,"IR E CS 1997";#N/A,#N/A,FALSE,"PR ND";#N/A,#N/A,FALSE,"8191";#N/A,#N/A,FALSE,"8383";#N/A,#N/A,FALSE,"MP 1024";#N/A,#N/A,FALSE,"AD_EX_97";#N/A,#N/A,FALSE,"BD 97"}</definedName>
    <definedName name="Núm_Pagto">#REF!</definedName>
    <definedName name="Núm_Pgto_Por_Ano">#REF!</definedName>
    <definedName name="Número_de_Pagamentos" localSheetId="0">MATCH(0.01,Sal_Fin,-1)+1</definedName>
    <definedName name="Número_de_Pagamentos">MATCH(0.01,Sal_Fin,-1)+1</definedName>
    <definedName name="NumofGrpAccts" hidden="1">2</definedName>
    <definedName name="nvnvnvnv" localSheetId="0" hidden="1">{#N/A,#N/A,FALSE,"Aging Summary";#N/A,#N/A,FALSE,"Ratio Analysis";#N/A,#N/A,FALSE,"Test 120 Day Accts";#N/A,#N/A,FALSE,"Tickmarks"}</definedName>
    <definedName name="nvnvnvnv" hidden="1">{#N/A,#N/A,FALSE,"Aging Summary";#N/A,#N/A,FALSE,"Ratio Analysis";#N/A,#N/A,FALSE,"Test 120 Day Accts";#N/A,#N/A,FALSE,"Tickmarks"}</definedName>
    <definedName name="o">#REF!</definedName>
    <definedName name="OG">#REF!</definedName>
    <definedName name="ohnopb" localSheetId="0">#REF!,#REF!</definedName>
    <definedName name="ohnopb">#REF!,#REF!</definedName>
    <definedName name="oisf" localSheetId="0" hidden="1">#REF!</definedName>
    <definedName name="oisf" hidden="1">#REF!</definedName>
    <definedName name="oiuuij" localSheetId="0">#REF!</definedName>
    <definedName name="oiuuij">#REF!</definedName>
    <definedName name="OLEOS" localSheetId="0">#REF!</definedName>
    <definedName name="OLEOS">#REF!</definedName>
    <definedName name="oo" localSheetId="0" hidden="1">#REF!</definedName>
    <definedName name="oo" hidden="1">#REF!</definedName>
    <definedName name="OPCAO" localSheetId="0">#REF!</definedName>
    <definedName name="OPCAO">#REF!</definedName>
    <definedName name="OPERACOES" localSheetId="0">#REF!</definedName>
    <definedName name="OPERACOES">#REF!</definedName>
    <definedName name="OUCTASLP" localSheetId="0">#REF!</definedName>
    <definedName name="OUCTASLP">#REF!</definedName>
    <definedName name="OUT" localSheetId="0">#REF!</definedName>
    <definedName name="OUT">#REF!</definedName>
    <definedName name="outrad" localSheetId="0">#REF!</definedName>
    <definedName name="outrad">#REF!</definedName>
    <definedName name="OUTRAS" localSheetId="0">#REF!</definedName>
    <definedName name="OUTRAS">#REF!</definedName>
    <definedName name="outrasanex" localSheetId="0">#REF!</definedName>
    <definedName name="outrasanex">#REF!</definedName>
    <definedName name="OUTRASRECEBER" localSheetId="0">#REF!</definedName>
    <definedName name="OUTRASRECEBER">#REF!</definedName>
    <definedName name="outrcont" localSheetId="0">#REF!</definedName>
    <definedName name="outrcont">#REF!</definedName>
    <definedName name="outrctas" localSheetId="0">#REF!</definedName>
    <definedName name="outrctas">#REF!</definedName>
    <definedName name="Outros_ativos">#REF!</definedName>
    <definedName name="Outros_Créditos" localSheetId="0">#REF!</definedName>
    <definedName name="Outros_Créditos">#REF!</definedName>
    <definedName name="Outros_Impostos">#REF!</definedName>
    <definedName name="Outros_Passivos">#REF!</definedName>
    <definedName name="OUTROS11044" localSheetId="0">#REF!</definedName>
    <definedName name="OUTROS11044">#REF!</definedName>
    <definedName name="OUTROS2" localSheetId="0">#REF!</definedName>
    <definedName name="OUTROS2">#REF!</definedName>
    <definedName name="OUTROS3" localSheetId="0">#REF!</definedName>
    <definedName name="OUTROS3">#REF!</definedName>
    <definedName name="OUTROS4" localSheetId="0">#REF!</definedName>
    <definedName name="OUTROS4">#REF!</definedName>
    <definedName name="OUTROSCRED" localSheetId="0">#REF!</definedName>
    <definedName name="OUTROSCRED">#REF!</definedName>
    <definedName name="OUTROSIMOBIL" localSheetId="0">#REF!</definedName>
    <definedName name="OUTROSIMOBIL">#REF!</definedName>
    <definedName name="OutrosImpostos_Passivo">#REF!</definedName>
    <definedName name="OUTROSLP" localSheetId="0">#REF!</definedName>
    <definedName name="OUTROSLP">#REF!</definedName>
    <definedName name="OutrosResultados_Oper">#REF!</definedName>
    <definedName name="OUTUBRO" localSheetId="0">#REF!</definedName>
    <definedName name="OUTUBRO">#REF!</definedName>
    <definedName name="p">#REF!</definedName>
    <definedName name="Paper" localSheetId="0">#REF!</definedName>
    <definedName name="Paper">#REF!</definedName>
    <definedName name="parametro" localSheetId="0" hidden="1">{#N/A,#N/A,FALSE,"IR E CS 1997";#N/A,#N/A,FALSE,"PR ND";#N/A,#N/A,FALSE,"8191";#N/A,#N/A,FALSE,"8383";#N/A,#N/A,FALSE,"MP 1024";#N/A,#N/A,FALSE,"AD_EX_97";#N/A,#N/A,FALSE,"BD 97"}</definedName>
    <definedName name="parametro" hidden="1">{#N/A,#N/A,FALSE,"IR E CS 1997";#N/A,#N/A,FALSE,"PR ND";#N/A,#N/A,FALSE,"8191";#N/A,#N/A,FALSE,"8383";#N/A,#N/A,FALSE,"MP 1024";#N/A,#N/A,FALSE,"AD_EX_97";#N/A,#N/A,FALSE,"BD 97"}</definedName>
    <definedName name="paranapar" localSheetId="0">#REF!</definedName>
    <definedName name="paranapar">#REF!</definedName>
    <definedName name="paranetro" localSheetId="0" hidden="1">{#N/A,#N/A,TRUE,"BD 97";#N/A,#N/A,TRUE,"IR E CS 1997";#N/A,#N/A,TRUE,"CONTINGÊNCIAS";#N/A,#N/A,TRUE,"AD_EX_97";#N/A,#N/A,TRUE,"PR ND";#N/A,#N/A,TRUE,"8191";#N/A,#N/A,TRUE,"8383";#N/A,#N/A,TRUE,"MP 1024"}</definedName>
    <definedName name="paranetro" hidden="1">{#N/A,#N/A,TRUE,"BD 97";#N/A,#N/A,TRUE,"IR E CS 1997";#N/A,#N/A,TRUE,"CONTINGÊNCIAS";#N/A,#N/A,TRUE,"AD_EX_97";#N/A,#N/A,TRUE,"PR ND";#N/A,#N/A,TRUE,"8191";#N/A,#N/A,TRUE,"8383";#N/A,#N/A,TRUE,"MP 1024"}</definedName>
    <definedName name="PARC." localSheetId="0">#REF!</definedName>
    <definedName name="PARC.">#REF!</definedName>
    <definedName name="parcelamento" localSheetId="0">#REF!</definedName>
    <definedName name="parcelamento">#REF!</definedName>
    <definedName name="PARDO" localSheetId="0">#REF!</definedName>
    <definedName name="PARDO">#REF!</definedName>
    <definedName name="Parte1a." localSheetId="0" hidden="1">{"PARTE1",#N/A,FALSE,"Plan1"}</definedName>
    <definedName name="Parte1a." hidden="1">{"PARTE1",#N/A,FALSE,"Plan1"}</definedName>
    <definedName name="Parte2" localSheetId="0" hidden="1">{"PARTE1",#N/A,FALSE,"Plan1"}</definedName>
    <definedName name="Parte2" hidden="1">{"PARTE1",#N/A,FALSE,"Plan1"}</definedName>
    <definedName name="Partes_Desagregadas" localSheetId="0">#REF!</definedName>
    <definedName name="Partes_Desagregadas">#REF!</definedName>
    <definedName name="partesrelacionadas" localSheetId="0">#REF!</definedName>
    <definedName name="partesrelacionadas">#REF!</definedName>
    <definedName name="Partic_NãoControladores">#REF!</definedName>
    <definedName name="PASSIVO" localSheetId="0">#REF!</definedName>
    <definedName name="PASSIVO">#REF!</definedName>
    <definedName name="Payment_Needed">"Pagamento necessário"</definedName>
    <definedName name="PEDIDO_DEVOLUÇÃO_FINSOCIAL" localSheetId="0">#REF!</definedName>
    <definedName name="PEDIDO_DEVOLUÇÃO_FINSOCIAL">#REF!</definedName>
    <definedName name="penaljud." localSheetId="0">#REF!</definedName>
    <definedName name="penaljud.">#REF!</definedName>
    <definedName name="PER.00.0000">"março/2002"</definedName>
    <definedName name="PER.00.A100">"Setembro/2000"</definedName>
    <definedName name="PER.02.0000">"fevereiro/2002"</definedName>
    <definedName name="PER.03.0000">"março/2002"</definedName>
    <definedName name="PER.06.0000">"junho/2002"</definedName>
    <definedName name="PER.09.0000">"setembro/2002"</definedName>
    <definedName name="Percent_Threshold" localSheetId="0">#REF!</definedName>
    <definedName name="Percent_Threshold">#REF!</definedName>
    <definedName name="PERFURAR" localSheetId="0">#REF!</definedName>
    <definedName name="PERFURAR">#REF!</definedName>
    <definedName name="PERIODO">#N/A</definedName>
    <definedName name="Periods" localSheetId="0">#REF!</definedName>
    <definedName name="Periods">#REF!</definedName>
    <definedName name="PETES" localSheetId="0">#REF!</definedName>
    <definedName name="PETES">#REF!</definedName>
    <definedName name="pgnaorec">#REF!</definedName>
    <definedName name="PI_PF" localSheetId="0">#REF!</definedName>
    <definedName name="PI_PF">#REF!</definedName>
    <definedName name="PI_PP" localSheetId="0">#REF!</definedName>
    <definedName name="PI_PP">#REF!</definedName>
    <definedName name="PL_Dollar_Threshold" localSheetId="0">#REF!</definedName>
    <definedName name="PL_Dollar_Threshold">#REF!</definedName>
    <definedName name="PL_Percent_Threshold" localSheetId="0">#REF!</definedName>
    <definedName name="PL_Percent_Threshold">#REF!</definedName>
    <definedName name="PLAN001_1" localSheetId="0">#REF!</definedName>
    <definedName name="PLAN001_1">#REF!</definedName>
    <definedName name="PLAN002_2" localSheetId="0">#REF!</definedName>
    <definedName name="PLAN002_2">#REF!</definedName>
    <definedName name="PLAN003_3" localSheetId="0">#REF!</definedName>
    <definedName name="PLAN003_3">#REF!</definedName>
    <definedName name="PLAN004_4" localSheetId="0">#REF!</definedName>
    <definedName name="PLAN004_4">#REF!</definedName>
    <definedName name="PLAN005_5" localSheetId="0">#REF!</definedName>
    <definedName name="PLAN005_5">#REF!</definedName>
    <definedName name="PLAN006_6" localSheetId="0">#REF!</definedName>
    <definedName name="PLAN006_6">#REF!</definedName>
    <definedName name="PLAN007_7" localSheetId="0">#REF!</definedName>
    <definedName name="PLAN007_7">#REF!</definedName>
    <definedName name="PLAN008_8" localSheetId="0">#REF!</definedName>
    <definedName name="PLAN008_8">#REF!</definedName>
    <definedName name="PLAN009_9" localSheetId="0">#REF!</definedName>
    <definedName name="PLAN009_9">#REF!</definedName>
    <definedName name="PLAN010_10" localSheetId="0">#REF!</definedName>
    <definedName name="PLAN010_10">#REF!</definedName>
    <definedName name="PLAN011_11" localSheetId="0">#REF!</definedName>
    <definedName name="PLAN011_11">#REF!</definedName>
    <definedName name="PLAN012_12" localSheetId="0">#REF!</definedName>
    <definedName name="PLAN012_12">#REF!</definedName>
    <definedName name="PLAN013_13" localSheetId="0">#REF!</definedName>
    <definedName name="PLAN013_13">#REF!</definedName>
    <definedName name="PLAN014_14" localSheetId="0">#REF!</definedName>
    <definedName name="PLAN014_14">#REF!</definedName>
    <definedName name="PLAN015_15" localSheetId="0">#REF!</definedName>
    <definedName name="PLAN015_15">#REF!</definedName>
    <definedName name="PLAN016_16" localSheetId="0">#REF!</definedName>
    <definedName name="PLAN016_16">#REF!</definedName>
    <definedName name="PLAN017_17" localSheetId="0">#REF!</definedName>
    <definedName name="PLAN017_17">#REF!</definedName>
    <definedName name="PLAN018_18" localSheetId="0">#REF!</definedName>
    <definedName name="PLAN018_18">#REF!</definedName>
    <definedName name="PLAN019_19" localSheetId="0">#REF!</definedName>
    <definedName name="PLAN019_19">#REF!</definedName>
    <definedName name="PLAN020_20" localSheetId="0">#REF!</definedName>
    <definedName name="PLAN020_20">#REF!</definedName>
    <definedName name="PLAN021_21" localSheetId="0">#REF!</definedName>
    <definedName name="PLAN021_21">#REF!</definedName>
    <definedName name="PLAN022_22" localSheetId="0">#REF!</definedName>
    <definedName name="PLAN022_22">#REF!</definedName>
    <definedName name="PLAN023_23" localSheetId="0">#REF!</definedName>
    <definedName name="PLAN023_23">#REF!</definedName>
    <definedName name="PLAN024_24" localSheetId="0">#REF!</definedName>
    <definedName name="PLAN024_24">#REF!</definedName>
    <definedName name="PLAN025_25" localSheetId="0">#REF!</definedName>
    <definedName name="PLAN025_25">#REF!</definedName>
    <definedName name="PLAN026_26" localSheetId="0">#REF!</definedName>
    <definedName name="PLAN026_26">#REF!</definedName>
    <definedName name="PLAN027_27" localSheetId="0">#REF!</definedName>
    <definedName name="PLAN027_27">#REF!</definedName>
    <definedName name="PLAN028_28" localSheetId="0">#REF!</definedName>
    <definedName name="PLAN028_28">#REF!</definedName>
    <definedName name="PLAN029_29" localSheetId="0">#REF!</definedName>
    <definedName name="PLAN029_29">#REF!</definedName>
    <definedName name="PLAN030_30" localSheetId="0">#REF!</definedName>
    <definedName name="PLAN030_30">#REF!</definedName>
    <definedName name="PLAN031_31" localSheetId="0">#REF!</definedName>
    <definedName name="PLAN031_31">#REF!</definedName>
    <definedName name="Planilha" localSheetId="0">#REF!</definedName>
    <definedName name="Planilha">#REF!</definedName>
    <definedName name="PLANILHA1" localSheetId="0">#REF!</definedName>
    <definedName name="PLANILHA1">#REF!</definedName>
    <definedName name="PLANILHA10" localSheetId="0">#REF!</definedName>
    <definedName name="PLANILHA10">#REF!</definedName>
    <definedName name="PLANILHA2" localSheetId="0">#REF!</definedName>
    <definedName name="PLANILHA2">#REF!</definedName>
    <definedName name="PLANILHA3" localSheetId="0">#REF!</definedName>
    <definedName name="PLANILHA3">#REF!</definedName>
    <definedName name="PLANILHA4" localSheetId="0">#REF!</definedName>
    <definedName name="PLANILHA4">#REF!</definedName>
    <definedName name="PLANILHA5" localSheetId="0">#REF!</definedName>
    <definedName name="PLANILHA5">#REF!</definedName>
    <definedName name="PLANILHA6" localSheetId="0">#REF!</definedName>
    <definedName name="PLANILHA6">#REF!</definedName>
    <definedName name="PLANILHA8" localSheetId="0">#REF!</definedName>
    <definedName name="PLANILHA8">#REF!</definedName>
    <definedName name="PLANILHA9" localSheetId="0">#REF!</definedName>
    <definedName name="PLANILHA9">#REF!</definedName>
    <definedName name="PlanM" localSheetId="0">#REF!</definedName>
    <definedName name="PlanM">#REF!</definedName>
    <definedName name="PlanY" localSheetId="0">#REF!</definedName>
    <definedName name="PlanY">#REF!</definedName>
    <definedName name="plsauagr" localSheetId="0">#REF!</definedName>
    <definedName name="plsauagr">#REF!</definedName>
    <definedName name="PLSP">#REF!</definedName>
    <definedName name="PO" hidden="1">4</definedName>
    <definedName name="pp" localSheetId="0" hidden="1">#REF!</definedName>
    <definedName name="pp" hidden="1">#REF!</definedName>
    <definedName name="PP_PF" localSheetId="0">#REF!</definedName>
    <definedName name="PP_PF">#REF!</definedName>
    <definedName name="pppp">#REF!</definedName>
    <definedName name="prdespfix" localSheetId="0">#REF!</definedName>
    <definedName name="prdespfix">#REF!</definedName>
    <definedName name="Precisão_Monetária" localSheetId="0">#REF!</definedName>
    <definedName name="Precisão_Monetária">#REF!</definedName>
    <definedName name="pressões" localSheetId="0">#REF!</definedName>
    <definedName name="pressões">#REF!</definedName>
    <definedName name="PRIENC98" localSheetId="0">#REF!</definedName>
    <definedName name="PRIENC98">#REF!</definedName>
    <definedName name="prim_desemb" localSheetId="0">#REF!</definedName>
    <definedName name="prim_desemb">#REF!</definedName>
    <definedName name="prim_dezemb" localSheetId="0">#REF!</definedName>
    <definedName name="prim_dezemb">#REF!</definedName>
    <definedName name="PRIMEIRA" localSheetId="0">#REF!</definedName>
    <definedName name="PRIMEIRA">#REF!</definedName>
    <definedName name="principal" localSheetId="0">#REF!</definedName>
    <definedName name="principal">#REF!</definedName>
    <definedName name="PRINCIPAL98" localSheetId="0">#REF!</definedName>
    <definedName name="PRINCIPAL98">#REF!</definedName>
    <definedName name="PRINCIPAL99" localSheetId="0">#REF!</definedName>
    <definedName name="PRINCIPAL99">#REF!</definedName>
    <definedName name="PRINENC99" localSheetId="0">#REF!</definedName>
    <definedName name="PRINENC99">#REF!</definedName>
    <definedName name="PRINT_AR01" localSheetId="0">#REF!</definedName>
    <definedName name="PRINT_AR01">#REF!</definedName>
    <definedName name="PRINT_AR03" localSheetId="0">#REF!</definedName>
    <definedName name="PRINT_AR03">#REF!</definedName>
    <definedName name="PRINT_AR04" localSheetId="0">#REF!</definedName>
    <definedName name="PRINT_AR04">#REF!</definedName>
    <definedName name="PRINT_AR05" localSheetId="0">#REF!</definedName>
    <definedName name="PRINT_AR05">#REF!</definedName>
    <definedName name="PRINT_AR06" localSheetId="0">#REF!</definedName>
    <definedName name="PRINT_AR06">#REF!</definedName>
    <definedName name="PRINT_AR07" localSheetId="0">#REF!</definedName>
    <definedName name="PRINT_AR07">#REF!</definedName>
    <definedName name="PRINT_AR08" localSheetId="0">#REF!</definedName>
    <definedName name="PRINT_AR08">#REF!</definedName>
    <definedName name="PRINT_AR09" localSheetId="0">#REF!</definedName>
    <definedName name="PRINT_AR09">#REF!</definedName>
    <definedName name="PRINT_AR10" localSheetId="0">#REF!</definedName>
    <definedName name="PRINT_AR10">#REF!</definedName>
    <definedName name="PRINT_AR11" localSheetId="0">#REF!</definedName>
    <definedName name="PRINT_AR11">#REF!</definedName>
    <definedName name="PRINT_AR14" localSheetId="0">#REF!</definedName>
    <definedName name="PRINT_AR14">#REF!</definedName>
    <definedName name="Print_Area_MI" localSheetId="0">#REF!</definedName>
    <definedName name="Print_Area_MI">#REF!</definedName>
    <definedName name="Print_Area1" localSheetId="0">#REF!</definedName>
    <definedName name="Print_Area1">#REF!</definedName>
    <definedName name="PRINT_TITL01" localSheetId="0">#REF!</definedName>
    <definedName name="PRINT_TITL01">#REF!</definedName>
    <definedName name="Print_Titles_MI" localSheetId="0">#REF!</definedName>
    <definedName name="Print_Titles_MI">#REF!</definedName>
    <definedName name="priorCE" localSheetId="0">#REF!</definedName>
    <definedName name="priorCE">#REF!</definedName>
    <definedName name="Pro" localSheetId="0">#REF!</definedName>
    <definedName name="Pro">#REF!</definedName>
    <definedName name="PROC.CIVIL" localSheetId="0">#REF!</definedName>
    <definedName name="PROC.CIVIL">#REF!</definedName>
    <definedName name="Proc.trabalhistas" localSheetId="0">#REF!</definedName>
    <definedName name="Proc.trabalhistas">#REF!</definedName>
    <definedName name="PRODUCAO" localSheetId="0">#REF!</definedName>
    <definedName name="PRODUCAO">#REF!</definedName>
    <definedName name="produto" localSheetId="0">#REF!</definedName>
    <definedName name="produto">#REF!</definedName>
    <definedName name="Profitmonth" localSheetId="0">LALUR!Profitmonth</definedName>
    <definedName name="Profitmonth">[0]!Profitmonth</definedName>
    <definedName name="Prooftransl" localSheetId="0">LALUR!Prooftransl</definedName>
    <definedName name="Prooftransl">[0]!Prooftransl</definedName>
    <definedName name="PROVA" localSheetId="0">#REF!</definedName>
    <definedName name="PROVA">#REF!</definedName>
    <definedName name="provdeduv" localSheetId="0">#REF!</definedName>
    <definedName name="provdeduv">#REF!</definedName>
    <definedName name="provfer" localSheetId="0">#REF!</definedName>
    <definedName name="provfer">#REF!</definedName>
    <definedName name="Provisões">#REF!</definedName>
    <definedName name="prsegap" localSheetId="0">#REF!</definedName>
    <definedName name="prsegap">#REF!</definedName>
    <definedName name="prsegapanex" localSheetId="0">#REF!</definedName>
    <definedName name="prsegapanex">#REF!</definedName>
    <definedName name="Pulp" localSheetId="0">#REF!</definedName>
    <definedName name="Pulp">#REF!</definedName>
    <definedName name="PY_Accounts_Receivable" localSheetId="0">#REF!</definedName>
    <definedName name="PY_Accounts_Receivable">#REF!</definedName>
    <definedName name="PY_Administration" localSheetId="0">#REF!</definedName>
    <definedName name="PY_Administration">#REF!</definedName>
    <definedName name="PY_Cash" localSheetId="0">#REF!</definedName>
    <definedName name="PY_Cash">#REF!</definedName>
    <definedName name="PY_Cash_Div_Dec" localSheetId="0">#REF!</definedName>
    <definedName name="PY_Cash_Div_Dec">#REF!</definedName>
    <definedName name="PY_Common_Equity" localSheetId="0">#REF!</definedName>
    <definedName name="PY_Common_Equity">#REF!</definedName>
    <definedName name="PY_Cost_of_Sales" localSheetId="0">#REF!</definedName>
    <definedName name="PY_Cost_of_Sales">#REF!</definedName>
    <definedName name="PY_Current_Liabilities" localSheetId="0">#REF!</definedName>
    <definedName name="PY_Current_Liabilities">#REF!</definedName>
    <definedName name="PY_Depreciation" localSheetId="0">#REF!</definedName>
    <definedName name="PY_Depreciation">#REF!</definedName>
    <definedName name="PY_Gross_Profit" localSheetId="0">#REF!</definedName>
    <definedName name="PY_Gross_Profit">#REF!</definedName>
    <definedName name="PY_Inc_Bef_Tax" localSheetId="0">#REF!</definedName>
    <definedName name="PY_Inc_Bef_Tax">#REF!</definedName>
    <definedName name="PY_Intangible_Assets" localSheetId="0">#REF!</definedName>
    <definedName name="PY_Intangible_Assets">#REF!</definedName>
    <definedName name="PY_Interest_Expense" localSheetId="0">#REF!</definedName>
    <definedName name="PY_Interest_Expense">#REF!</definedName>
    <definedName name="PY_Inventory" localSheetId="0">#REF!</definedName>
    <definedName name="PY_Inventory">#REF!</definedName>
    <definedName name="PY_LIABIL_EQUITY" localSheetId="0">#REF!</definedName>
    <definedName name="PY_LIABIL_EQUITY">#REF!</definedName>
    <definedName name="PY_LT_Debt" localSheetId="0">#REF!</definedName>
    <definedName name="PY_LT_Debt">#REF!</definedName>
    <definedName name="PY_Market_Value_of_Equity" localSheetId="0">#REF!</definedName>
    <definedName name="PY_Market_Value_of_Equity">#REF!</definedName>
    <definedName name="PY_Marketable_Sec" localSheetId="0">#REF!</definedName>
    <definedName name="PY_Marketable_Sec">#REF!</definedName>
    <definedName name="PY_NET_PROFIT" localSheetId="0">#REF!</definedName>
    <definedName name="PY_NET_PROFIT">#REF!</definedName>
    <definedName name="PY_Net_Revenue" localSheetId="0">#REF!</definedName>
    <definedName name="PY_Net_Revenue">#REF!</definedName>
    <definedName name="PY_Operating_Inc" localSheetId="0">#REF!</definedName>
    <definedName name="PY_Operating_Inc">#REF!</definedName>
    <definedName name="PY_Operating_Income" localSheetId="0">#REF!</definedName>
    <definedName name="PY_Operating_Income">#REF!</definedName>
    <definedName name="PY_Other_Curr_Assets" localSheetId="0">#REF!</definedName>
    <definedName name="PY_Other_Curr_Assets">#REF!</definedName>
    <definedName name="PY_Other_Exp" localSheetId="0">#REF!</definedName>
    <definedName name="PY_Other_Exp">#REF!</definedName>
    <definedName name="PY_Other_LT_Assets" localSheetId="0">#REF!</definedName>
    <definedName name="PY_Other_LT_Assets">#REF!</definedName>
    <definedName name="PY_Other_LT_Liabilities" localSheetId="0">#REF!</definedName>
    <definedName name="PY_Other_LT_Liabilities">#REF!</definedName>
    <definedName name="PY_Preferred_Stock" localSheetId="0">#REF!</definedName>
    <definedName name="PY_Preferred_Stock">#REF!</definedName>
    <definedName name="PY_QUICK_ASSETS" localSheetId="0">#REF!</definedName>
    <definedName name="PY_QUICK_ASSETS">#REF!</definedName>
    <definedName name="PY_Retained_Earnings" localSheetId="0">#REF!</definedName>
    <definedName name="PY_Retained_Earnings">#REF!</definedName>
    <definedName name="PY_Selling" localSheetId="0">#REF!</definedName>
    <definedName name="PY_Selling">#REF!</definedName>
    <definedName name="PY_Tangible_Assets" localSheetId="0">#REF!</definedName>
    <definedName name="PY_Tangible_Assets">#REF!</definedName>
    <definedName name="PY_Tangible_Net_Worth" localSheetId="0">#REF!</definedName>
    <definedName name="PY_Tangible_Net_Worth">#REF!</definedName>
    <definedName name="PY_Taxes" localSheetId="0">#REF!</definedName>
    <definedName name="PY_Taxes">#REF!</definedName>
    <definedName name="PY_TOTAL_ASSETS" localSheetId="0">#REF!</definedName>
    <definedName name="PY_TOTAL_ASSETS">#REF!</definedName>
    <definedName name="PY_TOTAL_CURR_ASSETS" localSheetId="0">#REF!</definedName>
    <definedName name="PY_TOTAL_CURR_ASSETS">#REF!</definedName>
    <definedName name="PY_TOTAL_DEBT" localSheetId="0">#REF!</definedName>
    <definedName name="PY_TOTAL_DEBT">#REF!</definedName>
    <definedName name="PY_TOTAL_EQUITY" localSheetId="0">#REF!</definedName>
    <definedName name="PY_TOTAL_EQUITY">#REF!</definedName>
    <definedName name="PY_Weighted_Average" localSheetId="0">#REF!</definedName>
    <definedName name="PY_Weighted_Average">#REF!</definedName>
    <definedName name="PY_Working_Capital" localSheetId="0">#REF!</definedName>
    <definedName name="PY_Working_Capital">#REF!</definedName>
    <definedName name="PY2_Accounts_Receivable" localSheetId="0">#REF!</definedName>
    <definedName name="PY2_Accounts_Receivable">#REF!</definedName>
    <definedName name="PY2_Administration" localSheetId="0">#REF!</definedName>
    <definedName name="PY2_Administration">#REF!</definedName>
    <definedName name="PY2_Cash" localSheetId="0">#REF!</definedName>
    <definedName name="PY2_Cash">#REF!</definedName>
    <definedName name="PY2_Cash_Div_Dec" localSheetId="0">#REF!</definedName>
    <definedName name="PY2_Cash_Div_Dec">#REF!</definedName>
    <definedName name="PY2_Common_Equity" localSheetId="0">#REF!</definedName>
    <definedName name="PY2_Common_Equity">#REF!</definedName>
    <definedName name="PY2_Cost_of_Sales" localSheetId="0">#REF!</definedName>
    <definedName name="PY2_Cost_of_Sales">#REF!</definedName>
    <definedName name="PY2_Current_Liabilities" localSheetId="0">#REF!</definedName>
    <definedName name="PY2_Current_Liabilities">#REF!</definedName>
    <definedName name="PY2_Depreciation" localSheetId="0">#REF!</definedName>
    <definedName name="PY2_Depreciation">#REF!</definedName>
    <definedName name="PY2_Gross_Profit" localSheetId="0">#REF!</definedName>
    <definedName name="PY2_Gross_Profit">#REF!</definedName>
    <definedName name="PY2_Inc_Bef_Tax" localSheetId="0">#REF!</definedName>
    <definedName name="PY2_Inc_Bef_Tax">#REF!</definedName>
    <definedName name="PY2_Intangible_Assets" localSheetId="0">#REF!</definedName>
    <definedName name="PY2_Intangible_Assets">#REF!</definedName>
    <definedName name="PY2_Interest_Expense" localSheetId="0">#REF!</definedName>
    <definedName name="PY2_Interest_Expense">#REF!</definedName>
    <definedName name="PY2_Inventory" localSheetId="0">#REF!</definedName>
    <definedName name="PY2_Inventory">#REF!</definedName>
    <definedName name="PY2_LIABIL_EQUITY" localSheetId="0">#REF!</definedName>
    <definedName name="PY2_LIABIL_EQUITY">#REF!</definedName>
    <definedName name="PY2_LT_Debt" localSheetId="0">#REF!</definedName>
    <definedName name="PY2_LT_Debt">#REF!</definedName>
    <definedName name="PY2_Marketable_Sec" localSheetId="0">#REF!</definedName>
    <definedName name="PY2_Marketable_Sec">#REF!</definedName>
    <definedName name="PY2_NET_PROFIT" localSheetId="0">#REF!</definedName>
    <definedName name="PY2_NET_PROFIT">#REF!</definedName>
    <definedName name="PY2_Net_Revenue" localSheetId="0">#REF!</definedName>
    <definedName name="PY2_Net_Revenue">#REF!</definedName>
    <definedName name="PY2_Operating_Inc" localSheetId="0">#REF!</definedName>
    <definedName name="PY2_Operating_Inc">#REF!</definedName>
    <definedName name="PY2_Operating_Income" localSheetId="0">#REF!</definedName>
    <definedName name="PY2_Operating_Income">#REF!</definedName>
    <definedName name="PY2_Other_Curr_Assets" localSheetId="0">#REF!</definedName>
    <definedName name="PY2_Other_Curr_Assets">#REF!</definedName>
    <definedName name="PY2_Other_Exp." localSheetId="0">#REF!</definedName>
    <definedName name="PY2_Other_Exp.">#REF!</definedName>
    <definedName name="PY2_Other_LT_Assets" localSheetId="0">#REF!</definedName>
    <definedName name="PY2_Other_LT_Assets">#REF!</definedName>
    <definedName name="PY2_Other_LT_Liabilities" localSheetId="0">#REF!</definedName>
    <definedName name="PY2_Other_LT_Liabilities">#REF!</definedName>
    <definedName name="PY2_Preferred_Stock" localSheetId="0">#REF!</definedName>
    <definedName name="PY2_Preferred_Stock">#REF!</definedName>
    <definedName name="PY2_QUICK_ASSETS" localSheetId="0">#REF!</definedName>
    <definedName name="PY2_QUICK_ASSETS">#REF!</definedName>
    <definedName name="PY2_Retained_Earnings" localSheetId="0">#REF!</definedName>
    <definedName name="PY2_Retained_Earnings">#REF!</definedName>
    <definedName name="PY2_Selling" localSheetId="0">#REF!</definedName>
    <definedName name="PY2_Selling">#REF!</definedName>
    <definedName name="PY2_Tangible_Assets" localSheetId="0">#REF!</definedName>
    <definedName name="PY2_Tangible_Assets">#REF!</definedName>
    <definedName name="PY2_Tangible_Net_Worth" localSheetId="0">#REF!</definedName>
    <definedName name="PY2_Tangible_Net_Worth">#REF!</definedName>
    <definedName name="PY2_Taxes" localSheetId="0">#REF!</definedName>
    <definedName name="PY2_Taxes">#REF!</definedName>
    <definedName name="PY2_TOTAL_ASSETS" localSheetId="0">#REF!</definedName>
    <definedName name="PY2_TOTAL_ASSETS">#REF!</definedName>
    <definedName name="PY2_TOTAL_CURR_ASSETS" localSheetId="0">#REF!</definedName>
    <definedName name="PY2_TOTAL_CURR_ASSETS">#REF!</definedName>
    <definedName name="PY2_TOTAL_DEBT" localSheetId="0">#REF!</definedName>
    <definedName name="PY2_TOTAL_DEBT">#REF!</definedName>
    <definedName name="PY2_TOTAL_EQUITY" localSheetId="0">#REF!</definedName>
    <definedName name="PY2_TOTAL_EQUITY">#REF!</definedName>
    <definedName name="PY2_Weighted_Average" localSheetId="0">#REF!</definedName>
    <definedName name="PY2_Weighted_Average">#REF!</definedName>
    <definedName name="PY2_Working_Capital" localSheetId="0">#REF!</definedName>
    <definedName name="PY2_Working_Capital">#REF!</definedName>
    <definedName name="q" hidden="1">1</definedName>
    <definedName name="QA" localSheetId="0" hidden="1">#REF!</definedName>
    <definedName name="QA" hidden="1">#REF!</definedName>
    <definedName name="qas" localSheetId="0">#REF!</definedName>
    <definedName name="qas">#REF!</definedName>
    <definedName name="qs" localSheetId="0" hidden="1">{#N/A,#N/A,TRUE,"BD 97";#N/A,#N/A,TRUE,"IR E CS 1997";#N/A,#N/A,TRUE,"CONTINGÊNCIAS";#N/A,#N/A,TRUE,"AD_EX_97";#N/A,#N/A,TRUE,"PR ND";#N/A,#N/A,TRUE,"8191";#N/A,#N/A,TRUE,"8383";#N/A,#N/A,TRUE,"MP 1024"}</definedName>
    <definedName name="qs" hidden="1">{#N/A,#N/A,TRUE,"BD 97";#N/A,#N/A,TRUE,"IR E CS 1997";#N/A,#N/A,TRUE,"CONTINGÊNCIAS";#N/A,#N/A,TRUE,"AD_EX_97";#N/A,#N/A,TRUE,"PR ND";#N/A,#N/A,TRUE,"8191";#N/A,#N/A,TRUE,"8383";#N/A,#N/A,TRUE,"MP 1024"}</definedName>
    <definedName name="QUADRO" localSheetId="0">#REF!</definedName>
    <definedName name="QUADRO">#REF!</definedName>
    <definedName name="Quality" localSheetId="0">#REF!</definedName>
    <definedName name="Quality">#REF!</definedName>
    <definedName name="QUANTIDADES" localSheetId="0">#REF!</definedName>
    <definedName name="QUANTIDADES">#REF!</definedName>
    <definedName name="QUO" localSheetId="0">#REF!</definedName>
    <definedName name="QUO">#REF!</definedName>
    <definedName name="qw">#REF!</definedName>
    <definedName name="qws" localSheetId="0">#REF!</definedName>
    <definedName name="qws">#REF!</definedName>
    <definedName name="qzqzqz10" localSheetId="0">#REF!</definedName>
    <definedName name="qzqzqz10">#REF!</definedName>
    <definedName name="qzqzqz11" localSheetId="0">#REF!</definedName>
    <definedName name="qzqzqz11">#REF!</definedName>
    <definedName name="qzqzqz12" localSheetId="0">#REF!</definedName>
    <definedName name="qzqzqz12">#REF!</definedName>
    <definedName name="qzqzqz13" localSheetId="0">#REF!</definedName>
    <definedName name="qzqzqz13">#REF!</definedName>
    <definedName name="qzqzqz14" localSheetId="0">#REF!</definedName>
    <definedName name="qzqzqz14">#REF!</definedName>
    <definedName name="qzqzqz15" localSheetId="0">#REF!</definedName>
    <definedName name="qzqzqz15">#REF!</definedName>
    <definedName name="qzqzqz16" localSheetId="0">#REF!</definedName>
    <definedName name="qzqzqz16">#REF!</definedName>
    <definedName name="qzqzqz17" localSheetId="0">#REF!</definedName>
    <definedName name="qzqzqz17">#REF!</definedName>
    <definedName name="qzqzqz18" localSheetId="0">#REF!</definedName>
    <definedName name="qzqzqz18">#REF!</definedName>
    <definedName name="qzqzqz19" localSheetId="0">#REF!</definedName>
    <definedName name="qzqzqz19">#REF!</definedName>
    <definedName name="qzqzqz20" localSheetId="0">#REF!</definedName>
    <definedName name="qzqzqz20">#REF!</definedName>
    <definedName name="qzqzqz21" localSheetId="0">#REF!</definedName>
    <definedName name="qzqzqz21">#REF!</definedName>
    <definedName name="qzqzqz22" localSheetId="0">#REF!</definedName>
    <definedName name="qzqzqz22">#REF!</definedName>
    <definedName name="qzqzqz23" localSheetId="0">#REF!</definedName>
    <definedName name="qzqzqz23">#REF!</definedName>
    <definedName name="qzqzqz24" localSheetId="0">#REF!</definedName>
    <definedName name="qzqzqz24">#REF!</definedName>
    <definedName name="qzqzqz25" localSheetId="0">#REF!</definedName>
    <definedName name="qzqzqz25">#REF!</definedName>
    <definedName name="qzqzqz26" localSheetId="0">#REF!</definedName>
    <definedName name="qzqzqz26">#REF!</definedName>
    <definedName name="qzqzqz27" localSheetId="0">#REF!</definedName>
    <definedName name="qzqzqz27">#REF!</definedName>
    <definedName name="qzqzqz28" localSheetId="0">#REF!</definedName>
    <definedName name="qzqzqz28">#REF!</definedName>
    <definedName name="qzqzqz29" localSheetId="0">#REF!</definedName>
    <definedName name="qzqzqz29">#REF!</definedName>
    <definedName name="qzqzqz30" localSheetId="0">#REF!</definedName>
    <definedName name="qzqzqz30">#REF!</definedName>
    <definedName name="qzqzqz31" localSheetId="0">#REF!</definedName>
    <definedName name="qzqzqz31">#REF!</definedName>
    <definedName name="qzqzqz32" localSheetId="0">#REF!</definedName>
    <definedName name="qzqzqz32">#REF!</definedName>
    <definedName name="qzqzqz6" localSheetId="0">#REF!</definedName>
    <definedName name="qzqzqz6">#REF!</definedName>
    <definedName name="qzqzqz7" localSheetId="0">#REF!</definedName>
    <definedName name="qzqzqz7">#REF!</definedName>
    <definedName name="qzqzqz8" localSheetId="0">#REF!</definedName>
    <definedName name="qzqzqz8">#REF!</definedName>
    <definedName name="qzqzqz9" localSheetId="0">#REF!</definedName>
    <definedName name="qzqzqz9">#REF!</definedName>
    <definedName name="R_Factor" localSheetId="0">#REF!</definedName>
    <definedName name="R_Factor">#REF!</definedName>
    <definedName name="R_Fator" localSheetId="0">#REF!</definedName>
    <definedName name="R_Fator">#REF!</definedName>
    <definedName name="RADIO" localSheetId="0">#REF!</definedName>
    <definedName name="RADIO">#REF!</definedName>
    <definedName name="rateio" localSheetId="0">#REF!</definedName>
    <definedName name="rateio">#REF!</definedName>
    <definedName name="RAVLR">#REF!</definedName>
    <definedName name="RAVLRRJ">#REF!</definedName>
    <definedName name="RAZAO" localSheetId="0">#REF!</definedName>
    <definedName name="RAZAO">#REF!</definedName>
    <definedName name="RAZÃO0101" localSheetId="0">#REF!</definedName>
    <definedName name="RAZÃO0101">#REF!</definedName>
    <definedName name="RAZÃO0102" localSheetId="0">#REF!</definedName>
    <definedName name="RAZÃO0102">#REF!</definedName>
    <definedName name="RAZÃO0103" localSheetId="0">#REF!</definedName>
    <definedName name="RAZÃO0103">#REF!</definedName>
    <definedName name="RAZÃO0281" localSheetId="0">#REF!</definedName>
    <definedName name="RAZÃO0281">#REF!</definedName>
    <definedName name="RAZÃO0282" localSheetId="0">#REF!</definedName>
    <definedName name="RAZÃO0282">#REF!</definedName>
    <definedName name="RAZÃO0283" localSheetId="0">#REF!</definedName>
    <definedName name="RAZÃO0283">#REF!</definedName>
    <definedName name="RAZÃO044" localSheetId="0">#REF!</definedName>
    <definedName name="RAZÃO044">#REF!</definedName>
    <definedName name="rdfs" localSheetId="0">#REF!</definedName>
    <definedName name="rdfs">#REF!</definedName>
    <definedName name="re">#REF!</definedName>
    <definedName name="REAIS0101" localSheetId="0">#REF!</definedName>
    <definedName name="REAIS0101">#REF!</definedName>
    <definedName name="REAIS0102" localSheetId="0">#REF!</definedName>
    <definedName name="REAIS0102">#REF!</definedName>
    <definedName name="REAIS0103" localSheetId="0">#REF!</definedName>
    <definedName name="REAIS0103">#REF!</definedName>
    <definedName name="REAIS0281" localSheetId="0">#REF!</definedName>
    <definedName name="REAIS0281">#REF!</definedName>
    <definedName name="REAIS0282" localSheetId="0">#REF!</definedName>
    <definedName name="REAIS0282">#REF!</definedName>
    <definedName name="REAIS0283" localSheetId="0">#REF!</definedName>
    <definedName name="REAIS0283">#REF!</definedName>
    <definedName name="REAIS044" localSheetId="0">#REF!</definedName>
    <definedName name="REAIS044">#REF!</definedName>
    <definedName name="REAL" localSheetId="0">#REF!</definedName>
    <definedName name="REAL">#REF!</definedName>
    <definedName name="Receita">#REF!</definedName>
    <definedName name="Receitas_financeiras">#REF!</definedName>
    <definedName name="RECIBOS" localSheetId="0">#REF!</definedName>
    <definedName name="RECIBOS">#REF!</definedName>
    <definedName name="RECUPERAR" localSheetId="0">#REF!</definedName>
    <definedName name="RECUPERAR">#REF!</definedName>
    <definedName name="REF" localSheetId="0">#REF!</definedName>
    <definedName name="REF">#REF!</definedName>
    <definedName name="Ref_1" localSheetId="0">#REF!</definedName>
    <definedName name="Ref_1">#REF!</definedName>
    <definedName name="Ref_10" localSheetId="0">#REF!</definedName>
    <definedName name="Ref_10">#REF!</definedName>
    <definedName name="Ref_101" localSheetId="0">#REF!</definedName>
    <definedName name="Ref_101">#REF!</definedName>
    <definedName name="Ref_102" localSheetId="0">#REF!</definedName>
    <definedName name="Ref_102">#REF!</definedName>
    <definedName name="Ref_103" localSheetId="0">#REF!</definedName>
    <definedName name="Ref_103">#REF!</definedName>
    <definedName name="Ref_104" localSheetId="0">#REF!</definedName>
    <definedName name="Ref_104">#REF!</definedName>
    <definedName name="Ref_105" localSheetId="0">#REF!</definedName>
    <definedName name="Ref_105">#REF!</definedName>
    <definedName name="Ref_106" localSheetId="0">#REF!</definedName>
    <definedName name="Ref_106">#REF!</definedName>
    <definedName name="Ref_107" localSheetId="0">#REF!</definedName>
    <definedName name="Ref_107">#REF!</definedName>
    <definedName name="Ref_108" localSheetId="0">#REF!</definedName>
    <definedName name="Ref_108">#REF!</definedName>
    <definedName name="Ref_109" localSheetId="0">#REF!</definedName>
    <definedName name="Ref_109">#REF!</definedName>
    <definedName name="Ref_11" localSheetId="0">#REF!</definedName>
    <definedName name="Ref_11">#REF!</definedName>
    <definedName name="Ref_110" localSheetId="0">#REF!</definedName>
    <definedName name="Ref_110">#REF!</definedName>
    <definedName name="Ref_111" localSheetId="0">#REF!</definedName>
    <definedName name="Ref_111">#REF!</definedName>
    <definedName name="Ref_112" localSheetId="0">#REF!</definedName>
    <definedName name="Ref_112">#REF!</definedName>
    <definedName name="Ref_113" localSheetId="0">#REF!</definedName>
    <definedName name="Ref_113">#REF!</definedName>
    <definedName name="Ref_114" localSheetId="0">#REF!</definedName>
    <definedName name="Ref_114">#REF!</definedName>
    <definedName name="Ref_115" localSheetId="0">#REF!</definedName>
    <definedName name="Ref_115">#REF!</definedName>
    <definedName name="Ref_116" localSheetId="0">#REF!</definedName>
    <definedName name="Ref_116">#REF!</definedName>
    <definedName name="Ref_117" localSheetId="0">#REF!</definedName>
    <definedName name="Ref_117">#REF!</definedName>
    <definedName name="Ref_118" localSheetId="0">#REF!</definedName>
    <definedName name="Ref_118">#REF!</definedName>
    <definedName name="Ref_119" localSheetId="0">#REF!</definedName>
    <definedName name="Ref_119">#REF!</definedName>
    <definedName name="Ref_12" localSheetId="0">#REF!</definedName>
    <definedName name="Ref_12">#REF!</definedName>
    <definedName name="Ref_120" localSheetId="0">#REF!</definedName>
    <definedName name="Ref_120">#REF!</definedName>
    <definedName name="Ref_121" localSheetId="0">#REF!</definedName>
    <definedName name="Ref_121">#REF!</definedName>
    <definedName name="Ref_122" localSheetId="0">#REF!</definedName>
    <definedName name="Ref_122">#REF!</definedName>
    <definedName name="Ref_123" localSheetId="0">#REF!</definedName>
    <definedName name="Ref_123">#REF!</definedName>
    <definedName name="Ref_13" localSheetId="0">#REF!</definedName>
    <definedName name="Ref_13">#REF!</definedName>
    <definedName name="Ref_14" localSheetId="0">#REF!</definedName>
    <definedName name="Ref_14">#REF!</definedName>
    <definedName name="Ref_15" localSheetId="0">#REF!</definedName>
    <definedName name="Ref_15">#REF!</definedName>
    <definedName name="Ref_16" localSheetId="0">#REF!</definedName>
    <definedName name="Ref_16">#REF!</definedName>
    <definedName name="Ref_17" localSheetId="0">#REF!</definedName>
    <definedName name="Ref_17">#REF!</definedName>
    <definedName name="Ref_18" localSheetId="0">#REF!</definedName>
    <definedName name="Ref_18">#REF!</definedName>
    <definedName name="Ref_19" localSheetId="0">#REF!</definedName>
    <definedName name="Ref_19">#REF!</definedName>
    <definedName name="Ref_2">#REF!</definedName>
    <definedName name="Ref_20" localSheetId="0">#REF!</definedName>
    <definedName name="Ref_20">#REF!</definedName>
    <definedName name="Ref_21" localSheetId="0">#REF!</definedName>
    <definedName name="Ref_21">#REF!</definedName>
    <definedName name="Ref_22" localSheetId="0">#REF!</definedName>
    <definedName name="Ref_22">#REF!</definedName>
    <definedName name="Ref_23" localSheetId="0">#REF!</definedName>
    <definedName name="Ref_23">#REF!</definedName>
    <definedName name="Ref_24" localSheetId="0">#REF!</definedName>
    <definedName name="Ref_24">#REF!</definedName>
    <definedName name="Ref_25" localSheetId="0">#REF!</definedName>
    <definedName name="Ref_25">#REF!</definedName>
    <definedName name="Ref_26" localSheetId="0">#REF!</definedName>
    <definedName name="Ref_26">#REF!</definedName>
    <definedName name="Ref_27" localSheetId="0">#REF!</definedName>
    <definedName name="Ref_27">#REF!</definedName>
    <definedName name="Ref_28" localSheetId="0">#REF!</definedName>
    <definedName name="Ref_28">#REF!</definedName>
    <definedName name="Ref_29" localSheetId="0">#REF!</definedName>
    <definedName name="Ref_29">#REF!</definedName>
    <definedName name="Ref_3" localSheetId="0">#REF!</definedName>
    <definedName name="Ref_3">#REF!</definedName>
    <definedName name="Ref_30">#REF!</definedName>
    <definedName name="Ref_31">#REF!</definedName>
    <definedName name="Ref_32">#REF!</definedName>
    <definedName name="Ref_33">#REF!</definedName>
    <definedName name="Ref_34">#REF!</definedName>
    <definedName name="Ref_35">#REF!</definedName>
    <definedName name="Ref_36" localSheetId="0">#REF!</definedName>
    <definedName name="Ref_36">#REF!</definedName>
    <definedName name="Ref_37" localSheetId="0">#REF!</definedName>
    <definedName name="Ref_37">#REF!</definedName>
    <definedName name="Ref_38" localSheetId="0">#REF!</definedName>
    <definedName name="Ref_38">#REF!</definedName>
    <definedName name="Ref_39" localSheetId="0">#REF!</definedName>
    <definedName name="Ref_39">#REF!</definedName>
    <definedName name="Ref_4" localSheetId="0">#REF!</definedName>
    <definedName name="Ref_4">#REF!</definedName>
    <definedName name="Ref_40">#REF!</definedName>
    <definedName name="Ref_41" localSheetId="0">#REF!</definedName>
    <definedName name="Ref_41">#REF!</definedName>
    <definedName name="Ref_42" localSheetId="0">#REF!</definedName>
    <definedName name="Ref_42">#REF!</definedName>
    <definedName name="Ref_43" localSheetId="0">#REF!</definedName>
    <definedName name="Ref_43">#REF!</definedName>
    <definedName name="Ref_44">#REF!</definedName>
    <definedName name="Ref_45" localSheetId="0">#REF!</definedName>
    <definedName name="Ref_45">#REF!</definedName>
    <definedName name="Ref_46" localSheetId="0">#REF!</definedName>
    <definedName name="Ref_46">#REF!</definedName>
    <definedName name="Ref_47" localSheetId="0">#REF!</definedName>
    <definedName name="Ref_47">#REF!</definedName>
    <definedName name="Ref_48" localSheetId="0">#REF!</definedName>
    <definedName name="Ref_48">#REF!</definedName>
    <definedName name="Ref_49" localSheetId="0">#REF!</definedName>
    <definedName name="Ref_49">#REF!</definedName>
    <definedName name="Ref_5" localSheetId="0">#REF!</definedName>
    <definedName name="Ref_5">#REF!</definedName>
    <definedName name="Ref_50" localSheetId="0">#REF!</definedName>
    <definedName name="Ref_50">#REF!</definedName>
    <definedName name="Ref_51" localSheetId="0">#REF!</definedName>
    <definedName name="Ref_51">#REF!</definedName>
    <definedName name="Ref_52" localSheetId="0">#REF!</definedName>
    <definedName name="Ref_52">#REF!</definedName>
    <definedName name="Ref_53" localSheetId="0">#REF!</definedName>
    <definedName name="Ref_53">#REF!</definedName>
    <definedName name="Ref_54" localSheetId="0">#REF!</definedName>
    <definedName name="Ref_54">#REF!</definedName>
    <definedName name="Ref_55" localSheetId="0">#REF!</definedName>
    <definedName name="Ref_55">#REF!</definedName>
    <definedName name="Ref_56" localSheetId="0">#REF!</definedName>
    <definedName name="Ref_56">#REF!</definedName>
    <definedName name="Ref_57" localSheetId="0">#REF!</definedName>
    <definedName name="Ref_57">#REF!</definedName>
    <definedName name="Ref_58" localSheetId="0">#REF!</definedName>
    <definedName name="Ref_58">#REF!</definedName>
    <definedName name="Ref_59" localSheetId="0">#REF!</definedName>
    <definedName name="Ref_59">#REF!</definedName>
    <definedName name="Ref_6" localSheetId="0">#REF!</definedName>
    <definedName name="Ref_6">#REF!</definedName>
    <definedName name="Ref_60" localSheetId="0">#REF!</definedName>
    <definedName name="Ref_60">#REF!</definedName>
    <definedName name="Ref_61" localSheetId="0">#REF!</definedName>
    <definedName name="Ref_61">#REF!</definedName>
    <definedName name="Ref_62" localSheetId="0">#REF!</definedName>
    <definedName name="Ref_62">#REF!</definedName>
    <definedName name="Ref_63" localSheetId="0">#REF!</definedName>
    <definedName name="Ref_63">#REF!</definedName>
    <definedName name="Ref_64" localSheetId="0">#REF!</definedName>
    <definedName name="Ref_64">#REF!</definedName>
    <definedName name="Ref_65" localSheetId="0">#REF!</definedName>
    <definedName name="Ref_65">#REF!</definedName>
    <definedName name="Ref_66" localSheetId="0">#REF!</definedName>
    <definedName name="Ref_66">#REF!</definedName>
    <definedName name="Ref_67" localSheetId="0">#REF!</definedName>
    <definedName name="Ref_67">#REF!</definedName>
    <definedName name="Ref_68" localSheetId="0">#REF!</definedName>
    <definedName name="Ref_68">#REF!</definedName>
    <definedName name="Ref_69" localSheetId="0">#REF!</definedName>
    <definedName name="Ref_69">#REF!</definedName>
    <definedName name="Ref_7" localSheetId="0">#REF!</definedName>
    <definedName name="Ref_7">#REF!</definedName>
    <definedName name="Ref_70" localSheetId="0">#REF!</definedName>
    <definedName name="Ref_70">#REF!</definedName>
    <definedName name="Ref_71" localSheetId="0">#REF!</definedName>
    <definedName name="Ref_71">#REF!</definedName>
    <definedName name="Ref_72" localSheetId="0">#REF!</definedName>
    <definedName name="Ref_72">#REF!</definedName>
    <definedName name="Ref_73" localSheetId="0">#REF!</definedName>
    <definedName name="Ref_73">#REF!</definedName>
    <definedName name="Ref_74" localSheetId="0">#REF!</definedName>
    <definedName name="Ref_74">#REF!</definedName>
    <definedName name="Ref_75" localSheetId="0">#REF!</definedName>
    <definedName name="Ref_75">#REF!</definedName>
    <definedName name="Ref_76" localSheetId="0">#REF!</definedName>
    <definedName name="Ref_76">#REF!</definedName>
    <definedName name="Ref_77" localSheetId="0">#REF!</definedName>
    <definedName name="Ref_77">#REF!</definedName>
    <definedName name="Ref_78" localSheetId="0">#REF!</definedName>
    <definedName name="Ref_78">#REF!</definedName>
    <definedName name="Ref_79" localSheetId="0">#REF!</definedName>
    <definedName name="Ref_79">#REF!</definedName>
    <definedName name="Ref_8" localSheetId="0">#REF!</definedName>
    <definedName name="Ref_8">#REF!</definedName>
    <definedName name="Ref_80" localSheetId="0">#REF!</definedName>
    <definedName name="Ref_80">#REF!</definedName>
    <definedName name="Ref_81" localSheetId="0">#REF!</definedName>
    <definedName name="Ref_81">#REF!</definedName>
    <definedName name="Ref_82" localSheetId="0">#REF!</definedName>
    <definedName name="Ref_82">#REF!</definedName>
    <definedName name="Ref_83" localSheetId="0">#REF!</definedName>
    <definedName name="Ref_83">#REF!</definedName>
    <definedName name="Ref_84" localSheetId="0">#REF!</definedName>
    <definedName name="Ref_84">#REF!</definedName>
    <definedName name="Ref_85" localSheetId="0">#REF!</definedName>
    <definedName name="Ref_85">#REF!</definedName>
    <definedName name="Ref_86" localSheetId="0">#REF!</definedName>
    <definedName name="Ref_86">#REF!</definedName>
    <definedName name="Ref_87" localSheetId="0">#REF!</definedName>
    <definedName name="Ref_87">#REF!</definedName>
    <definedName name="Ref_88" localSheetId="0">#REF!</definedName>
    <definedName name="Ref_88">#REF!</definedName>
    <definedName name="Ref_89" localSheetId="0">#REF!</definedName>
    <definedName name="Ref_89">#REF!</definedName>
    <definedName name="Ref_9" localSheetId="0">#REF!</definedName>
    <definedName name="Ref_9">#REF!</definedName>
    <definedName name="Ref_90" localSheetId="0">#REF!</definedName>
    <definedName name="Ref_90">#REF!</definedName>
    <definedName name="Ref_91" localSheetId="0">#REF!</definedName>
    <definedName name="Ref_91">#REF!</definedName>
    <definedName name="Ref_92" localSheetId="0">#REF!</definedName>
    <definedName name="Ref_92">#REF!</definedName>
    <definedName name="Ref_93" localSheetId="0">#REF!</definedName>
    <definedName name="Ref_93">#REF!</definedName>
    <definedName name="Ref_94" localSheetId="0">#REF!</definedName>
    <definedName name="Ref_94">#REF!</definedName>
    <definedName name="Ref_95" localSheetId="0">#REF!</definedName>
    <definedName name="Ref_95">#REF!</definedName>
    <definedName name="Ref_96" localSheetId="0">#REF!</definedName>
    <definedName name="Ref_96">#REF!</definedName>
    <definedName name="Ref_97" localSheetId="0">#REF!</definedName>
    <definedName name="Ref_97">#REF!</definedName>
    <definedName name="Ref_99" localSheetId="0">#REF!</definedName>
    <definedName name="Ref_99">#REF!</definedName>
    <definedName name="REGIAO" localSheetId="0">#REF!</definedName>
    <definedName name="REGIAO">#REF!</definedName>
    <definedName name="Reimbursement">"Reembolso"</definedName>
    <definedName name="REP_CONS_DRE_ACUM_ANT">#REF!</definedName>
    <definedName name="REP_CONS_DRE_ACUM_ATUAL">#REF!</definedName>
    <definedName name="REP_CONS_DRE_T_ANT">#REF!</definedName>
    <definedName name="REP_CONS_DRE_T_ATUAL">#REF!</definedName>
    <definedName name="Rep_Jcp">#REF!</definedName>
    <definedName name="REPASSE" localSheetId="0">#REF!</definedName>
    <definedName name="REPASSE">#REF!</definedName>
    <definedName name="REPORT_INPUT" localSheetId="0">#REF!</definedName>
    <definedName name="REPORT_INPUT">#REF!</definedName>
    <definedName name="Report_Version_3">"A1"</definedName>
    <definedName name="Report_Version_4">"A1"</definedName>
    <definedName name="Reserva" localSheetId="0">#REF!</definedName>
    <definedName name="Reserva">#REF!</definedName>
    <definedName name="Residual_Difference" localSheetId="0">#REF!</definedName>
    <definedName name="Residual_Difference">#REF!</definedName>
    <definedName name="RESP" localSheetId="0">#REF!</definedName>
    <definedName name="RESP">#REF!</definedName>
    <definedName name="RESPO" localSheetId="0">#REF!</definedName>
    <definedName name="RESPO">#REF!</definedName>
    <definedName name="RESPOS" localSheetId="0">#REF!</definedName>
    <definedName name="RESPOS">#REF!</definedName>
    <definedName name="RESPOSTA" localSheetId="0">#REF!</definedName>
    <definedName name="RESPOSTA">#REF!</definedName>
    <definedName name="result.mensal" localSheetId="0">#REF!</definedName>
    <definedName name="result.mensal">#REF!</definedName>
    <definedName name="RESULTADO" localSheetId="0">#REF!</definedName>
    <definedName name="RESULTADO">#REF!</definedName>
    <definedName name="Resultado_do_SWAP_acumulado" localSheetId="0">#REF!,#REF!,#REF!</definedName>
    <definedName name="Resultado_do_SWAP_acumulado">#REF!,#REF!,#REF!</definedName>
    <definedName name="RESULZEROS" localSheetId="0">#REF!</definedName>
    <definedName name="RESULZEROS">#REF!</definedName>
    <definedName name="RESUMO" localSheetId="0">#REF!</definedName>
    <definedName name="RESUMO">#REF!</definedName>
    <definedName name="reunref" localSheetId="0">#REF!</definedName>
    <definedName name="reunref">#REF!</definedName>
    <definedName name="reunrefnex" localSheetId="0">#REF!</definedName>
    <definedName name="reunrefnex">#REF!</definedName>
    <definedName name="revenda" localSheetId="0">#REF!</definedName>
    <definedName name="revenda">#REF!</definedName>
    <definedName name="Rfator" localSheetId="0">#REF!</definedName>
    <definedName name="Rfator">#REF!</definedName>
    <definedName name="RHTHNT" localSheetId="0" hidden="1">#REF!</definedName>
    <definedName name="RHTHNT" hidden="1">#REF!</definedName>
    <definedName name="RIO" localSheetId="0">#REF!</definedName>
    <definedName name="RIO">#REF!</definedName>
    <definedName name="RioVerde" localSheetId="0">#REF!</definedName>
    <definedName name="RioVerde">#REF!</definedName>
    <definedName name="rol" localSheetId="0">#REF!</definedName>
    <definedName name="rol">#REF!</definedName>
    <definedName name="rold" localSheetId="0">#REF!</definedName>
    <definedName name="rold">#REF!</definedName>
    <definedName name="RORO">#REF!</definedName>
    <definedName name="RowLevel" hidden="1">1</definedName>
    <definedName name="RPD" localSheetId="0">#REF!</definedName>
    <definedName name="RPD">#REF!</definedName>
    <definedName name="rr" localSheetId="0" hidden="1">#REF!</definedName>
    <definedName name="rr" hidden="1">#REF!</definedName>
    <definedName name="rrevenda" localSheetId="0">#REF!</definedName>
    <definedName name="rrevenda">#REF!</definedName>
    <definedName name="rrr" hidden="1">"AS2DocumentBrowse"</definedName>
    <definedName name="rt">#REF!</definedName>
    <definedName name="RVD" localSheetId="0">#REF!</definedName>
    <definedName name="RVD">#REF!</definedName>
    <definedName name="s">#REF!</definedName>
    <definedName name="S_AcctNum" localSheetId="0">#REF!</definedName>
    <definedName name="S_AcctNum">#REF!</definedName>
    <definedName name="S_Adjust_Data">#REF!</definedName>
    <definedName name="S_AJE_Tot_Data">#REF!</definedName>
    <definedName name="S_CY_Beg_Data">#REF!</definedName>
    <definedName name="S_CY_End_Data">#REF!</definedName>
    <definedName name="S_LSRange1" localSheetId="0">#REF!</definedName>
    <definedName name="S_LSRange1">#REF!</definedName>
    <definedName name="S_LSRange10" localSheetId="0">#REF!</definedName>
    <definedName name="S_LSRange10">#REF!</definedName>
    <definedName name="S_LSRange10Balance" localSheetId="0">#REF!</definedName>
    <definedName name="S_LSRange10Balance">#REF!</definedName>
    <definedName name="S_LSRange10Balance1" localSheetId="0">#REF!</definedName>
    <definedName name="S_LSRange10Balance1">#REF!</definedName>
    <definedName name="S_LSRange10Balance2" localSheetId="0">#REF!</definedName>
    <definedName name="S_LSRange10Balance2">#REF!</definedName>
    <definedName name="S_LSRange10Balance3" localSheetId="0">#REF!</definedName>
    <definedName name="S_LSRange10Balance3">#REF!</definedName>
    <definedName name="S_LSRange11" localSheetId="0">#REF!</definedName>
    <definedName name="S_LSRange11">#REF!</definedName>
    <definedName name="S_LSRange11Balance" localSheetId="0">#REF!</definedName>
    <definedName name="S_LSRange11Balance">#REF!</definedName>
    <definedName name="S_LSRange11Balance1" localSheetId="0">#REF!</definedName>
    <definedName name="S_LSRange11Balance1">#REF!</definedName>
    <definedName name="S_LSRange11Balance2" localSheetId="0">#REF!</definedName>
    <definedName name="S_LSRange11Balance2">#REF!</definedName>
    <definedName name="S_LSRange11Balance3" localSheetId="0">#REF!</definedName>
    <definedName name="S_LSRange11Balance3">#REF!</definedName>
    <definedName name="S_LSRange12" localSheetId="0">#REF!</definedName>
    <definedName name="S_LSRange12">#REF!</definedName>
    <definedName name="S_LSRange12Balance" localSheetId="0">#REF!</definedName>
    <definedName name="S_LSRange12Balance">#REF!</definedName>
    <definedName name="S_LSRange12Balance1" localSheetId="0">#REF!</definedName>
    <definedName name="S_LSRange12Balance1">#REF!</definedName>
    <definedName name="S_LSRange12Balance2" localSheetId="0">#REF!</definedName>
    <definedName name="S_LSRange12Balance2">#REF!</definedName>
    <definedName name="S_LSRange12Balance3" localSheetId="0">#REF!</definedName>
    <definedName name="S_LSRange12Balance3">#REF!</definedName>
    <definedName name="S_LSRange13" localSheetId="0">#REF!</definedName>
    <definedName name="S_LSRange13">#REF!</definedName>
    <definedName name="S_LSRange13Balance" localSheetId="0">#REF!</definedName>
    <definedName name="S_LSRange13Balance">#REF!</definedName>
    <definedName name="S_LSRange13Balance1" localSheetId="0">#REF!</definedName>
    <definedName name="S_LSRange13Balance1">#REF!</definedName>
    <definedName name="S_LSRange13Balance2" localSheetId="0">#REF!</definedName>
    <definedName name="S_LSRange13Balance2">#REF!</definedName>
    <definedName name="S_LSRange13Balance3" localSheetId="0">#REF!</definedName>
    <definedName name="S_LSRange13Balance3">#REF!</definedName>
    <definedName name="S_LSRange14" localSheetId="0">#REF!</definedName>
    <definedName name="S_LSRange14">#REF!</definedName>
    <definedName name="S_LSRange14Balance" localSheetId="0">#REF!</definedName>
    <definedName name="S_LSRange14Balance">#REF!</definedName>
    <definedName name="S_LSRange14Balance1" localSheetId="0">#REF!</definedName>
    <definedName name="S_LSRange14Balance1">#REF!</definedName>
    <definedName name="S_LSRange14Balance2" localSheetId="0">#REF!</definedName>
    <definedName name="S_LSRange14Balance2">#REF!</definedName>
    <definedName name="S_LSRange14Balance3" localSheetId="0">#REF!</definedName>
    <definedName name="S_LSRange14Balance3">#REF!</definedName>
    <definedName name="S_LSRange15" localSheetId="0">#REF!</definedName>
    <definedName name="S_LSRange15">#REF!</definedName>
    <definedName name="S_LSRange15Balance" localSheetId="0">#REF!</definedName>
    <definedName name="S_LSRange15Balance">#REF!</definedName>
    <definedName name="S_LSRange15Balance1" localSheetId="0">#REF!</definedName>
    <definedName name="S_LSRange15Balance1">#REF!</definedName>
    <definedName name="S_LSRange15Balance2" localSheetId="0">#REF!</definedName>
    <definedName name="S_LSRange15Balance2">#REF!</definedName>
    <definedName name="S_LSRange15Balance3" localSheetId="0">#REF!</definedName>
    <definedName name="S_LSRange15Balance3">#REF!</definedName>
    <definedName name="S_LSRange16" localSheetId="0">#REF!</definedName>
    <definedName name="S_LSRange16">#REF!</definedName>
    <definedName name="S_LSRange16Balance" localSheetId="0">#REF!</definedName>
    <definedName name="S_LSRange16Balance">#REF!</definedName>
    <definedName name="S_LSRange16Balance1" localSheetId="0">#REF!</definedName>
    <definedName name="S_LSRange16Balance1">#REF!</definedName>
    <definedName name="S_LSRange16Balance2" localSheetId="0">#REF!</definedName>
    <definedName name="S_LSRange16Balance2">#REF!</definedName>
    <definedName name="S_LSRange16Balance3" localSheetId="0">#REF!</definedName>
    <definedName name="S_LSRange16Balance3">#REF!</definedName>
    <definedName name="S_LSRange1Balance" localSheetId="0">#REF!</definedName>
    <definedName name="S_LSRange1Balance">#REF!</definedName>
    <definedName name="S_LSRange1Balance1" localSheetId="0">#REF!</definedName>
    <definedName name="S_LSRange1Balance1">#REF!</definedName>
    <definedName name="S_LSRange1Balance2" localSheetId="0">#REF!</definedName>
    <definedName name="S_LSRange1Balance2">#REF!</definedName>
    <definedName name="S_LSRange1Balance3" localSheetId="0">#REF!</definedName>
    <definedName name="S_LSRange1Balance3">#REF!</definedName>
    <definedName name="S_LSRange2" localSheetId="0">#REF!</definedName>
    <definedName name="S_LSRange2">#REF!</definedName>
    <definedName name="S_LSRange2Balance" localSheetId="0">#REF!</definedName>
    <definedName name="S_LSRange2Balance">#REF!</definedName>
    <definedName name="S_LSRange2Balance1" localSheetId="0">#REF!</definedName>
    <definedName name="S_LSRange2Balance1">#REF!</definedName>
    <definedName name="S_LSRange2Balance2" localSheetId="0">#REF!</definedName>
    <definedName name="S_LSRange2Balance2">#REF!</definedName>
    <definedName name="S_LSRange2Balance3" localSheetId="0">#REF!</definedName>
    <definedName name="S_LSRange2Balance3">#REF!</definedName>
    <definedName name="S_LSRange3" localSheetId="0">#REF!</definedName>
    <definedName name="S_LSRange3">#REF!</definedName>
    <definedName name="S_LSRange3Balance" localSheetId="0">#REF!</definedName>
    <definedName name="S_LSRange3Balance">#REF!</definedName>
    <definedName name="S_LSRange3Balance1" localSheetId="0">#REF!</definedName>
    <definedName name="S_LSRange3Balance1">#REF!</definedName>
    <definedName name="S_LSRange3Balance2" localSheetId="0">#REF!</definedName>
    <definedName name="S_LSRange3Balance2">#REF!</definedName>
    <definedName name="S_LSRange3Balance3" localSheetId="0">#REF!</definedName>
    <definedName name="S_LSRange3Balance3">#REF!</definedName>
    <definedName name="S_LSRange4" localSheetId="0">#REF!</definedName>
    <definedName name="S_LSRange4">#REF!</definedName>
    <definedName name="S_LSRange4Balance" localSheetId="0">#REF!</definedName>
    <definedName name="S_LSRange4Balance">#REF!</definedName>
    <definedName name="S_LSRange4Balance1" localSheetId="0">#REF!</definedName>
    <definedName name="S_LSRange4Balance1">#REF!</definedName>
    <definedName name="S_LSRange4Balance2" localSheetId="0">#REF!</definedName>
    <definedName name="S_LSRange4Balance2">#REF!</definedName>
    <definedName name="S_LSRange4Balance3" localSheetId="0">#REF!</definedName>
    <definedName name="S_LSRange4Balance3">#REF!</definedName>
    <definedName name="S_LSRange5" localSheetId="0">#REF!</definedName>
    <definedName name="S_LSRange5">#REF!</definedName>
    <definedName name="S_LSRange5Balance" localSheetId="0">#REF!</definedName>
    <definedName name="S_LSRange5Balance">#REF!</definedName>
    <definedName name="S_LSRange5Balance1" localSheetId="0">#REF!</definedName>
    <definedName name="S_LSRange5Balance1">#REF!</definedName>
    <definedName name="S_LSRange5Balance2" localSheetId="0">#REF!</definedName>
    <definedName name="S_LSRange5Balance2">#REF!</definedName>
    <definedName name="S_LSRange5Balance3" localSheetId="0">#REF!</definedName>
    <definedName name="S_LSRange5Balance3">#REF!</definedName>
    <definedName name="S_LSRange6" localSheetId="0">#REF!</definedName>
    <definedName name="S_LSRange6">#REF!</definedName>
    <definedName name="S_LSRange6Balance" localSheetId="0">#REF!</definedName>
    <definedName name="S_LSRange6Balance">#REF!</definedName>
    <definedName name="S_LSRange6Balance1" localSheetId="0">#REF!</definedName>
    <definedName name="S_LSRange6Balance1">#REF!</definedName>
    <definedName name="S_LSRange6Balance2" localSheetId="0">#REF!</definedName>
    <definedName name="S_LSRange6Balance2">#REF!</definedName>
    <definedName name="S_LSRange6Balance3" localSheetId="0">#REF!</definedName>
    <definedName name="S_LSRange6Balance3">#REF!</definedName>
    <definedName name="S_LSRange7" localSheetId="0">#REF!</definedName>
    <definedName name="S_LSRange7">#REF!</definedName>
    <definedName name="S_LSRange7Balance" localSheetId="0">#REF!</definedName>
    <definedName name="S_LSRange7Balance">#REF!</definedName>
    <definedName name="S_LSRange7Balance1" localSheetId="0">#REF!</definedName>
    <definedName name="S_LSRange7Balance1">#REF!</definedName>
    <definedName name="S_LSRange7Balance2" localSheetId="0">#REF!</definedName>
    <definedName name="S_LSRange7Balance2">#REF!</definedName>
    <definedName name="S_LSRange7Balance3" localSheetId="0">#REF!</definedName>
    <definedName name="S_LSRange7Balance3">#REF!</definedName>
    <definedName name="S_LSRange8" localSheetId="0">#REF!</definedName>
    <definedName name="S_LSRange8">#REF!</definedName>
    <definedName name="S_LSRange8Balance" localSheetId="0">#REF!</definedName>
    <definedName name="S_LSRange8Balance">#REF!</definedName>
    <definedName name="S_LSRange8Balance1" localSheetId="0">#REF!</definedName>
    <definedName name="S_LSRange8Balance1">#REF!</definedName>
    <definedName name="S_LSRange8Balance2" localSheetId="0">#REF!</definedName>
    <definedName name="S_LSRange8Balance2">#REF!</definedName>
    <definedName name="S_LSRange8Balance3" localSheetId="0">#REF!</definedName>
    <definedName name="S_LSRange8Balance3">#REF!</definedName>
    <definedName name="S_LSRange9" localSheetId="0">#REF!</definedName>
    <definedName name="S_LSRange9">#REF!</definedName>
    <definedName name="S_LSRange9Balance" localSheetId="0">#REF!</definedName>
    <definedName name="S_LSRange9Balance">#REF!</definedName>
    <definedName name="S_LSRange9Balance1" localSheetId="0">#REF!</definedName>
    <definedName name="S_LSRange9Balance1">#REF!</definedName>
    <definedName name="S_LSRange9Balance2" localSheetId="0">#REF!</definedName>
    <definedName name="S_LSRange9Balance2">#REF!</definedName>
    <definedName name="S_LSRange9Balance3" localSheetId="0">#REF!</definedName>
    <definedName name="S_LSRange9Balance3">#REF!</definedName>
    <definedName name="S_PY_End_Data">#REF!</definedName>
    <definedName name="S_RJE_Tot_Data">#REF!</definedName>
    <definedName name="S_Total" localSheetId="0">#REF!</definedName>
    <definedName name="S_Total">#REF!</definedName>
    <definedName name="S_Total1" localSheetId="0">#REF!</definedName>
    <definedName name="S_Total1">#REF!</definedName>
    <definedName name="S_Total2" localSheetId="0">#REF!</definedName>
    <definedName name="S_Total2">#REF!</definedName>
    <definedName name="S_Total3" localSheetId="0">#REF!</definedName>
    <definedName name="S_Total3">#REF!</definedName>
    <definedName name="SaAct" localSheetId="0">#REF!</definedName>
    <definedName name="SaAct">#REF!</definedName>
    <definedName name="SaAct2" localSheetId="0">#REF!</definedName>
    <definedName name="SaAct2">#REF!</definedName>
    <definedName name="SABB" localSheetId="0">#REF!</definedName>
    <definedName name="SABB">#REF!</definedName>
    <definedName name="SABD" localSheetId="0">#REF!</definedName>
    <definedName name="SABD">#REF!</definedName>
    <definedName name="SABESP" localSheetId="0">#REF!</definedName>
    <definedName name="SABESP">#REF!</definedName>
    <definedName name="SABIO" localSheetId="0">#REF!</definedName>
    <definedName name="SABIO">#REF!</definedName>
    <definedName name="SaCl1" localSheetId="0">#REF!</definedName>
    <definedName name="SaCl1">#REF!</definedName>
    <definedName name="SaCl2" localSheetId="0">#REF!</definedName>
    <definedName name="SaCl2">#REF!</definedName>
    <definedName name="SaCl3" localSheetId="0">#REF!</definedName>
    <definedName name="SaCl3">#REF!</definedName>
    <definedName name="SaCl4" localSheetId="0">#REF!</definedName>
    <definedName name="SaCl4">#REF!</definedName>
    <definedName name="sadasd" localSheetId="0">#REF!</definedName>
    <definedName name="sadasd">#REF!</definedName>
    <definedName name="SAEM" localSheetId="0">#REF!</definedName>
    <definedName name="SAEM">#REF!</definedName>
    <definedName name="SaFct" localSheetId="0">#REF!</definedName>
    <definedName name="SaFct">#REF!</definedName>
    <definedName name="Safety" localSheetId="0">#REF!</definedName>
    <definedName name="Safety">#REF!</definedName>
    <definedName name="SAFR" localSheetId="0">#REF!</definedName>
    <definedName name="SAFR">#REF!</definedName>
    <definedName name="safra" localSheetId="0">#REF!</definedName>
    <definedName name="safra">#REF!</definedName>
    <definedName name="safraplic" localSheetId="0">#REF!</definedName>
    <definedName name="safraplic">#REF!</definedName>
    <definedName name="SAGL" localSheetId="0">#REF!</definedName>
    <definedName name="SAGL">#REF!</definedName>
    <definedName name="SAGRANEL" localSheetId="0">#REF!</definedName>
    <definedName name="SAGRANEL">#REF!</definedName>
    <definedName name="SAGRANU" localSheetId="0">#REF!</definedName>
    <definedName name="SAGRANU">#REF!</definedName>
    <definedName name="sai.cdbh.cdrj">#REF!</definedName>
    <definedName name="sai.cdbh.cdsp">#REF!</definedName>
    <definedName name="sai.cdbh.porto">#REF!</definedName>
    <definedName name="sai.cdbh.uag">#REF!</definedName>
    <definedName name="sai.cdbh.ucao">#REF!</definedName>
    <definedName name="sai.cdrj.cdbh">#REF!</definedName>
    <definedName name="sai.cdrj.cdsp">#REF!</definedName>
    <definedName name="sai.cdrj.porto">#REF!</definedName>
    <definedName name="sai.cdrj.uag">#REF!</definedName>
    <definedName name="sai.cdrj.ucao">#REF!</definedName>
    <definedName name="sai.cdsp.cdbh">#REF!</definedName>
    <definedName name="sai.cdsp.cdrj">#REF!</definedName>
    <definedName name="sai.cdsp.porto">#REF!</definedName>
    <definedName name="sai.cdsp.uag">#REF!</definedName>
    <definedName name="sai.cdsp.ucao">#REF!</definedName>
    <definedName name="sai.uag.cdbh">#REF!</definedName>
    <definedName name="sai.uag.cdrj">#REF!</definedName>
    <definedName name="sai.uag.cdsp">#REF!</definedName>
    <definedName name="sai.uag.porto">#REF!</definedName>
    <definedName name="sai.uag.ucao">#REF!</definedName>
    <definedName name="sai.ucao.cdbh">#REF!</definedName>
    <definedName name="sai.ucao.cdrj">#REF!</definedName>
    <definedName name="sai.ucao.cdsp">#REF!</definedName>
    <definedName name="sai.ucao.porto">#REF!</definedName>
    <definedName name="sai.ucao.uag">#REF!</definedName>
    <definedName name="Sal" localSheetId="0">#REF!</definedName>
    <definedName name="Sal">#REF!</definedName>
    <definedName name="Sal_Fin">#REF!</definedName>
    <definedName name="SALAR.13" localSheetId="0">#REF!</definedName>
    <definedName name="SALAR.13">#REF!</definedName>
    <definedName name="SALDODÍVIDA" localSheetId="0">#REF!</definedName>
    <definedName name="SALDODÍVIDA">#REF!</definedName>
    <definedName name="SALDOS" localSheetId="0">#REF!</definedName>
    <definedName name="SALDOS">#REF!</definedName>
    <definedName name="saledrec" localSheetId="0">#REF!</definedName>
    <definedName name="saledrec">#REF!</definedName>
    <definedName name="SaleProf" localSheetId="0">#REF!</definedName>
    <definedName name="SaleProf">#REF!</definedName>
    <definedName name="Sales" localSheetId="0">#REF!</definedName>
    <definedName name="Sales">#REF!</definedName>
    <definedName name="salfol" localSheetId="0">#REF!</definedName>
    <definedName name="salfol">#REF!</definedName>
    <definedName name="SALVA" localSheetId="0">#REF!</definedName>
    <definedName name="SALVA">#REF!</definedName>
    <definedName name="SALVAR" localSheetId="0">#REF!</definedName>
    <definedName name="SALVAR">#REF!</definedName>
    <definedName name="SAMAQ" localSheetId="0">#REF!</definedName>
    <definedName name="SAMAQ">#REF!</definedName>
    <definedName name="SAMT" localSheetId="0">#REF!</definedName>
    <definedName name="SAMT">#REF!</definedName>
    <definedName name="SAREV" localSheetId="0">#REF!</definedName>
    <definedName name="SAREV">#REF!</definedName>
    <definedName name="SASUP" localSheetId="0">#REF!</definedName>
    <definedName name="SASUP">#REF!</definedName>
    <definedName name="SATB" localSheetId="0">#REF!</definedName>
    <definedName name="SATB">#REF!</definedName>
    <definedName name="scaciosa" localSheetId="0">#REF!</definedName>
    <definedName name="scaciosa">#REF!</definedName>
    <definedName name="SD" localSheetId="0">#REF!</definedName>
    <definedName name="SD">#REF!</definedName>
    <definedName name="seg_desemb" localSheetId="0">#REF!</definedName>
    <definedName name="seg_desemb">#REF!</definedName>
    <definedName name="SEGUNDA" localSheetId="0">#REF!</definedName>
    <definedName name="SEGUNDA">#REF!</definedName>
    <definedName name="SEGUNDA_E_TERCEIRA" localSheetId="0">#REF!,#REF!</definedName>
    <definedName name="SEGUNDA_E_TERCEIRA">#REF!,#REF!</definedName>
    <definedName name="SEGURO" localSheetId="0">#REF!</definedName>
    <definedName name="SEGURO">#REF!</definedName>
    <definedName name="SEL_CIRCUL_CLIENTES" localSheetId="0">#REF!</definedName>
    <definedName name="SEL_CIRCUL_CLIENTES">#REF!</definedName>
    <definedName name="Seleção_intervias_débitos" localSheetId="0">#REF!</definedName>
    <definedName name="Seleção_intervias_débitos">#REF!</definedName>
    <definedName name="serv.terceiro" localSheetId="0">#REF!</definedName>
    <definedName name="serv.terceiro">#REF!</definedName>
    <definedName name="SERV.TERCEIROS" localSheetId="0">#REF!</definedName>
    <definedName name="SERV.TERCEIROS">#REF!</definedName>
    <definedName name="SERVIÇOS" localSheetId="0">#REF!</definedName>
    <definedName name="SERVIÇOS">#REF!</definedName>
    <definedName name="SET" localSheetId="0">#REF!</definedName>
    <definedName name="SET">#REF!</definedName>
    <definedName name="SETEMBRO" localSheetId="0">#REF!</definedName>
    <definedName name="SETEMBRO">#REF!</definedName>
    <definedName name="sf">#REF!</definedName>
    <definedName name="SGAREHHUJ" localSheetId="0" hidden="1">#REF!</definedName>
    <definedName name="SGAREHHUJ" hidden="1">#REF!</definedName>
    <definedName name="SINTETIC" localSheetId="0">#REF!</definedName>
    <definedName name="SINTETIC">#REF!</definedName>
    <definedName name="SINTETIC2" localSheetId="0">#REF!</definedName>
    <definedName name="SINTETIC2">#REF!</definedName>
    <definedName name="SINTETIC3" localSheetId="0">#REF!</definedName>
    <definedName name="SINTETIC3">#REF!</definedName>
    <definedName name="SINTETICOS" localSheetId="0">#REF!</definedName>
    <definedName name="SINTETICOS">#REF!</definedName>
    <definedName name="SLD.000.C.0.00.0000.00.00.">0</definedName>
    <definedName name="SLD.000.C.0.00.0000.00.00.11">29753410.15</definedName>
    <definedName name="SLD.000.C.0.00.0000.00.00.111">27591085.74</definedName>
    <definedName name="SLD.000.C.0.00.0000.00.00.11201010035">200</definedName>
    <definedName name="SLD.000.C.0.00.0000.00.00.11306010019">90.63</definedName>
    <definedName name="SLD.000.C.0.00.0000.00.00.11306010031">13002</definedName>
    <definedName name="SLD.000.C.0.00.0000.00.00.11306010034">2841.31</definedName>
    <definedName name="SLD.000.C.0.00.0000.00.00.11306010036">22315.38999999</definedName>
    <definedName name="SLD.000.C.0.00.0000.00.00.11307">54142.41</definedName>
    <definedName name="SLD.000.C.0.00.0000.00.00.115">0</definedName>
    <definedName name="SLD.000.C.0.00.0000.00.00.117">533634.32999992</definedName>
    <definedName name="SLD.000.C.0.00.0000.00.00.121">31439885.269989</definedName>
    <definedName name="SLD.000.C.0.00.0000.00.00.12101">0</definedName>
    <definedName name="SLD.000.C.0.00.0000.00.00.1210102">0</definedName>
    <definedName name="SLD.000.C.0.00.0000.00.00.12301">997253.47000027</definedName>
    <definedName name="SLD.000.C.0.00.0000.00.00.12302">7350943.8</definedName>
    <definedName name="SLD.000.C.0.00.0000.00.00.12302010001">5661662.49</definedName>
    <definedName name="SLD.000.C.0.00.0000.00.00.12302010002">1689281.31</definedName>
    <definedName name="SLD.000.C.0.00.0000.00.00.131">0</definedName>
    <definedName name="SLD.000.C.0.00.0000.00.00.21">112787376.61</definedName>
    <definedName name="SLD.000.C.0.00.0000.00.00.211">73815519.2800293</definedName>
    <definedName name="SLD.000.C.0.00.0000.00.00.2110202">8945319.35</definedName>
    <definedName name="SLD.000.C.0.00.0000.00.00.21102020015">5698049.8</definedName>
    <definedName name="SLD.000.C.0.00.0000.00.00.21102020016">1288938.52</definedName>
    <definedName name="SLD.000.C.0.00.0000.00.00.21102020017">2060944.31</definedName>
    <definedName name="SLD.000.C.0.00.0000.00.00.2110203">49305730.0399999</definedName>
    <definedName name="SLD.000.C.0.00.0000.00.00.21103">28463747.93</definedName>
    <definedName name="SLD.000.C.0.00.0000.00.00.2110302">28463747.93</definedName>
    <definedName name="SLD.000.C.0.00.0000.00.00.212">88033.35000002</definedName>
    <definedName name="SLD.000.C.0.00.0000.00.00.21401">436624.83</definedName>
    <definedName name="SLD.000.C.0.00.0000.00.00.216">634076.36999989</definedName>
    <definedName name="SLD.000.C.0.00.0000.00.00.217">17315355.6300048</definedName>
    <definedName name="SLD.000.C.0.00.0000.00.00.21704010001">16653.00999999</definedName>
    <definedName name="SLD.000.C.0.00.0000.00.00.21704010003">0</definedName>
    <definedName name="SLD.000.C.0.00.0000.00.00.219">3513721.00999832</definedName>
    <definedName name="SLD.000.C.0.00.0000.00.00.221">290102726.669921</definedName>
    <definedName name="SLD.000.C.0.00.0000.00.00.22102">117013223.189999</definedName>
    <definedName name="SLD.000.C.0.00.0000.00.00.2210202">12521415.66</definedName>
    <definedName name="SLD.000.C.0.00.0000.00.00.22102020014">8312827.07</definedName>
    <definedName name="SLD.000.C.0.00.0000.00.00.22102020015">2570149.45</definedName>
    <definedName name="SLD.000.C.0.00.0000.00.00.22102020016">1013169.66</definedName>
    <definedName name="SLD.000.C.0.00.0000.00.00.2210203">127931386.629999</definedName>
    <definedName name="SLD.000.C.0.00.0000.00.00.22102030001">49699217.0199999</definedName>
    <definedName name="SLD.000.C.0.00.0000.00.00.22102030002">55417859.99</definedName>
    <definedName name="SLD.000.C.0.00.0000.00.00.22103">101891996.71</definedName>
    <definedName name="SLD.000.C.0.00.0000.00.00.2210302">95796479.6799999</definedName>
    <definedName name="SLD.000.C.0.00.0000.00.00.22103020018">22597434.91</definedName>
    <definedName name="SLD.000.C.0.00.0000.00.00.22103020019">43861601.4399999</definedName>
    <definedName name="SLD.000.C.0.00.0000.00.00.22103020020">29337443.33</definedName>
    <definedName name="SLD.000.C.0.00.0000.00.00.22103030001">6026554.28</definedName>
    <definedName name="SLD.000.C.0.00.0000.00.00.222">21139278.8200073</definedName>
    <definedName name="SLD.000.C.0.00.0000.00.00.22201010001">7023539.95</definedName>
    <definedName name="SLD.000.C.0.00.0000.00.00.22203010001">35282718.93</definedName>
    <definedName name="SLD.000.C.0.00.0000.00.00.241">129974445.70996</definedName>
    <definedName name="SLD.000.C.0.00.0000.00.00.24101">129974445.70996</definedName>
    <definedName name="SLD.000.C.0.00.0000.00.00.24101010001">137385036</definedName>
    <definedName name="SLD.000.C.0.00.0000.00.00.244">2180449.56999969</definedName>
    <definedName name="SLD.000.C.0.00.0000.00.00.24401010001">3983205.98</definedName>
    <definedName name="SLD.000.C.0.00.0000.00.00.24401010002">398320.6</definedName>
    <definedName name="SLD.000.C.0.00.0000.00.00.24501">18114451.8699951</definedName>
    <definedName name="SLD.000.C.0.00.0000.00.00.2450101">20817035.09</definedName>
    <definedName name="SLD.000.C.0.00.0000.00.00.24501010001">21782718.53</definedName>
    <definedName name="SLD.000.C.0.00.0000.00.00.31">290217002.200195</definedName>
    <definedName name="SLD.000.C.0.00.0000.00.00.311">179585641.580078</definedName>
    <definedName name="SLD.000.C.0.00.0000.00.00.312">4954140.23999786</definedName>
    <definedName name="SLD.000.C.0.00.0000.00.00.32">-21064440.0299987</definedName>
    <definedName name="SLD.000.C.0.00.0000.00.00.34">363001.90999985</definedName>
    <definedName name="SLD.000.C.0.00.0000.00.00.41">-155587260.75</definedName>
    <definedName name="SLD.000.C.0.00.0000.00.00.4110201">-102075876.309999</definedName>
    <definedName name="SLD.000.C.0.00.0000.00.00.42">-25368197.2900085</definedName>
    <definedName name="SLD.000.C.0.00.0000.00.00.44">-5557702.52999878</definedName>
    <definedName name="SLD.000.C.0.00.0000.00.00.4410101">-12315505.6900024</definedName>
    <definedName name="SLD.000.C.0.00.0000.00.00.44101010019">-3731987.45</definedName>
    <definedName name="SLD.000.C.0.00.0000.00.00.4410102">-21328703.7200012</definedName>
    <definedName name="SLD.000.C.0.00.0000.00.00.44101020005">-8613653.92</definedName>
    <definedName name="SLD.000.C.0.00.0000.00.00.44101020008">-32477747.64</definedName>
    <definedName name="SLD.000.C.0.00.0000.00.00.45">-133099.42000008</definedName>
    <definedName name="SLD.000.C.0.00.0000.00.00.47101010001">-4710636.20999908</definedName>
    <definedName name="SLD.000.C.0.00.0000.00.00.47101010002">-1201172.17000008</definedName>
    <definedName name="SLD.000.C.0.00.0000.00.00.47102010001">-958259.69</definedName>
    <definedName name="SLD.000.C.0.00.0000.00.00.47102010002">-399005.5</definedName>
    <definedName name="SLD.000.C.0.00.0000.00.00.D1010">17989327</definedName>
    <definedName name="SLD.000.C.0.00.0000.00.00.D1011">9804813.5</definedName>
    <definedName name="SLD.000.C.0.00.0000.00.00.D1012">1992874.98999977</definedName>
    <definedName name="SLD.000.C.0.00.0000.00.00.D1013">7966124.47000122</definedName>
    <definedName name="SLD.000.C.0.00.0000.00.00.D1014">98873.1400001</definedName>
    <definedName name="SLD.000.C.0.00.0000.00.00.D1015">498771725.940429</definedName>
    <definedName name="SLD.000.C.0.00.0000.00.00.D1016">3861816.84998322</definedName>
    <definedName name="SLD.000.C.0.00.0000.00.00.D1017">6518375.77999878</definedName>
    <definedName name="SLD.000.C.0.00.0000.00.00.D1018">30428702.3901367</definedName>
    <definedName name="SLD.000.C.0.00.0000.00.00.D1025">-45744891.0900268</definedName>
    <definedName name="SLD.000.C.0.00.0000.00.00.D1026">-13650979.5200805</definedName>
    <definedName name="SLD.000.C.0.00.0000.00.00.D1030">-18147550.3200073</definedName>
    <definedName name="SLD.000.C.0.00.0000.00.00.D1074">3439383.08001709</definedName>
    <definedName name="SLD.000.C.0.00.0000.00.00.D1075">-7966124.47000122</definedName>
    <definedName name="SLD.000.C.0.00.0000.00.00.D1076">20221665.6099853</definedName>
    <definedName name="SLD.000.C.0.00.0000.00.00.D1093">1009504.21000004</definedName>
    <definedName name="SLD.000.C.0.00.0000.00.00.D1094">2896500.96999741</definedName>
    <definedName name="SLD.000.C.0.00.0000.00.00.D11">0</definedName>
    <definedName name="SLD.000.C.0.00.0000.00.00.D1132">4943409.69999999</definedName>
    <definedName name="SLD.000.C.0.00.0000.00.00.D1146">-57379859.5699999</definedName>
    <definedName name="SLD.000.C.0.00.0000.00.00.D1155">25936.66999999</definedName>
    <definedName name="SLD.000.C.0.00.0000.00.00.D1181">-39735946.03</definedName>
    <definedName name="SLD.000.C.0.00.0000.00.00.D1182">-41091401.56</definedName>
    <definedName name="SLD.000.C.0.00.0000.00.00.D1183">-17505834.5199999</definedName>
    <definedName name="SLD.000.C.0.00.0000.00.00.D1203">15148831.86</definedName>
    <definedName name="SLD.000.C.0.00.0000.00.00.D1204">12442253.88</definedName>
    <definedName name="SLD.000.C.0.00.0000.00.00.D1205">1534995.27</definedName>
    <definedName name="SLD.000.C.0.00.0000.00.00.D1206">4285733.73</definedName>
    <definedName name="SLD.000.C.0.00.0000.00.00.D1207">519297867.03</definedName>
    <definedName name="SLD.000.C.0.00.0000.00.00.D1208">-0.00000001</definedName>
    <definedName name="SLD.000.C.0.00.0000.00.00.D1209">3105929.97</definedName>
    <definedName name="SLD.000.C.0.00.0000.00.00.D1210">5380034.52999999</definedName>
    <definedName name="SLD.000.C.0.00.0000.00.00.D1211">20817035.09</definedName>
    <definedName name="SLD.000.C.0.00.0000.00.00.D1212">6164913.85</definedName>
    <definedName name="SLD.000.C.0.00.0000.00.00.D1213">329059596.319999</definedName>
    <definedName name="SLD.000.C.0.00.0000.00.00.D1214">4285733.73</definedName>
    <definedName name="SLD.000.C.0.00.0000.00.00.D2018">-2191299.82</definedName>
    <definedName name="SLD.000.C.0.00.0000.00.00.D2021">934197.96</definedName>
    <definedName name="SLD.000.C.0.00.0000.00.00.D2022">-3009284.92</definedName>
    <definedName name="SLD.000.C.0.00.0000.00.00.D997">5050971.46000671</definedName>
    <definedName name="SLD.000.C.0.00.0000.00.00.DCRECEBER">1089681.6099987</definedName>
    <definedName name="SLD.000.C.0.00.0000.00.01.111">27591</definedName>
    <definedName name="SLD.000.C.0.00.0000.00.01.11306010036">22</definedName>
    <definedName name="SLD.000.C.0.00.0000.00.01.117">1001</definedName>
    <definedName name="SLD.000.C.0.00.0000.00.01.121">30082</definedName>
    <definedName name="SLD.000.C.0.00.0000.00.01.12301">997</definedName>
    <definedName name="SLD.000.C.0.00.0000.00.01.12302010001">5662</definedName>
    <definedName name="SLD.000.C.0.00.0000.00.01.12302010002">1689</definedName>
    <definedName name="SLD.000.C.0.00.0000.00.01.211">73607</definedName>
    <definedName name="SLD.000.C.0.00.0000.00.01.212">220</definedName>
    <definedName name="SLD.000.C.0.00.0000.00.01.216">555</definedName>
    <definedName name="SLD.000.C.0.00.0000.00.01.217">22702</definedName>
    <definedName name="SLD.000.C.0.00.0000.00.01.219">3514</definedName>
    <definedName name="SLD.000.C.0.00.0000.00.01.221">307226</definedName>
    <definedName name="SLD.000.C.0.00.0000.00.01.22103030001">6027</definedName>
    <definedName name="SLD.000.C.0.00.0000.00.01.222">12514</definedName>
    <definedName name="SLD.000.C.0.00.0000.00.01.22201010001">6165</definedName>
    <definedName name="SLD.000.C.0.00.0000.00.01.241">129974</definedName>
    <definedName name="SLD.000.C.0.00.0000.00.01.244">2180</definedName>
    <definedName name="SLD.000.C.0.00.0000.00.01.24401010001">3983</definedName>
    <definedName name="SLD.000.C.0.00.0000.00.01.24501">18114</definedName>
    <definedName name="SLD.000.C.0.00.0000.00.01.D1010">14735</definedName>
    <definedName name="SLD.000.C.0.00.0000.00.01.D1011">36890</definedName>
    <definedName name="SLD.000.C.0.00.0000.00.01.D1012">1296</definedName>
    <definedName name="SLD.000.C.0.00.0000.00.01.D1013">8253</definedName>
    <definedName name="SLD.000.C.0.00.0000.00.01.D1014">99</definedName>
    <definedName name="SLD.000.C.0.00.0000.00.01.D1015">487300</definedName>
    <definedName name="SLD.000.C.0.00.0000.00.01.D1016">6062</definedName>
    <definedName name="SLD.000.C.0.00.0000.00.01.D1017">5130</definedName>
    <definedName name="SLD.000.C.0.00.0000.00.01.D1018">30429</definedName>
    <definedName name="SLD.000.C.0.00.0000.00.01.D2019">-30690</definedName>
    <definedName name="SLD.000.C.0.00.0000.00.01.D2020">-163004</definedName>
    <definedName name="SLD.000.C.0.00.0000.00.01.DCRECEBER">610</definedName>
    <definedName name="SLD.000.C.0.00.1999.00.00.11">46755858.65</definedName>
    <definedName name="SLD.000.C.0.00.1999.00.00.111">28080836.7299999</definedName>
    <definedName name="SLD.000.C.0.00.1999.00.00.11307">4699155.21</definedName>
    <definedName name="SLD.000.C.0.00.1999.00.00.115">13298104.21</definedName>
    <definedName name="SLD.000.C.0.00.1999.00.00.117">386309.42000008</definedName>
    <definedName name="SLD.000.C.0.00.1999.00.00.121">32120074.2799987</definedName>
    <definedName name="SLD.000.C.0.00.1999.00.00.12101">32120074.28</definedName>
    <definedName name="SLD.000.C.0.00.1999.00.00.12302">8628884.53</definedName>
    <definedName name="SLD.000.C.0.00.1999.00.00.131">90000</definedName>
    <definedName name="SLD.000.C.0.00.1999.00.00.21">106839174.599999</definedName>
    <definedName name="SLD.000.C.0.00.1999.00.00.211">71813107.4799804</definedName>
    <definedName name="SLD.000.C.0.00.1999.00.00.212">988466.92000008</definedName>
    <definedName name="SLD.000.C.0.00.1999.00.00.21401">0</definedName>
    <definedName name="SLD.000.C.0.00.1999.00.00.217">30737899.1099853</definedName>
    <definedName name="SLD.000.C.0.00.1999.00.00.221">321088959</definedName>
    <definedName name="SLD.000.C.0.00.1999.00.00.222">12513945.7100067</definedName>
    <definedName name="SLD.000.C.0.00.1999.00.00.22203010001">12513945.71</definedName>
    <definedName name="SLD.000.C.0.00.1999.00.00.241">129974445.70996</definedName>
    <definedName name="SLD.000.C.0.00.1999.00.00.24101010001">129974445.71</definedName>
    <definedName name="SLD.000.C.0.00.1999.00.00.244">2180449.56999969</definedName>
    <definedName name="SLD.000.C.0.00.1999.00.00.2450101">37464088.14</definedName>
    <definedName name="SLD.000.C.0.00.1999.00.00.24501010001">37464088.14</definedName>
    <definedName name="SLD.000.C.0.00.1999.00.00.31">244637695.850097</definedName>
    <definedName name="SLD.000.C.0.00.1999.00.00.32">-7509368.30000305</definedName>
    <definedName name="SLD.000.C.0.00.1999.00.00.34">14624027.0099945</definedName>
    <definedName name="SLD.000.C.0.00.1999.00.00.41">-137984469.360107</definedName>
    <definedName name="SLD.000.C.0.00.1999.00.00.42">-18822323.7999877</definedName>
    <definedName name="SLD.000.C.0.00.1999.00.00.45">1209821.75</definedName>
    <definedName name="SLD.000.C.0.00.1999.00.00.47101010001">6781028.15000153</definedName>
    <definedName name="SLD.000.C.0.00.1999.00.00.47101010002">1847856.37999916</definedName>
    <definedName name="SLD.000.C.0.00.1999.00.00.D1010">16016305.1600036</definedName>
    <definedName name="SLD.000.C.0.00.1999.00.00.D1011">25362635.7800293</definedName>
    <definedName name="SLD.000.C.0.00.1999.00.00.D1012">4699155.20999908</definedName>
    <definedName name="SLD.000.C.0.00.1999.00.00.D1013">8628884.52999878</definedName>
    <definedName name="SLD.000.C.0.00.1999.00.00.D1015">491398211.890625</definedName>
    <definedName name="SLD.000.C.0.00.1999.00.00.D1016">10463049.2499847</definedName>
    <definedName name="SLD.000.C.0.00.1999.00.00.D1017">2173749.31999969</definedName>
    <definedName name="SLD.000.C.0.00.1999.00.00.D1018">18114451.8701171</definedName>
    <definedName name="SLD.000.C.0.00.1999.00.00.D1025">-49193159.4400024</definedName>
    <definedName name="SLD.000.C.0.00.1999.00.00.D1026">-3587777.86999512</definedName>
    <definedName name="SLD.000.C.0.00.1999.00.00.D1030">-71352966.6400146</definedName>
    <definedName name="SLD.000.C.0.00.1999.00.00.D1074">-19349636.2700195</definedName>
    <definedName name="SLD.000.C.0.00.1999.00.00.D1075">-8628884.52999878</definedName>
    <definedName name="SLD.000.C.0.00.1999.00.00.D1076">77181160.7299804</definedName>
    <definedName name="SLD.000.C.0.00.1999.00.00.D1093">1255347.8599987</definedName>
    <definedName name="SLD.000.C.0.00.1999.00.00.D1094">1125951.77000046</definedName>
    <definedName name="SLD.000.C.0.00.1999.00.00.D1132">2173749.32</definedName>
    <definedName name="SLD.000.C.0.00.1999.00.00.D1203">16016305.1599999</definedName>
    <definedName name="SLD.000.C.0.00.1999.00.00.D1204">25362635.7799999</definedName>
    <definedName name="SLD.000.C.0.00.1999.00.00.D1205">291453.08</definedName>
    <definedName name="SLD.000.C.0.00.1999.00.00.D1206">1255347.86</definedName>
    <definedName name="SLD.000.C.0.00.1999.00.00.D1207">491398211.889999</definedName>
    <definedName name="SLD.000.C.0.00.1999.00.00.D1208">10463049.25</definedName>
    <definedName name="SLD.000.C.0.00.1999.00.00.D1209">1125951.77</definedName>
    <definedName name="SLD.000.C.0.00.1999.00.00.D1210">2173749.32</definedName>
    <definedName name="SLD.000.C.0.00.1999.00.00.D1211">37464088.14</definedName>
    <definedName name="SLD.000.C.0.00.1999.00.00.D1212">0</definedName>
    <definedName name="SLD.000.C.0.00.1999.00.00.D1213">392902066.48</definedName>
    <definedName name="SLD.000.C.0.00.1999.00.00.D1214">1255347.86</definedName>
    <definedName name="SLD.000.C.0.00.1999.00.00.D997">52401126.4100341</definedName>
    <definedName name="SLD.000.C.0.00.1999.00.00.DCRECEBER">291453.08000183</definedName>
    <definedName name="SLD.000.C.0.00.1999.00.01.12302">8629</definedName>
    <definedName name="SLD.000.C.0.00.1999.00.01.D1204">25363</definedName>
    <definedName name="SLD.000.C.0.00.2000.00.00.">0</definedName>
    <definedName name="SLD.000.C.0.00.2000.00.00.11">31410331.4299999</definedName>
    <definedName name="SLD.000.C.0.00.2000.00.00.117">533634.32999992</definedName>
    <definedName name="SLD.000.C.0.00.2000.00.00.121">31439885.269989</definedName>
    <definedName name="SLD.000.C.0.00.2000.00.00.12301">1147792.02000046</definedName>
    <definedName name="SLD.000.C.0.00.2000.00.00.131">0</definedName>
    <definedName name="SLD.000.C.0.00.2000.00.00.21">100633785.009999</definedName>
    <definedName name="SLD.000.C.0.00.2000.00.00.211">73815519.2800293</definedName>
    <definedName name="SLD.000.C.0.00.2000.00.00.2110202">7724014.29</definedName>
    <definedName name="SLD.000.C.0.00.2000.00.00.2110203">44399022.1399999</definedName>
    <definedName name="SLD.000.C.0.00.2000.00.00.21103">21692482.85</definedName>
    <definedName name="SLD.000.C.0.00.2000.00.00.212">88033.35000002</definedName>
    <definedName name="SLD.000.C.0.00.2000.00.00.217">17315355.6300048</definedName>
    <definedName name="SLD.000.C.0.00.2000.00.00.221">290102726.669921</definedName>
    <definedName name="SLD.000.C.0.00.2000.00.00.2210202">18002186.62</definedName>
    <definedName name="SLD.000.C.0.00.2000.00.00.2210203">146502913.319999</definedName>
    <definedName name="SLD.000.C.0.00.2000.00.00.22103">125597626.729999</definedName>
    <definedName name="SLD.000.C.0.00.2000.00.00.222">21139278.8200073</definedName>
    <definedName name="SLD.000.C.0.00.2000.00.00.241">129974445.70996</definedName>
    <definedName name="SLD.000.C.0.00.2000.00.00.244">2180449.56999969</definedName>
    <definedName name="SLD.000.C.0.00.2000.00.00.31">290217002.200195</definedName>
    <definedName name="SLD.000.C.0.00.2000.00.00.311">67578450.3000488</definedName>
    <definedName name="SLD.000.C.0.00.2000.00.00.312">1710563.19000053</definedName>
    <definedName name="SLD.000.C.0.00.2000.00.00.32">-21064440.0299987</definedName>
    <definedName name="SLD.000.C.0.00.2000.00.00.34">7705475.12000275</definedName>
    <definedName name="SLD.000.C.0.00.2000.00.00.41">-155587260.75</definedName>
    <definedName name="SLD.000.C.0.00.2000.00.00.42">-25368197.2900085</definedName>
    <definedName name="SLD.000.C.0.00.2000.00.00.4410101">-12689636.2599945</definedName>
    <definedName name="SLD.000.C.0.00.2000.00.00.44101010019">-5991197.71</definedName>
    <definedName name="SLD.000.C.0.00.2000.00.00.4410102">5623644.69000244</definedName>
    <definedName name="SLD.000.C.0.00.2000.00.00.44101020005">-3917082.42</definedName>
    <definedName name="SLD.000.C.0.00.2000.00.00.44101020008">-14230467.9</definedName>
    <definedName name="SLD.000.C.0.00.2000.00.00.45">-133099.42000008</definedName>
    <definedName name="SLD.000.C.0.00.2000.00.00.47101010001">-4710636.20999908</definedName>
    <definedName name="SLD.000.C.0.00.2000.00.00.47101010002">-1201172.17000008</definedName>
    <definedName name="SLD.000.C.0.00.2000.00.00.D1010">17989327</definedName>
    <definedName name="SLD.000.C.0.00.2000.00.00.D1011">9804813.5</definedName>
    <definedName name="SLD.000.C.0.00.2000.00.00.D1012">1992874.98999977</definedName>
    <definedName name="SLD.000.C.0.00.2000.00.00.D1013">7966124.47000122</definedName>
    <definedName name="SLD.000.C.0.00.2000.00.00.D1015">498771725.940429</definedName>
    <definedName name="SLD.000.C.0.00.2000.00.00.D1016">3861816.84998322</definedName>
    <definedName name="SLD.000.C.0.00.2000.00.00.D1017">6518375.77999878</definedName>
    <definedName name="SLD.000.C.0.00.2000.00.00.D1018">30428702.3901367</definedName>
    <definedName name="SLD.000.C.0.00.2000.00.00.D1025">-45744891.0900268</definedName>
    <definedName name="SLD.000.C.0.00.2000.00.00.D1026">-13650979.5200805</definedName>
    <definedName name="SLD.000.C.0.00.2000.00.00.D1030">-18147550.3200073</definedName>
    <definedName name="SLD.000.C.0.00.2000.00.00.D1093">1009504.21000004</definedName>
    <definedName name="SLD.000.C.0.00.2000.00.00.D1094">2896500.96999741</definedName>
    <definedName name="SLD.000.C.0.00.2000.00.00.D1155">19932.71000001</definedName>
    <definedName name="SLD.000.C.0.00.2000.00.00.D1212">0</definedName>
    <definedName name="SLD.000.C.0.00.2000.00.00.D1213">363918245.949999</definedName>
    <definedName name="SLD.000.C.0.00.2000.00.00.DCRECEBER">1089681.6099987</definedName>
    <definedName name="SLD.000.C.0.00.2000.00.01.22201010001">0</definedName>
    <definedName name="SLD.000.C.0.00.2000.00.01.D1204">9805</definedName>
    <definedName name="SLD.000.C.0.00.2001.00.00.11306010034">2841.31</definedName>
    <definedName name="SLD.000.C.0.00.2001.00.00.2110202">8945319.35</definedName>
    <definedName name="SLD.000.C.0.00.2001.00.00.21102020015">5645659.72</definedName>
    <definedName name="SLD.000.C.0.00.2001.00.00.21102020016">1203843.3</definedName>
    <definedName name="SLD.000.C.0.00.2001.00.00.21102020017">2017282.18</definedName>
    <definedName name="SLD.000.C.0.00.2001.00.00.2110203">49305730.0399999</definedName>
    <definedName name="SLD.000.C.0.00.2001.00.00.2110302">28463747.93</definedName>
    <definedName name="SLD.000.C.0.00.2001.00.00.221">242344798.999999</definedName>
    <definedName name="SLD.000.C.0.00.2001.00.00.2210202">12521415.66</definedName>
    <definedName name="SLD.000.C.0.00.2001.00.00.22102020014">12888769.03</definedName>
    <definedName name="SLD.000.C.0.00.2001.00.00.22102020015">3586440.31</definedName>
    <definedName name="SLD.000.C.0.00.2001.00.00.22102020016">2827596.2</definedName>
    <definedName name="SLD.000.C.0.00.2001.00.00.2210203">127931386.629999</definedName>
    <definedName name="SLD.000.C.0.00.2001.00.00.2210302">101891996.71</definedName>
    <definedName name="SLD.000.C.0.00.2001.00.00.22201010001">6164913.85</definedName>
    <definedName name="SLD.000.C.0.00.2001.00.00.22203010001">31848667.53</definedName>
    <definedName name="SLD.000.C.0.00.2001.00.00.24401010001">3983205.98</definedName>
    <definedName name="SLD.000.C.0.00.2001.00.00.24401010002">398320.6</definedName>
    <definedName name="SLD.000.C.0.00.2001.00.00.4110201">-102075876.309999</definedName>
    <definedName name="SLD.000.C.0.00.2001.00.00.44101010019">-3731987.45</definedName>
    <definedName name="SLD.000.C.0.00.2001.00.00.44101020008">-32477747.64</definedName>
    <definedName name="SLD.000.C.0.00.2001.00.00.47101010001">-3009284.92</definedName>
    <definedName name="SLD.000.C.0.00.2001.00.00.47101010002">-786291.63</definedName>
    <definedName name="SLD.000.C.0.00.2001.00.00.47102010001">598023.2</definedName>
    <definedName name="SLD.000.C.0.00.2001.00.00.47102010002">-47287.66</definedName>
    <definedName name="SLD.000.C.0.00.2001.00.00.D1146">-57379859.5699999</definedName>
    <definedName name="SLD.000.C.0.00.2001.00.00.D1211">620774559.3</definedName>
    <definedName name="SLD.000.C.0.00.2001.00.00.D1212">6164913.85</definedName>
    <definedName name="SLD.000.C.0.00.2001.00.00.D2018">-2191299.82</definedName>
    <definedName name="SLD.000.C.0.00.2001.00.00.D2021">934197.96</definedName>
    <definedName name="SLD.000.C.0.00.2001.00.00.D2022">-3009284.92</definedName>
    <definedName name="SLD.000.C.0.00.2001.00.01.D1018">-579140</definedName>
    <definedName name="SLD.000.C.0.00.2001.00.01.D2019">-30690</definedName>
    <definedName name="SLD.000.C.0.00.2001.00.01.D2020">-163004</definedName>
    <definedName name="SLD.000.C.0.00.2002.00.00.">0</definedName>
    <definedName name="SLD.000.C.0.00.2002.00.00.11306010031">0</definedName>
    <definedName name="SLD.000.C.0.00.2002.00.00.22102">117013223.189999</definedName>
    <definedName name="SLD.000.C.0.00.2002.00.00.22102020014">8312827.07</definedName>
    <definedName name="SLD.000.C.0.00.2002.00.00.2210302">95796479.6799999</definedName>
    <definedName name="SLD.000.C.0.00.2002.00.00.22103030001">6026554.28</definedName>
    <definedName name="SLD.000.C.0.00.2002.00.00.22201010001">7023539.95</definedName>
    <definedName name="SLD.000.C.0.00.2002.00.00.22203010001">35282718.93</definedName>
    <definedName name="SLD.000.C.0.00.2002.00.00.47101010002">-931012.82</definedName>
    <definedName name="SLD.000.C.0.00.2002.00.00.47102010001">-958259.69</definedName>
    <definedName name="SLD.000.C.0.00.2002.00.00.47102010002">-399005.5</definedName>
    <definedName name="SLD.000.C.0.00.2002.00.00.D997">13938418.09</definedName>
    <definedName name="SLD.000.C.0.00.2002.00.01.22103030001">6027</definedName>
    <definedName name="SLD.000.C.0.00.2002.00.01.22201010001">7024</definedName>
    <definedName name="SLD.000.C.0.01.0000.00.00.34">363001.90999985</definedName>
    <definedName name="SLD.000.C.0.01.0000.00.00.44">-5557702.52999878</definedName>
    <definedName name="SLD.000.C.0.01.0000.00.00.D997">5050971.46000671</definedName>
    <definedName name="SLD.000.C.0.01.0000.00.01.111">37253</definedName>
    <definedName name="SLD.000.C.0.01.0000.00.01.11201010035">0</definedName>
    <definedName name="SLD.000.C.0.01.0000.00.01.11306010019">0</definedName>
    <definedName name="SLD.000.C.0.01.0000.00.01.11306010031">24</definedName>
    <definedName name="SLD.000.C.0.01.0000.00.01.117">1717</definedName>
    <definedName name="SLD.000.C.0.01.0000.00.01.121">31692</definedName>
    <definedName name="SLD.000.C.0.01.0000.00.01.131">0</definedName>
    <definedName name="SLD.000.C.0.01.0000.00.01.211">77172</definedName>
    <definedName name="SLD.000.C.0.01.0000.00.01.212">66</definedName>
    <definedName name="SLD.000.C.0.01.0000.00.01.217">21908</definedName>
    <definedName name="SLD.000.C.0.01.0000.00.01.21704010001">13</definedName>
    <definedName name="SLD.000.C.0.01.0000.00.01.221">289496</definedName>
    <definedName name="SLD.000.C.0.01.0000.00.01.222">21139</definedName>
    <definedName name="SLD.000.C.0.01.0000.00.01.241">129974</definedName>
    <definedName name="SLD.000.C.0.01.0000.00.01.244">3416</definedName>
    <definedName name="SLD.000.C.0.01.0000.00.01.31">27924</definedName>
    <definedName name="SLD.000.C.0.01.0000.00.01.32">-2329</definedName>
    <definedName name="SLD.000.C.0.01.0000.00.01.34">363</definedName>
    <definedName name="SLD.000.C.0.01.0000.00.01.41">-13778</definedName>
    <definedName name="SLD.000.C.0.01.0000.00.01.42">-1907</definedName>
    <definedName name="SLD.000.C.0.01.0000.00.01.44">-5558</definedName>
    <definedName name="SLD.000.C.0.01.0000.00.01.45">-37</definedName>
    <definedName name="SLD.000.C.0.01.0000.00.01.47101010001">-925</definedName>
    <definedName name="SLD.000.C.0.01.0000.00.01.47101010002">-313</definedName>
    <definedName name="SLD.000.C.0.01.0000.00.01.D1010">19322</definedName>
    <definedName name="SLD.000.C.0.01.0000.00.01.D1011">17931</definedName>
    <definedName name="SLD.000.C.0.01.0000.00.01.D1012">644</definedName>
    <definedName name="SLD.000.C.0.01.0000.00.01.D1013">7881</definedName>
    <definedName name="SLD.000.C.0.01.0000.00.01.D1015">498488</definedName>
    <definedName name="SLD.000.C.0.01.0000.00.01.D1016">3312</definedName>
    <definedName name="SLD.000.C.0.01.0000.00.01.D1017">5589</definedName>
    <definedName name="SLD.000.C.0.01.0000.00.01.D1018">32633</definedName>
    <definedName name="SLD.000.C.0.01.0000.00.01.D1025">-3644</definedName>
    <definedName name="SLD.000.C.0.01.0000.00.01.D1026">-222</definedName>
    <definedName name="SLD.000.C.0.01.0000.00.01.D1030">-1691</definedName>
    <definedName name="SLD.000.C.0.01.0000.00.01.D1093">1024</definedName>
    <definedName name="SLD.000.C.0.01.0000.00.01.D1094">2511</definedName>
    <definedName name="SLD.000.C.0.01.0000.00.01.D997">5051</definedName>
    <definedName name="SLD.000.C.0.01.0000.00.01.DCRECEBER">1892</definedName>
    <definedName name="SLD.000.C.0.01.1999.00.00.249">0</definedName>
    <definedName name="SLD.000.C.0.01.2001.00.00.44101010019">-325631.57</definedName>
    <definedName name="SLD.000.C.0.01.2001.00.00.44101020008">-1320819.3</definedName>
    <definedName name="SLD.000.C.0.01.2001.00.01.111">37253</definedName>
    <definedName name="SLD.000.C.0.01.2001.00.01.44101010019">-326</definedName>
    <definedName name="SLD.000.C.0.01.2001.00.01.44101020008">-1321</definedName>
    <definedName name="SLD.000.C.0.02.0000.00.01.11201010035">0</definedName>
    <definedName name="SLD.000.C.0.02.0000.00.01.11306010019">0</definedName>
    <definedName name="SLD.000.C.0.02.0000.00.01.11306010031">15</definedName>
    <definedName name="SLD.000.C.0.02.0000.00.01.117">1635</definedName>
    <definedName name="SLD.000.C.0.02.0000.00.01.121">12967</definedName>
    <definedName name="SLD.000.C.0.02.0000.00.01.131">0</definedName>
    <definedName name="SLD.000.C.0.02.0000.00.01.211">81910</definedName>
    <definedName name="SLD.000.C.0.02.0000.00.01.212">62</definedName>
    <definedName name="SLD.000.C.0.02.0000.00.01.217">21957</definedName>
    <definedName name="SLD.000.C.0.02.0000.00.01.21704010001">16</definedName>
    <definedName name="SLD.000.C.0.02.0000.00.01.221">293759</definedName>
    <definedName name="SLD.000.C.0.02.0000.00.01.222">21139</definedName>
    <definedName name="SLD.000.C.0.02.0000.00.01.241">129974</definedName>
    <definedName name="SLD.000.C.0.02.0000.00.01.244">3416</definedName>
    <definedName name="SLD.000.C.0.02.0000.00.01.31">51359</definedName>
    <definedName name="SLD.000.C.0.02.0000.00.01.32">-4299</definedName>
    <definedName name="SLD.000.C.0.02.0000.00.01.34">1371</definedName>
    <definedName name="SLD.000.C.0.02.0000.00.01.41">-27355</definedName>
    <definedName name="SLD.000.C.0.02.0000.00.01.42">-3792</definedName>
    <definedName name="SLD.000.C.0.02.0000.00.01.44">-17386</definedName>
    <definedName name="SLD.000.C.0.02.0000.00.01.45">-39</definedName>
    <definedName name="SLD.000.C.0.02.0000.00.01.47101010001">49</definedName>
    <definedName name="SLD.000.C.0.02.0000.00.01.47101010002">59</definedName>
    <definedName name="SLD.000.C.0.02.0000.00.01.D1010">13552</definedName>
    <definedName name="SLD.000.C.0.02.0000.00.01.D1011">44891</definedName>
    <definedName name="SLD.000.C.0.02.0000.00.01.D1012">1986</definedName>
    <definedName name="SLD.000.C.0.02.0000.00.01.D1013">8151</definedName>
    <definedName name="SLD.000.C.0.02.0000.00.01.D1015">500198</definedName>
    <definedName name="SLD.000.C.0.02.0000.00.01.D1016">2762</definedName>
    <definedName name="SLD.000.C.0.02.0000.00.01.D1017">5516</definedName>
    <definedName name="SLD.000.C.0.02.0000.00.01.D1018">29160</definedName>
    <definedName name="SLD.000.C.0.02.0000.00.01.D1025">-7241</definedName>
    <definedName name="SLD.000.C.0.02.0000.00.01.D1026">-471</definedName>
    <definedName name="SLD.000.C.0.02.0000.00.01.D1030">-9674</definedName>
    <definedName name="SLD.000.C.0.02.0000.00.01.D1093">935</definedName>
    <definedName name="SLD.000.C.0.02.0000.00.01.D1094">2407</definedName>
    <definedName name="SLD.000.C.0.02.0000.00.01.D997">10081</definedName>
    <definedName name="SLD.000.C.0.02.0000.00.01.DCRECEBER">2225</definedName>
    <definedName name="SLD.000.C.0.02.2001.00.01.44101010019">-614</definedName>
    <definedName name="SLD.000.C.0.02.2001.00.01.44101020008">-7555</definedName>
    <definedName name="SLD.000.C.0.03.0000.00.00.12301">786499.5</definedName>
    <definedName name="SLD.000.C.0.03.0000.00.00.22103020018">22597434.91</definedName>
    <definedName name="SLD.000.C.0.03.0000.00.00.22103020019">43861601.4399999</definedName>
    <definedName name="SLD.000.C.0.03.0000.00.00.22103020020">29337443.33</definedName>
    <definedName name="SLD.000.C.0.03.0000.00.00.311">74384793.3399658</definedName>
    <definedName name="SLD.000.C.0.03.0000.00.00.312">2967049.86000061</definedName>
    <definedName name="SLD.000.C.0.03.0000.00.00.4410101">-12315505.6900024</definedName>
    <definedName name="SLD.000.C.0.03.0000.00.00.4410102">-21328703.7200012</definedName>
    <definedName name="SLD.000.C.0.03.0000.00.00.D1155">25936.66999999</definedName>
    <definedName name="SLD.000.C.0.03.0000.00.00.D1182">-21267863.63</definedName>
    <definedName name="SLD.000.C.0.03.0000.00.00.D1183">-1556695.08999999</definedName>
    <definedName name="SLD.000.C.0.03.0000.00.01.11201010035">0</definedName>
    <definedName name="SLD.000.C.0.03.0000.00.01.11306010019">0</definedName>
    <definedName name="SLD.000.C.0.03.0000.00.01.11306010031">21</definedName>
    <definedName name="SLD.000.C.0.03.0000.00.01.11306010036">22</definedName>
    <definedName name="SLD.000.C.0.03.0000.00.01.117">1555</definedName>
    <definedName name="SLD.000.C.0.03.0000.00.01.121">11</definedName>
    <definedName name="SLD.000.C.0.03.0000.00.01.12301">786</definedName>
    <definedName name="SLD.000.C.0.03.0000.00.01.131">0</definedName>
    <definedName name="SLD.000.C.0.03.0000.00.01.211">76191</definedName>
    <definedName name="SLD.000.C.0.03.0000.00.01.212">47</definedName>
    <definedName name="SLD.000.C.0.03.0000.00.01.217">21754</definedName>
    <definedName name="SLD.000.C.0.03.0000.00.01.21704010001">22</definedName>
    <definedName name="SLD.000.C.0.03.0000.00.01.221">279615</definedName>
    <definedName name="SLD.000.C.0.03.0000.00.01.222">21139</definedName>
    <definedName name="SLD.000.C.0.03.0000.00.01.241">129974</definedName>
    <definedName name="SLD.000.C.0.03.0000.00.01.244">3416</definedName>
    <definedName name="SLD.000.C.0.03.0000.00.01.31">77352</definedName>
    <definedName name="SLD.000.C.0.03.0000.00.01.311">74385</definedName>
    <definedName name="SLD.000.C.0.03.0000.00.01.312">2967</definedName>
    <definedName name="SLD.000.C.0.03.0000.00.01.32">-6480</definedName>
    <definedName name="SLD.000.C.0.03.0000.00.01.34">1803</definedName>
    <definedName name="SLD.000.C.0.03.0000.00.01.41">-40908</definedName>
    <definedName name="SLD.000.C.0.03.0000.00.01.42">-5902</definedName>
    <definedName name="SLD.000.C.0.03.0000.00.01.4410101">-12316</definedName>
    <definedName name="SLD.000.C.0.03.0000.00.01.4410102">-21329</definedName>
    <definedName name="SLD.000.C.0.03.0000.00.01.45">-39</definedName>
    <definedName name="SLD.000.C.0.03.0000.00.01.47101010001">1735</definedName>
    <definedName name="SLD.000.C.0.03.0000.00.01.47101010002">692</definedName>
    <definedName name="SLD.000.C.0.03.0000.00.01.D1010">14342</definedName>
    <definedName name="SLD.000.C.0.03.0000.00.01.D1011">28220</definedName>
    <definedName name="SLD.000.C.0.03.0000.00.01.D1012">2128</definedName>
    <definedName name="SLD.000.C.0.03.0000.00.01.D1013">10393</definedName>
    <definedName name="SLD.000.C.0.03.0000.00.01.D1015">502084</definedName>
    <definedName name="SLD.000.C.0.03.0000.00.01.D1016">2212</definedName>
    <definedName name="SLD.000.C.0.03.0000.00.01.D1017">5996</definedName>
    <definedName name="SLD.000.C.0.03.0000.00.01.D1018">23802</definedName>
    <definedName name="SLD.000.C.0.03.0000.00.01.D1025">-10820</definedName>
    <definedName name="SLD.000.C.0.03.0000.00.01.D1026">-1557</definedName>
    <definedName name="SLD.000.C.0.03.0000.00.01.D1030">-21268</definedName>
    <definedName name="SLD.000.C.0.03.0000.00.01.D1093">812</definedName>
    <definedName name="SLD.000.C.0.03.0000.00.01.D1094">2601</definedName>
    <definedName name="SLD.000.C.0.03.0000.00.01.D1155">26</definedName>
    <definedName name="SLD.000.C.0.03.0000.00.01.D1181">-10820</definedName>
    <definedName name="SLD.000.C.0.03.0000.00.01.D1182">-21268</definedName>
    <definedName name="SLD.000.C.0.03.0000.00.01.D1183">-1557</definedName>
    <definedName name="SLD.000.C.0.03.0000.00.01.D997">15100</definedName>
    <definedName name="SLD.000.C.0.03.0000.00.01.DCRECEBER">2779</definedName>
    <definedName name="SLD.000.C.0.03.2000.00.00.12301">1147792.02000046</definedName>
    <definedName name="SLD.000.C.0.03.2000.00.00.311">67578450.3000488</definedName>
    <definedName name="SLD.000.C.0.03.2000.00.00.312">1710563.19000053</definedName>
    <definedName name="SLD.000.C.0.03.2000.00.00.4410101">-12689636.2599945</definedName>
    <definedName name="SLD.000.C.0.03.2000.00.00.4410102">5623644.69000244</definedName>
    <definedName name="SLD.000.C.0.03.2000.00.00.D1155">19932.71000001</definedName>
    <definedName name="SLD.000.C.0.03.2000.00.01.117">1664</definedName>
    <definedName name="SLD.000.C.0.03.2000.00.01.121">32468</definedName>
    <definedName name="SLD.000.C.0.03.2000.00.01.12301">1148</definedName>
    <definedName name="SLD.000.C.0.03.2000.00.01.131">0</definedName>
    <definedName name="SLD.000.C.0.03.2000.00.01.211">66461</definedName>
    <definedName name="SLD.000.C.0.03.2000.00.01.212">716</definedName>
    <definedName name="SLD.000.C.0.03.2000.00.01.217">17504</definedName>
    <definedName name="SLD.000.C.0.03.2000.00.01.221">308017</definedName>
    <definedName name="SLD.000.C.0.03.2000.00.01.222">12514</definedName>
    <definedName name="SLD.000.C.0.03.2000.00.01.241">129974</definedName>
    <definedName name="SLD.000.C.0.03.2000.00.01.244">2180</definedName>
    <definedName name="SLD.000.C.0.03.2000.00.01.31">69289</definedName>
    <definedName name="SLD.000.C.0.03.2000.00.01.311">67578</definedName>
    <definedName name="SLD.000.C.0.03.2000.00.01.312">1711</definedName>
    <definedName name="SLD.000.C.0.03.2000.00.01.32">-5908</definedName>
    <definedName name="SLD.000.C.0.03.2000.00.01.34">702</definedName>
    <definedName name="SLD.000.C.0.03.2000.00.01.41">-38038</definedName>
    <definedName name="SLD.000.C.0.03.2000.00.01.42">-6870</definedName>
    <definedName name="SLD.000.C.0.03.2000.00.01.4410101">-12690</definedName>
    <definedName name="SLD.000.C.0.03.2000.00.01.4410102">5624</definedName>
    <definedName name="SLD.000.C.0.03.2000.00.01.45">16</definedName>
    <definedName name="SLD.000.C.0.03.2000.00.01.47101010001">-3042</definedName>
    <definedName name="SLD.000.C.0.03.2000.00.01.47101010002">-741</definedName>
    <definedName name="SLD.000.C.0.03.2000.00.01.D1010">10225</definedName>
    <definedName name="SLD.000.C.0.03.2000.00.01.D1011">20778</definedName>
    <definedName name="SLD.000.C.0.03.2000.00.01.D1012">1700</definedName>
    <definedName name="SLD.000.C.0.03.2000.00.01.D1013">7763</definedName>
    <definedName name="SLD.000.C.0.03.2000.00.01.D1015">484462</definedName>
    <definedName name="SLD.000.C.0.03.2000.00.01.D1016">8813</definedName>
    <definedName name="SLD.000.C.0.03.2000.00.01.D1017">4556</definedName>
    <definedName name="SLD.000.C.0.03.2000.00.01.D1018">26457</definedName>
    <definedName name="SLD.000.C.0.03.2000.00.01.D1025">-11823</definedName>
    <definedName name="SLD.000.C.0.03.2000.00.01.D1026">-859</definedName>
    <definedName name="SLD.000.C.0.03.2000.00.01.D1030">5615</definedName>
    <definedName name="SLD.000.C.0.03.2000.00.01.D1093">1168</definedName>
    <definedName name="SLD.000.C.0.03.2000.00.01.D1094">1020</definedName>
    <definedName name="SLD.000.C.0.03.2000.00.01.D1155">20</definedName>
    <definedName name="SLD.000.C.0.03.2000.00.01.D1181">-11823</definedName>
    <definedName name="SLD.000.C.0.03.2000.00.01.D1182">5615</definedName>
    <definedName name="SLD.000.C.0.03.2000.00.01.D1183">-859</definedName>
    <definedName name="SLD.000.C.0.03.2000.00.01.DCRECEBER">361</definedName>
    <definedName name="SLD.000.C.0.03.2001.00.00.D1212">0</definedName>
    <definedName name="SLD.000.C.0.03.2001.00.01.11">49024</definedName>
    <definedName name="SLD.000.C.0.03.2001.00.01.11307">2128</definedName>
    <definedName name="SLD.000.C.0.03.2001.00.01.117">1555</definedName>
    <definedName name="SLD.000.C.0.03.2001.00.01.121">11</definedName>
    <definedName name="SLD.000.C.0.03.2001.00.01.12101">11</definedName>
    <definedName name="SLD.000.C.0.03.2001.00.01.12301">786</definedName>
    <definedName name="SLD.000.C.0.03.2001.00.01.12302">10393</definedName>
    <definedName name="SLD.000.C.0.03.2001.00.01.12302010002">2665</definedName>
    <definedName name="SLD.000.C.0.03.2001.00.01.131">0</definedName>
    <definedName name="SLD.000.C.0.03.2001.00.01.21">106590</definedName>
    <definedName name="SLD.000.C.0.03.2001.00.01.211">76191</definedName>
    <definedName name="SLD.000.C.0.03.2001.00.01.212">47</definedName>
    <definedName name="SLD.000.C.0.03.2001.00.01.21401">0</definedName>
    <definedName name="SLD.000.C.0.03.2001.00.01.217">21754</definedName>
    <definedName name="SLD.000.C.0.03.2001.00.01.221">279615</definedName>
    <definedName name="SLD.000.C.0.03.2001.00.01.222">21139</definedName>
    <definedName name="SLD.000.C.0.03.2001.00.01.22203010001">21139</definedName>
    <definedName name="SLD.000.C.0.03.2001.00.01.241">129974</definedName>
    <definedName name="SLD.000.C.0.03.2001.00.01.24101010001">129974</definedName>
    <definedName name="SLD.000.C.0.03.2001.00.01.244">3416</definedName>
    <definedName name="SLD.000.C.0.03.2001.00.01.24401010001">3105</definedName>
    <definedName name="SLD.000.C.0.03.2001.00.01.24401010002">311</definedName>
    <definedName name="SLD.000.C.0.03.2001.00.01.311">74385</definedName>
    <definedName name="SLD.000.C.0.03.2001.00.01.312">2967</definedName>
    <definedName name="SLD.000.C.0.03.2001.00.01.32">-6480</definedName>
    <definedName name="SLD.000.C.0.03.2001.00.01.34">1803</definedName>
    <definedName name="SLD.000.C.0.03.2001.00.01.41">-40908</definedName>
    <definedName name="SLD.000.C.0.03.2001.00.01.4110201">-25103</definedName>
    <definedName name="SLD.000.C.0.03.2001.00.01.42">-5902</definedName>
    <definedName name="SLD.000.C.0.03.2001.00.01.4410101">-12316</definedName>
    <definedName name="SLD.000.C.0.03.2001.00.01.44101010019">-928</definedName>
    <definedName name="SLD.000.C.0.03.2001.00.01.4410102">-21329</definedName>
    <definedName name="SLD.000.C.0.03.2001.00.01.44101020008">-16402</definedName>
    <definedName name="SLD.000.C.0.03.2001.00.01.45">-39</definedName>
    <definedName name="SLD.000.C.0.03.2001.00.01.47101010001">1735</definedName>
    <definedName name="SLD.000.C.0.03.2001.00.01.47101010002">692</definedName>
    <definedName name="SLD.000.C.0.03.2001.00.01.47102010001">0</definedName>
    <definedName name="SLD.000.C.0.03.2001.00.01.47102010002">0</definedName>
    <definedName name="SLD.000.C.0.03.2001.00.01.D1010">14342</definedName>
    <definedName name="SLD.000.C.0.03.2001.00.01.D1011">28220</definedName>
    <definedName name="SLD.000.C.0.03.2001.00.01.D1012">2128</definedName>
    <definedName name="SLD.000.C.0.03.2001.00.01.D1013">10393</definedName>
    <definedName name="SLD.000.C.0.03.2001.00.01.D1015">502084</definedName>
    <definedName name="SLD.000.C.0.03.2001.00.01.D1016">2212</definedName>
    <definedName name="SLD.000.C.0.03.2001.00.01.D1017">5996</definedName>
    <definedName name="SLD.000.C.0.03.2001.00.01.D1018">-121547</definedName>
    <definedName name="SLD.000.C.0.03.2001.00.01.D1094">2601</definedName>
    <definedName name="SLD.000.C.0.03.2001.00.01.D1132">5996</definedName>
    <definedName name="SLD.000.C.0.03.2001.00.01.D1146">-14953</definedName>
    <definedName name="SLD.000.C.0.03.2001.00.01.D1155">26</definedName>
    <definedName name="SLD.000.C.0.03.2001.00.01.D1181">-10820</definedName>
    <definedName name="SLD.000.C.0.03.2001.00.01.D1182">-21268</definedName>
    <definedName name="SLD.000.C.0.03.2001.00.01.D1183">-1557</definedName>
    <definedName name="SLD.000.C.0.03.2001.00.01.D1203">14342</definedName>
    <definedName name="SLD.000.C.0.03.2001.00.01.D1204">28220</definedName>
    <definedName name="SLD.000.C.0.03.2001.00.01.D1205">2779</definedName>
    <definedName name="SLD.000.C.0.03.2001.00.01.D1206">812</definedName>
    <definedName name="SLD.000.C.0.03.2001.00.01.D1207">502084</definedName>
    <definedName name="SLD.000.C.0.03.2001.00.01.D1208">2212</definedName>
    <definedName name="SLD.000.C.0.03.2001.00.01.D1209">2601</definedName>
    <definedName name="SLD.000.C.0.03.2001.00.01.D1211">29193</definedName>
    <definedName name="SLD.000.C.0.03.2001.00.01.D1213">355806</definedName>
    <definedName name="SLD.000.C.0.03.2001.00.01.D1214">812</definedName>
    <definedName name="SLD.000.C.0.03.2001.00.01.D2018">-211</definedName>
    <definedName name="SLD.000.C.0.03.2001.00.01.D2019">-5679</definedName>
    <definedName name="SLD.000.C.0.03.2001.00.01.D2020">-40920</definedName>
    <definedName name="SLD.000.C.0.03.2001.00.01.DCRECEBER">2779</definedName>
    <definedName name="SLD.000.C.0.03.2002.00.00.">0</definedName>
    <definedName name="SLD.000.C.0.03.2002.00.00.11306010031">0</definedName>
    <definedName name="SLD.000.C.0.03.2002.00.00.21102020015">5698049.8</definedName>
    <definedName name="SLD.000.C.0.03.2002.00.00.21102020016">1288938.52</definedName>
    <definedName name="SLD.000.C.0.03.2002.00.00.21102020017">2060944.31</definedName>
    <definedName name="SLD.000.C.0.03.2002.00.00.22102">117013223.189999</definedName>
    <definedName name="SLD.000.C.0.03.2002.00.00.22102020014">8312827.07</definedName>
    <definedName name="SLD.000.C.0.03.2002.00.00.22102020015">2570149.45</definedName>
    <definedName name="SLD.000.C.0.03.2002.00.00.22102020016">1013169.66</definedName>
    <definedName name="SLD.000.C.0.03.2002.00.00.2210302">95796479.6799999</definedName>
    <definedName name="SLD.000.C.0.03.2002.00.00.22103020018">22597434.91</definedName>
    <definedName name="SLD.000.C.0.03.2002.00.00.22103020019">43861601.4399999</definedName>
    <definedName name="SLD.000.C.0.03.2002.00.00.22103020020">29337443.33</definedName>
    <definedName name="SLD.000.C.0.03.2002.00.00.22103030001">6026554.28</definedName>
    <definedName name="SLD.000.C.0.03.2002.00.00.22201010001">7023539.95</definedName>
    <definedName name="SLD.000.C.0.03.2002.00.00.22203010001">35282718.93</definedName>
    <definedName name="SLD.000.C.0.03.2002.00.00.47101010002">-931012.82</definedName>
    <definedName name="SLD.000.C.0.03.2002.00.00.47102010001">-958259.69</definedName>
    <definedName name="SLD.000.C.0.03.2002.00.00.47102010002">-399005.5</definedName>
    <definedName name="SLD.000.C.0.03.2002.00.00.D997">13938418.09</definedName>
    <definedName name="SLD.000.C.0.03.2002.00.01.11">28619</definedName>
    <definedName name="SLD.000.C.0.03.2002.00.01.11306010019">1</definedName>
    <definedName name="SLD.000.C.0.03.2002.00.01.11306010036">0</definedName>
    <definedName name="SLD.000.C.0.03.2002.00.01.11307">2379</definedName>
    <definedName name="SLD.000.C.0.03.2002.00.01.117">1663</definedName>
    <definedName name="SLD.000.C.0.03.2002.00.01.121">0</definedName>
    <definedName name="SLD.000.C.0.03.2002.00.01.12101">0</definedName>
    <definedName name="SLD.000.C.0.03.2002.00.01.12301">425</definedName>
    <definedName name="SLD.000.C.0.03.2002.00.01.12302">5994</definedName>
    <definedName name="SLD.000.C.0.03.2002.00.01.12302010001">2948</definedName>
    <definedName name="SLD.000.C.0.03.2002.00.01.12302010002">1290</definedName>
    <definedName name="SLD.000.C.0.03.2002.00.01.131">0</definedName>
    <definedName name="SLD.000.C.0.03.2002.00.01.21">115250</definedName>
    <definedName name="SLD.000.C.0.03.2002.00.01.211">84196</definedName>
    <definedName name="SLD.000.C.0.03.2002.00.01.2110202">9048</definedName>
    <definedName name="SLD.000.C.0.03.2002.00.01.2110203">46374</definedName>
    <definedName name="SLD.000.C.0.03.2002.00.01.212">36</definedName>
    <definedName name="SLD.000.C.0.03.2002.00.01.21401">3657</definedName>
    <definedName name="SLD.000.C.0.03.2002.00.01.217">20781</definedName>
    <definedName name="SLD.000.C.0.03.2002.00.01.221">218836</definedName>
    <definedName name="SLD.000.C.0.03.2002.00.01.2210202">11896</definedName>
    <definedName name="SLD.000.C.0.03.2002.00.01.2210203">105117</definedName>
    <definedName name="SLD.000.C.0.03.2002.00.01.2210302">95796</definedName>
    <definedName name="SLD.000.C.0.03.2002.00.01.22103030001">6027</definedName>
    <definedName name="SLD.000.C.0.03.2002.00.01.22201010001">7024</definedName>
    <definedName name="SLD.000.C.0.03.2002.00.01.22203010001">35283</definedName>
    <definedName name="SLD.000.C.0.03.2002.00.01.241">137385</definedName>
    <definedName name="SLD.000.C.0.03.2002.00.01.24101010001">137385</definedName>
    <definedName name="SLD.000.C.0.03.2002.00.01.244">4382</definedName>
    <definedName name="SLD.000.C.0.03.2002.00.01.24401010001">3983</definedName>
    <definedName name="SLD.000.C.0.03.2002.00.01.24401010002">398</definedName>
    <definedName name="SLD.000.C.0.03.2002.00.01.311">83047</definedName>
    <definedName name="SLD.000.C.0.03.2002.00.01.312">2816</definedName>
    <definedName name="SLD.000.C.0.03.2002.00.01.32">-7269</definedName>
    <definedName name="SLD.000.C.0.03.2002.00.01.34">387</definedName>
    <definedName name="SLD.000.C.0.03.2002.00.01.41">-44397</definedName>
    <definedName name="SLD.000.C.0.03.2002.00.01.4110201">-29905</definedName>
    <definedName name="SLD.000.C.0.03.2002.00.01.42">-6638</definedName>
    <definedName name="SLD.000.C.0.03.2002.00.01.4410101">-12790</definedName>
    <definedName name="SLD.000.C.0.03.2002.00.01.4410102">-610</definedName>
    <definedName name="SLD.000.C.0.03.2002.00.01.45">93</definedName>
    <definedName name="SLD.000.C.0.03.2002.00.01.47101010001">-2726</definedName>
    <definedName name="SLD.000.C.0.03.2002.00.01.47101010002">-931</definedName>
    <definedName name="SLD.000.C.0.03.2002.00.01.47102010001">-958</definedName>
    <definedName name="SLD.000.C.0.03.2002.00.01.47102010002">-399</definedName>
    <definedName name="SLD.000.C.0.03.2002.00.01.D1010">19394</definedName>
    <definedName name="SLD.000.C.0.03.2002.00.01.D1011">0</definedName>
    <definedName name="SLD.000.C.0.03.2002.00.01.D1012">2379</definedName>
    <definedName name="SLD.000.C.0.03.2002.00.01.D1013">5994</definedName>
    <definedName name="SLD.000.C.0.03.2002.00.01.D1015">514896</definedName>
    <definedName name="SLD.000.C.0.03.2002.00.01.D1016">0</definedName>
    <definedName name="SLD.000.C.0.03.2002.00.01.D1017">4526</definedName>
    <definedName name="SLD.000.C.0.03.2002.00.01.D1094">3338</definedName>
    <definedName name="SLD.000.C.0.03.2002.00.01.D1132">3247</definedName>
    <definedName name="SLD.000.C.0.03.2002.00.01.D1146">-13755</definedName>
    <definedName name="SLD.000.C.0.03.2002.00.01.D1155">3625</definedName>
    <definedName name="SLD.000.C.0.03.2002.00.01.D1181">-7742</definedName>
    <definedName name="SLD.000.C.0.03.2002.00.01.D1182">-607</definedName>
    <definedName name="SLD.000.C.0.03.2002.00.01.D1183">-5051</definedName>
    <definedName name="SLD.000.C.0.03.2002.00.01.D1203">19394</definedName>
    <definedName name="SLD.000.C.0.03.2002.00.01.D1204">0</definedName>
    <definedName name="SLD.000.C.0.03.2002.00.01.D1205">5183</definedName>
    <definedName name="SLD.000.C.0.03.2002.00.01.D1206">4050</definedName>
    <definedName name="SLD.000.C.0.03.2002.00.01.D1207">514896</definedName>
    <definedName name="SLD.000.C.0.03.2002.00.01.D1208">0</definedName>
    <definedName name="SLD.000.C.0.03.2002.00.01.D1209">3332</definedName>
    <definedName name="SLD.000.C.0.03.2002.00.01.D1212">7024</definedName>
    <definedName name="SLD.000.C.0.03.2002.00.01.D1213">303032</definedName>
    <definedName name="SLD.000.C.0.03.2002.00.01.D1214">4050</definedName>
    <definedName name="SLD.000.C.0.03.2002.00.01.D2018">-415</definedName>
    <definedName name="SLD.000.C.0.03.2002.00.01.D2019">-6234</definedName>
    <definedName name="SLD.000.C.0.03.2002.00.01.D2020">-44386</definedName>
    <definedName name="SLD.000.C.0.03.2002.00.01.D2021">142</definedName>
    <definedName name="SLD.000.C.0.03.2002.00.01.D997">13938</definedName>
    <definedName name="SLD.000.C.0.03.2002.00.01.DCRECEBER">5183</definedName>
    <definedName name="SLD.000.C.0.04.0000.00.00.42">-8761611.38000488</definedName>
    <definedName name="SLD.000.C.0.04.0000.00.01.11201010035">0</definedName>
    <definedName name="SLD.000.C.0.04.0000.00.01.11306010019">0</definedName>
    <definedName name="SLD.000.C.0.04.0000.00.01.11306010031">49</definedName>
    <definedName name="SLD.000.C.0.04.0000.00.01.11306010036">0</definedName>
    <definedName name="SLD.000.C.0.04.0000.00.01.117">1408</definedName>
    <definedName name="SLD.000.C.0.04.0000.00.01.121">2</definedName>
    <definedName name="SLD.000.C.0.04.0000.00.01.12301">756</definedName>
    <definedName name="SLD.000.C.0.04.0000.00.01.131">0</definedName>
    <definedName name="SLD.000.C.0.04.0000.00.01.211">79269</definedName>
    <definedName name="SLD.000.C.0.04.0000.00.01.212">48</definedName>
    <definedName name="SLD.000.C.0.04.0000.00.01.217">20782</definedName>
    <definedName name="SLD.000.C.0.04.0000.00.01.21704010001">0</definedName>
    <definedName name="SLD.000.C.0.04.0000.00.01.221">279351</definedName>
    <definedName name="SLD.000.C.0.04.0000.00.01.222">21139</definedName>
    <definedName name="SLD.000.C.0.04.0000.00.01.241">137385</definedName>
    <definedName name="SLD.000.C.0.04.0000.00.01.244">3416</definedName>
    <definedName name="SLD.000.C.0.04.0000.00.01.311">98481</definedName>
    <definedName name="SLD.000.C.0.04.0000.00.01.312">3398</definedName>
    <definedName name="SLD.000.C.0.04.0000.00.01.32">-8560</definedName>
    <definedName name="SLD.000.C.0.04.0000.00.01.34">1877</definedName>
    <definedName name="SLD.000.C.0.04.0000.00.01.41">-54386</definedName>
    <definedName name="SLD.000.C.0.04.0000.00.01.42">-8762</definedName>
    <definedName name="SLD.000.C.0.04.0000.00.01.4410101">-15650</definedName>
    <definedName name="SLD.000.C.0.04.0000.00.01.4410102">-23583</definedName>
    <definedName name="SLD.000.C.0.04.0000.00.01.45">-39</definedName>
    <definedName name="SLD.000.C.0.04.0000.00.01.47101010001">1632</definedName>
    <definedName name="SLD.000.C.0.04.0000.00.01.47101010002">613</definedName>
    <definedName name="SLD.000.C.0.04.0000.00.01.D1010">12975</definedName>
    <definedName name="SLD.000.C.0.04.0000.00.01.D1011">31572</definedName>
    <definedName name="SLD.000.C.0.04.0000.00.01.D1012">2144</definedName>
    <definedName name="SLD.000.C.0.04.0000.00.01.D1013">10210</definedName>
    <definedName name="SLD.000.C.0.04.0000.00.01.D1015">503130</definedName>
    <definedName name="SLD.000.C.0.04.0000.00.01.D1016">1661</definedName>
    <definedName name="SLD.000.C.0.04.0000.00.01.D1017">6650</definedName>
    <definedName name="SLD.000.C.0.04.0000.00.01.D1018">16804</definedName>
    <definedName name="SLD.000.C.0.04.0000.00.01.D1094">1787</definedName>
    <definedName name="SLD.000.C.0.04.0000.00.01.D1155">26</definedName>
    <definedName name="SLD.000.C.0.04.0000.00.01.D1181">-13973</definedName>
    <definedName name="SLD.000.C.0.04.0000.00.01.D1182">-23521</definedName>
    <definedName name="SLD.000.C.0.04.0000.00.01.D1183">-1738</definedName>
    <definedName name="SLD.000.C.0.04.0000.00.01.DCRECEBER">2746</definedName>
    <definedName name="SLD.000.C.0.05.0000.00.01.11201010035">0</definedName>
    <definedName name="SLD.000.C.0.05.0000.00.01.11306010019">0</definedName>
    <definedName name="SLD.000.C.0.05.0000.00.01.11306010031">12</definedName>
    <definedName name="SLD.000.C.0.05.0000.00.01.11306010036">0</definedName>
    <definedName name="SLD.000.C.0.05.0000.00.01.117">1336</definedName>
    <definedName name="SLD.000.C.0.05.0000.00.01.121">2</definedName>
    <definedName name="SLD.000.C.0.05.0000.00.01.12301">726</definedName>
    <definedName name="SLD.000.C.0.05.0000.00.01.131">0</definedName>
    <definedName name="SLD.000.C.0.05.0000.00.01.211">85487</definedName>
    <definedName name="SLD.000.C.0.05.0000.00.01.212">36</definedName>
    <definedName name="SLD.000.C.0.05.0000.00.01.217">21843</definedName>
    <definedName name="SLD.000.C.0.05.0000.00.01.221">286500</definedName>
    <definedName name="SLD.000.C.0.05.0000.00.01.222">21139</definedName>
    <definedName name="SLD.000.C.0.05.0000.00.01.241">137385</definedName>
    <definedName name="SLD.000.C.0.05.0000.00.01.244">3416</definedName>
    <definedName name="SLD.000.C.0.05.0000.00.01.311">123327</definedName>
    <definedName name="SLD.000.C.0.05.0000.00.01.312">3807</definedName>
    <definedName name="SLD.000.C.0.05.0000.00.01.32">-10702</definedName>
    <definedName name="SLD.000.C.0.05.0000.00.01.34">1981</definedName>
    <definedName name="SLD.000.C.0.05.0000.00.01.41">-67934</definedName>
    <definedName name="SLD.000.C.0.05.0000.00.01.42">-10975</definedName>
    <definedName name="SLD.000.C.0.05.0000.00.01.4410101">-19903</definedName>
    <definedName name="SLD.000.C.0.05.0000.00.01.4410102">-40685</definedName>
    <definedName name="SLD.000.C.0.05.0000.00.01.45">-42</definedName>
    <definedName name="SLD.000.C.0.05.0000.00.01.47101010001">5007</definedName>
    <definedName name="SLD.000.C.0.05.0000.00.01.47101010002">1864</definedName>
    <definedName name="SLD.000.C.0.05.0000.00.01.D1010">8692</definedName>
    <definedName name="SLD.000.C.0.05.0000.00.01.D1011">34264</definedName>
    <definedName name="SLD.000.C.0.05.0000.00.01.D1012">2164</definedName>
    <definedName name="SLD.000.C.0.05.0000.00.01.D1013">14838</definedName>
    <definedName name="SLD.000.C.0.05.0000.00.01.D1015">505997</definedName>
    <definedName name="SLD.000.C.0.05.0000.00.01.D1016">1111</definedName>
    <definedName name="SLD.000.C.0.05.0000.00.01.D1017">6505</definedName>
    <definedName name="SLD.000.C.0.05.0000.00.01.D1018">7528</definedName>
    <definedName name="SLD.000.C.0.05.0000.00.01.D1094">2028</definedName>
    <definedName name="SLD.000.C.0.05.0000.00.01.D1155">53</definedName>
    <definedName name="SLD.000.C.0.05.0000.00.01.D1181">-17529</definedName>
    <definedName name="SLD.000.C.0.05.0000.00.01.D1182">-40591</definedName>
    <definedName name="SLD.000.C.0.05.0000.00.01.D1183">-2468</definedName>
    <definedName name="SLD.000.C.0.05.0000.00.01.DCRECEBER">2685</definedName>
    <definedName name="SLD.000.C.0.06.0000.00.00.D1181">-20566249.61</definedName>
    <definedName name="SLD.000.C.0.06.0000.00.01.11201010035">0</definedName>
    <definedName name="SLD.000.C.0.06.0000.00.01.11306010019">0</definedName>
    <definedName name="SLD.000.C.0.06.0000.00.01.11306010031">16</definedName>
    <definedName name="SLD.000.C.0.06.0000.00.01.11306010036">0</definedName>
    <definedName name="SLD.000.C.0.06.0000.00.01.117">1241</definedName>
    <definedName name="SLD.000.C.0.06.0000.00.01.121">1</definedName>
    <definedName name="SLD.000.C.0.06.0000.00.01.12301">696</definedName>
    <definedName name="SLD.000.C.0.06.0000.00.01.131">0</definedName>
    <definedName name="SLD.000.C.0.06.0000.00.01.211">85525</definedName>
    <definedName name="SLD.000.C.0.06.0000.00.01.212">35</definedName>
    <definedName name="SLD.000.C.0.06.0000.00.01.216">547</definedName>
    <definedName name="SLD.000.C.0.06.0000.00.01.217">23545</definedName>
    <definedName name="SLD.000.C.0.06.0000.00.01.21704010001">2</definedName>
    <definedName name="SLD.000.C.0.06.0000.00.01.219">1074</definedName>
    <definedName name="SLD.000.C.0.06.0000.00.01.221">280521</definedName>
    <definedName name="SLD.000.C.0.06.0000.00.01.222">21139</definedName>
    <definedName name="SLD.000.C.0.06.0000.00.01.241">137385</definedName>
    <definedName name="SLD.000.C.0.06.0000.00.01.244">3416</definedName>
    <definedName name="SLD.000.C.0.06.0000.00.01.311">146832</definedName>
    <definedName name="SLD.000.C.0.06.0000.00.01.312">4286</definedName>
    <definedName name="SLD.000.C.0.06.0000.00.01.32">-12733</definedName>
    <definedName name="SLD.000.C.0.06.0000.00.01.34">2062</definedName>
    <definedName name="SLD.000.C.0.06.0000.00.01.41">-81374</definedName>
    <definedName name="SLD.000.C.0.06.0000.00.01.42">-15127</definedName>
    <definedName name="SLD.000.C.0.06.0000.00.01.4410101">-23147</definedName>
    <definedName name="SLD.000.C.0.06.0000.00.01.4410102">-35398</definedName>
    <definedName name="SLD.000.C.0.06.0000.00.01.45">-40</definedName>
    <definedName name="SLD.000.C.0.06.0000.00.01.47101010001">3369</definedName>
    <definedName name="SLD.000.C.0.06.0000.00.01.47101010002">1275</definedName>
    <definedName name="SLD.000.C.0.06.0000.00.01.D1010">15222</definedName>
    <definedName name="SLD.000.C.0.06.0000.00.01.D1011">26430</definedName>
    <definedName name="SLD.000.C.0.06.0000.00.01.D1012">2184</definedName>
    <definedName name="SLD.000.C.0.06.0000.00.01.D1013">12610</definedName>
    <definedName name="SLD.000.C.0.06.0000.00.01.D1014">71</definedName>
    <definedName name="SLD.000.C.0.06.0000.00.01.D1015">510574</definedName>
    <definedName name="SLD.000.C.0.06.0000.00.01.D1016">561</definedName>
    <definedName name="SLD.000.C.0.06.0000.00.01.D1017">6692</definedName>
    <definedName name="SLD.000.C.0.06.0000.00.01.D1018">11786</definedName>
    <definedName name="SLD.000.C.0.06.0000.00.01.D1094">2221</definedName>
    <definedName name="SLD.000.C.0.06.0000.00.01.D1155">34</definedName>
    <definedName name="SLD.000.C.0.06.0000.00.01.D1181">-20566</definedName>
    <definedName name="SLD.000.C.0.06.0000.00.01.D1182">-35305</definedName>
    <definedName name="SLD.000.C.0.06.0000.00.01.D1183">-2674</definedName>
    <definedName name="SLD.000.C.0.06.0000.00.01.DCRECEBER">2712</definedName>
    <definedName name="SLD.000.C.0.06.0000.00.02.D1181">-21</definedName>
    <definedName name="SLD.000.C.0.06.2000.00.01.111">26629</definedName>
    <definedName name="SLD.000.C.0.06.2000.00.01.2110202">7150</definedName>
    <definedName name="SLD.000.C.0.06.2000.00.01.2110203">40948</definedName>
    <definedName name="SLD.000.C.0.06.2000.00.01.2210202">20001</definedName>
    <definedName name="SLD.000.C.0.06.2000.00.01.2210203">152670</definedName>
    <definedName name="SLD.000.C.0.06.2000.00.01.311">130707</definedName>
    <definedName name="SLD.000.C.0.06.2000.00.01.312">3749</definedName>
    <definedName name="SLD.000.C.0.06.2000.00.01.32">-11443</definedName>
    <definedName name="SLD.000.C.0.06.2000.00.01.34">3543</definedName>
    <definedName name="SLD.000.C.0.06.2000.00.01.41">-76609</definedName>
    <definedName name="SLD.000.C.0.06.2000.00.01.42">-13388</definedName>
    <definedName name="SLD.000.C.0.06.2000.00.01.45">-92</definedName>
    <definedName name="SLD.000.C.0.06.2000.00.01.47101010001">-2860</definedName>
    <definedName name="SLD.000.C.0.06.2000.00.01.47101010002">-679</definedName>
    <definedName name="SLD.000.C.0.06.2000.00.01.D1181">-23175</definedName>
    <definedName name="SLD.000.C.0.06.2000.00.01.D1182">-852</definedName>
    <definedName name="SLD.000.C.0.06.2000.00.01.D1183">-1824</definedName>
    <definedName name="SLD.000.C.0.06.2001.00.00.111020016">0</definedName>
    <definedName name="SLD.000.C.0.06.2001.00.00.115">0</definedName>
    <definedName name="SLD.000.C.0.06.2001.00.00.11806">463581.81</definedName>
    <definedName name="SLD.000.C.0.06.2001.00.00.12502">928737.61</definedName>
    <definedName name="SLD.000.C.0.06.2001.00.00.128060001">1191.61</definedName>
    <definedName name="SLD.000.C.0.06.2001.00.00.128060002">284.73</definedName>
    <definedName name="SLD.000.C.0.06.2001.00.00.128060003">0</definedName>
    <definedName name="SLD.000.C.0.06.2001.00.00.128060005">330</definedName>
    <definedName name="SLD.000.C.0.06.2001.00.00.213020003">593972.69</definedName>
    <definedName name="SLD.000.C.0.06.2001.00.00.215">119006.6</definedName>
    <definedName name="SLD.000.C.0.06.2001.00.00.218010001">0</definedName>
    <definedName name="SLD.000.C.0.06.2001.00.00.218010002">27194.85</definedName>
    <definedName name="SLD.000.C.0.06.2001.00.00.218010007">0</definedName>
    <definedName name="SLD.000.C.0.06.2001.00.00.218010008">0</definedName>
    <definedName name="SLD.000.C.0.06.2001.00.00.21802">1439664.58</definedName>
    <definedName name="SLD.000.C.0.06.2001.00.00.24401010001">3105311.94</definedName>
    <definedName name="SLD.000.C.0.06.2001.00.00.24401010002">310531.2</definedName>
    <definedName name="SLD.000.C.0.06.2001.00.00.DA0010">1257568.17</definedName>
    <definedName name="SLD.000.C.0.06.2001.00.00.DA0011">204697.52</definedName>
    <definedName name="SLD.000.C.0.06.2001.00.00.DA0012">3805150.08</definedName>
    <definedName name="SLD.000.C.0.06.2001.00.00.DA0013">1254443.49</definedName>
    <definedName name="SLD.000.C.0.06.2001.00.00.DA0030">1448298.18</definedName>
    <definedName name="SLD.000.C.0.06.2001.00.00.DAA0050">809971.58</definedName>
    <definedName name="SLD.000.C.0.06.2001.00.00.DAAAMORT">-10460517.46</definedName>
    <definedName name="SLD.000.C.0.06.2001.00.00.DAADEPR">-21622105.1</definedName>
    <definedName name="SLD.000.C.0.06.2001.00.00.DAADIFER">15308049.67</definedName>
    <definedName name="SLD.000.C.0.06.2001.00.00.DAAIMOB">70253299.8699999</definedName>
    <definedName name="SLD.000.C.0.06.2001.00.00.DAAMORTOUT">0</definedName>
    <definedName name="SLD.000.C.0.06.2001.00.00.DAAOUT">0</definedName>
    <definedName name="SLD.000.C.0.06.2001.00.00.DBB010">56962290.58</definedName>
    <definedName name="SLD.000.C.0.06.2001.00.00.DBB011">1643451.44</definedName>
    <definedName name="SLD.000.C.0.06.2001.00.00.DBB013">1208156.24</definedName>
    <definedName name="SLD.000.C.0.06.2001.00.00.DBB020">1092089.42</definedName>
    <definedName name="SLD.000.C.0.06.2001.00.00.DBB060">321552.38</definedName>
    <definedName name="SLD.000.C.0.06.2001.00.00.DBB081">0</definedName>
    <definedName name="SLD.000.C.0.06.2001.00.00.DBB160">12327098.82</definedName>
    <definedName name="SLD.000.C.0.06.2001.00.00.DBB171">-12008624.98</definedName>
    <definedName name="SLD.000.C.0.06.2001.00.00.DBB180">-414504.05</definedName>
    <definedName name="SLD.000.C.0.06.2001.00.01.117">1241</definedName>
    <definedName name="SLD.000.C.0.06.2001.00.01.121">1</definedName>
    <definedName name="SLD.000.C.0.06.2001.00.01.12301">696</definedName>
    <definedName name="SLD.000.C.0.06.2001.00.01.211">85525</definedName>
    <definedName name="SLD.000.C.0.06.2001.00.01.2110202">8973</definedName>
    <definedName name="SLD.000.C.0.06.2001.00.01.2110203">50537</definedName>
    <definedName name="SLD.000.C.0.06.2001.00.01.212">35</definedName>
    <definedName name="SLD.000.C.0.06.2001.00.01.217">23545</definedName>
    <definedName name="SLD.000.C.0.06.2001.00.01.221">280521</definedName>
    <definedName name="SLD.000.C.0.06.2001.00.01.2210202">16829</definedName>
    <definedName name="SLD.000.C.0.06.2001.00.01.2210203">149883</definedName>
    <definedName name="SLD.000.C.0.06.2001.00.01.222">21139</definedName>
    <definedName name="SLD.000.C.0.06.2001.00.01.241">137385</definedName>
    <definedName name="SLD.000.C.0.06.2001.00.01.24401010001">3105</definedName>
    <definedName name="SLD.000.C.0.06.2001.00.01.24401010002">311</definedName>
    <definedName name="SLD.000.C.0.06.2001.00.01.311">146832</definedName>
    <definedName name="SLD.000.C.0.06.2001.00.01.312">4286</definedName>
    <definedName name="SLD.000.C.0.06.2001.00.01.32">-12733</definedName>
    <definedName name="SLD.000.C.0.06.2001.00.01.34">2062</definedName>
    <definedName name="SLD.000.C.0.06.2001.00.01.41">-81374</definedName>
    <definedName name="SLD.000.C.0.06.2001.00.01.42">-15127</definedName>
    <definedName name="SLD.000.C.0.06.2001.00.01.45">-40</definedName>
    <definedName name="SLD.000.C.0.06.2001.00.01.47101010001">3369</definedName>
    <definedName name="SLD.000.C.0.06.2001.00.01.47101010002">1275</definedName>
    <definedName name="SLD.000.C.0.06.2001.00.01.D1010">15222</definedName>
    <definedName name="SLD.000.C.0.06.2001.00.01.D1011">26430</definedName>
    <definedName name="SLD.000.C.0.06.2001.00.01.D1012">2184</definedName>
    <definedName name="SLD.000.C.0.06.2001.00.01.D1013">12610</definedName>
    <definedName name="SLD.000.C.0.06.2001.00.01.D1015">510574</definedName>
    <definedName name="SLD.000.C.0.06.2001.00.01.D1016">561</definedName>
    <definedName name="SLD.000.C.0.06.2001.00.01.D1017">6692</definedName>
    <definedName name="SLD.000.C.0.06.2001.00.01.D1018">-269108</definedName>
    <definedName name="SLD.000.C.0.06.2001.00.01.D1094">2221</definedName>
    <definedName name="SLD.000.C.0.06.2001.00.01.D1155">34</definedName>
    <definedName name="SLD.000.C.0.06.2001.00.01.D1181">-20566</definedName>
    <definedName name="SLD.000.C.0.06.2001.00.01.D1182">-35305</definedName>
    <definedName name="SLD.000.C.0.06.2001.00.01.D1183">-2674</definedName>
    <definedName name="SLD.000.C.0.06.2001.00.01.DCRECEBER">2712</definedName>
    <definedName name="SLD.000.C.0.07.0000.00.00.311">154554758.300048</definedName>
    <definedName name="SLD.000.C.0.07.0000.00.00.312">4413838.41000366</definedName>
    <definedName name="SLD.000.C.0.07.0000.00.00.32">-11563047.550003</definedName>
    <definedName name="SLD.000.C.0.07.0000.00.00.34">3022147.54000092</definedName>
    <definedName name="SLD.000.C.0.07.0000.00.00.41">-89645674.040039</definedName>
    <definedName name="SLD.000.C.0.07.0000.00.00.42">-17457559.8999939</definedName>
    <definedName name="SLD.000.C.0.07.0000.00.00.44">-26895992.9599914</definedName>
    <definedName name="SLD.000.C.0.07.0000.00.00.45">-113299.85000002</definedName>
    <definedName name="SLD.000.C.0.07.0000.00.00.47101010001">-4095197.79000092</definedName>
    <definedName name="SLD.000.C.0.07.0000.00.00.47101010002">-1207791.98999977</definedName>
    <definedName name="SLD.000.C.0.07.0000.00.01.11201010035">0</definedName>
    <definedName name="SLD.000.C.0.07.0000.00.01.11306010019">0</definedName>
    <definedName name="SLD.000.C.0.07.0000.00.01.11306010031">12</definedName>
    <definedName name="SLD.000.C.0.07.0000.00.01.11306010036">0</definedName>
    <definedName name="SLD.000.C.0.07.0000.00.01.117">1110</definedName>
    <definedName name="SLD.000.C.0.07.0000.00.01.121">33056</definedName>
    <definedName name="SLD.000.C.0.07.0000.00.01.12301">1027</definedName>
    <definedName name="SLD.000.C.0.07.0000.00.01.131">0</definedName>
    <definedName name="SLD.000.C.0.07.0000.00.01.211">70770</definedName>
    <definedName name="SLD.000.C.0.07.0000.00.01.212">459</definedName>
    <definedName name="SLD.000.C.0.07.0000.00.01.216">548</definedName>
    <definedName name="SLD.000.C.0.07.0000.00.01.217">21028</definedName>
    <definedName name="SLD.000.C.0.07.0000.00.01.21704010001">0</definedName>
    <definedName name="SLD.000.C.0.07.0000.00.01.219">3346</definedName>
    <definedName name="SLD.000.C.0.07.0000.00.01.221">303674</definedName>
    <definedName name="SLD.000.C.0.07.0000.00.01.222">12514</definedName>
    <definedName name="SLD.000.C.0.07.0000.00.01.241">129974</definedName>
    <definedName name="SLD.000.C.0.07.0000.00.01.244">2180</definedName>
    <definedName name="SLD.000.C.0.07.0000.00.01.311">172282</definedName>
    <definedName name="SLD.000.C.0.07.0000.00.01.312">4712</definedName>
    <definedName name="SLD.000.C.0.07.0000.00.01.32">-14928</definedName>
    <definedName name="SLD.000.C.0.07.0000.00.01.34">2212</definedName>
    <definedName name="SLD.000.C.0.07.0000.00.01.41">-94807</definedName>
    <definedName name="SLD.000.C.0.07.0000.00.01.42">-19505</definedName>
    <definedName name="SLD.000.C.0.07.0000.00.01.4410101">-26998</definedName>
    <definedName name="SLD.000.C.0.07.0000.00.01.4410102">-47525</definedName>
    <definedName name="SLD.000.C.0.07.0000.00.01.45">-47</definedName>
    <definedName name="SLD.000.C.0.07.0000.00.01.47101010001">5852</definedName>
    <definedName name="SLD.000.C.0.07.0000.00.01.47101010002">2170</definedName>
    <definedName name="SLD.000.C.0.07.0000.00.01.D1010">10275</definedName>
    <definedName name="SLD.000.C.0.07.0000.00.01.D1011">32117</definedName>
    <definedName name="SLD.000.C.0.07.0000.00.01.D1012">750</definedName>
    <definedName name="SLD.000.C.0.07.0000.00.01.D1013">8672</definedName>
    <definedName name="SLD.000.C.0.07.0000.00.01.D1014">51</definedName>
    <definedName name="SLD.000.C.0.07.0000.00.01.D1015">484370</definedName>
    <definedName name="SLD.000.C.0.07.0000.00.01.D1016">6612</definedName>
    <definedName name="SLD.000.C.0.07.0000.00.01.D1017">4786</definedName>
    <definedName name="SLD.000.C.0.07.0000.00.01.D1018">29127</definedName>
    <definedName name="SLD.000.C.0.07.0000.00.01.D1094">2174</definedName>
    <definedName name="SLD.000.C.0.07.0000.00.01.D1155">30</definedName>
    <definedName name="SLD.000.C.0.07.0000.00.01.DCRECEBER">367</definedName>
    <definedName name="SLD.000.C.0.07.2000.00.00.311">154554758.300048</definedName>
    <definedName name="SLD.000.C.0.07.2000.00.00.312">4413838.41000366</definedName>
    <definedName name="SLD.000.C.0.07.2000.00.00.32">-11563047.550003</definedName>
    <definedName name="SLD.000.C.0.07.2000.00.00.34">3022147.54000092</definedName>
    <definedName name="SLD.000.C.0.07.2000.00.00.41">-89645674.040039</definedName>
    <definedName name="SLD.000.C.0.07.2000.00.00.42">-17457559.8999939</definedName>
    <definedName name="SLD.000.C.0.07.2000.00.00.44">-26895992.9599914</definedName>
    <definedName name="SLD.000.C.0.07.2000.00.00.45">-113299.85000002</definedName>
    <definedName name="SLD.000.C.0.07.2000.00.00.47101010001">-4095197.79000092</definedName>
    <definedName name="SLD.000.C.0.07.2000.00.00.47101010002">-1207791.98999977</definedName>
    <definedName name="SLD.000.C.0.07.2000.00.01.111">29535</definedName>
    <definedName name="SLD.000.C.0.07.2000.00.01.311">154555</definedName>
    <definedName name="SLD.000.C.0.07.2000.00.01.312">4414</definedName>
    <definedName name="SLD.000.C.0.07.2000.00.01.32">-11563</definedName>
    <definedName name="SLD.000.C.0.07.2000.00.01.34">3022</definedName>
    <definedName name="SLD.000.C.0.07.2000.00.01.41">-89646</definedName>
    <definedName name="SLD.000.C.0.07.2000.00.01.42">-17458</definedName>
    <definedName name="SLD.000.C.0.07.2000.00.01.44">-26896</definedName>
    <definedName name="SLD.000.C.0.07.2000.00.01.45">-113</definedName>
    <definedName name="SLD.000.C.0.07.2000.00.01.47101010001">-4095</definedName>
    <definedName name="SLD.000.C.0.07.2000.00.01.47101010002">-1208</definedName>
    <definedName name="SLD.000.C.0.07.2001.00.01.11201010035">0</definedName>
    <definedName name="SLD.000.C.0.07.2001.00.01.11306010019">0</definedName>
    <definedName name="SLD.000.C.0.07.2001.00.01.11306010031">12</definedName>
    <definedName name="SLD.000.C.0.07.2001.00.01.11306010036">0</definedName>
    <definedName name="SLD.000.C.0.07.2001.00.01.121">1</definedName>
    <definedName name="SLD.000.C.0.07.2001.00.01.12301">666</definedName>
    <definedName name="SLD.000.C.0.07.2001.00.01.131">0</definedName>
    <definedName name="SLD.000.C.0.07.2001.00.01.211">91549</definedName>
    <definedName name="SLD.000.C.0.07.2001.00.01.212">37</definedName>
    <definedName name="SLD.000.C.0.07.2001.00.01.217">23062</definedName>
    <definedName name="SLD.000.C.0.07.2001.00.01.221">287690</definedName>
    <definedName name="SLD.000.C.0.07.2001.00.01.222">21139</definedName>
    <definedName name="SLD.000.C.0.07.2001.00.01.241">137385</definedName>
    <definedName name="SLD.000.C.0.07.2001.00.01.244">3416</definedName>
    <definedName name="SLD.000.C.0.07.2001.00.01.311">172282</definedName>
    <definedName name="SLD.000.C.0.07.2001.00.01.312">4712</definedName>
    <definedName name="SLD.000.C.0.07.2001.00.01.32">-14928</definedName>
    <definedName name="SLD.000.C.0.07.2001.00.01.34">2212</definedName>
    <definedName name="SLD.000.C.0.07.2001.00.01.41">-94807</definedName>
    <definedName name="SLD.000.C.0.07.2001.00.01.42">-19505</definedName>
    <definedName name="SLD.000.C.0.07.2001.00.01.4410101">-26998</definedName>
    <definedName name="SLD.000.C.0.07.2001.00.01.4410102">-47525</definedName>
    <definedName name="SLD.000.C.0.07.2001.00.01.45">-47</definedName>
    <definedName name="SLD.000.C.0.07.2001.00.01.47101010001">5852</definedName>
    <definedName name="SLD.000.C.0.07.2001.00.01.47101010002">2170</definedName>
    <definedName name="SLD.000.C.0.07.2001.00.01.D1013">15989</definedName>
    <definedName name="SLD.000.C.0.07.2001.00.01.D1015">512573</definedName>
    <definedName name="SLD.000.C.0.07.2001.00.01.D1016">11</definedName>
    <definedName name="SLD.000.C.0.07.2001.00.01.D1017">7157</definedName>
    <definedName name="SLD.000.C.0.07.2001.00.01.D1018">-323356</definedName>
    <definedName name="SLD.000.C.0.07.2001.00.01.D1094">2174</definedName>
    <definedName name="SLD.000.C.0.07.2001.00.01.D1155">30</definedName>
    <definedName name="SLD.000.C.0.08.0000.00.00.11201010035">200</definedName>
    <definedName name="SLD.000.C.0.08.0000.00.00.11306010019">90.63</definedName>
    <definedName name="SLD.000.C.0.08.0000.00.00.11306010031">13002</definedName>
    <definedName name="SLD.000.C.0.08.0000.00.00.21704010001">16653.00999999</definedName>
    <definedName name="SLD.000.C.0.08.0000.00.01.117">1001</definedName>
    <definedName name="SLD.000.C.0.08.0000.00.01.121">30082</definedName>
    <definedName name="SLD.000.C.0.08.0000.00.01.12301">997</definedName>
    <definedName name="SLD.000.C.0.08.0000.00.01.211">73607</definedName>
    <definedName name="SLD.000.C.0.08.0000.00.01.212">220</definedName>
    <definedName name="SLD.000.C.0.08.0000.00.01.216">555</definedName>
    <definedName name="SLD.000.C.0.08.0000.00.01.217">22702</definedName>
    <definedName name="SLD.000.C.0.08.0000.00.01.219">3514</definedName>
    <definedName name="SLD.000.C.0.08.0000.00.01.221">307226</definedName>
    <definedName name="SLD.000.C.0.08.0000.00.01.222">12514</definedName>
    <definedName name="SLD.000.C.0.08.0000.00.01.241">129974</definedName>
    <definedName name="SLD.000.C.0.08.0000.00.01.244">2180</definedName>
    <definedName name="SLD.000.C.0.08.0000.00.01.D1010">14735</definedName>
    <definedName name="SLD.000.C.0.08.0000.00.01.D1011">36890</definedName>
    <definedName name="SLD.000.C.0.08.0000.00.01.D1012">1296</definedName>
    <definedName name="SLD.000.C.0.08.0000.00.01.D1013">8253</definedName>
    <definedName name="SLD.000.C.0.08.0000.00.01.D1014">99</definedName>
    <definedName name="SLD.000.C.0.08.0000.00.01.D1015">487300</definedName>
    <definedName name="SLD.000.C.0.08.0000.00.01.D1016">6062</definedName>
    <definedName name="SLD.000.C.0.08.0000.00.01.D1017">5130</definedName>
    <definedName name="SLD.000.C.0.08.0000.00.01.D1018">29703</definedName>
    <definedName name="SLD.000.C.0.08.0000.00.01.DCRECEBER">610</definedName>
    <definedName name="SLD.000.C.0.08.2000.00.01.311">179586</definedName>
    <definedName name="SLD.000.C.0.08.2000.00.01.312">4954</definedName>
    <definedName name="SLD.000.C.0.08.2000.00.01.32">-13428</definedName>
    <definedName name="SLD.000.C.0.08.2000.00.01.34">4527</definedName>
    <definedName name="SLD.000.C.0.08.2000.00.01.41">-102632</definedName>
    <definedName name="SLD.000.C.0.08.2000.00.01.42">-18791</definedName>
    <definedName name="SLD.000.C.0.08.2000.00.01.44">-36837</definedName>
    <definedName name="SLD.000.C.0.08.2000.00.01.45">-114</definedName>
    <definedName name="SLD.000.C.0.08.2000.00.01.47101010001">-4419</definedName>
    <definedName name="SLD.000.C.0.08.2000.00.01.47101010002">-1257</definedName>
    <definedName name="SLD.000.C.0.08.2001.00.00.11306010034">679.5</definedName>
    <definedName name="SLD.000.C.0.08.2001.00.01.11201010035">0</definedName>
    <definedName name="SLD.000.C.0.08.2001.00.01.11306010019">1</definedName>
    <definedName name="SLD.000.C.0.08.2001.00.01.11306010031">0</definedName>
    <definedName name="SLD.000.C.0.08.2001.00.01.11306010034">1</definedName>
    <definedName name="SLD.000.C.0.08.2001.00.01.11306010036">43</definedName>
    <definedName name="SLD.000.C.0.08.2001.00.01.117">1014</definedName>
    <definedName name="SLD.000.C.0.08.2001.00.01.121">1</definedName>
    <definedName name="SLD.000.C.0.08.2001.00.01.12301">636</definedName>
    <definedName name="SLD.000.C.0.08.2001.00.01.131">0</definedName>
    <definedName name="SLD.000.C.0.08.2001.00.01.211">97618</definedName>
    <definedName name="SLD.000.C.0.08.2001.00.01.212">39</definedName>
    <definedName name="SLD.000.C.0.08.2001.00.01.217">21351</definedName>
    <definedName name="SLD.000.C.0.08.2001.00.01.221">294414</definedName>
    <definedName name="SLD.000.C.0.08.2001.00.01.222">21139</definedName>
    <definedName name="SLD.000.C.0.08.2001.00.01.241">137385</definedName>
    <definedName name="SLD.000.C.0.08.2001.00.01.244">3416</definedName>
    <definedName name="SLD.000.C.0.08.2001.00.01.311">199290</definedName>
    <definedName name="SLD.000.C.0.08.2001.00.01.312">5200</definedName>
    <definedName name="SLD.000.C.0.08.2001.00.01.32">-17264</definedName>
    <definedName name="SLD.000.C.0.08.2001.00.01.34">2360</definedName>
    <definedName name="SLD.000.C.0.08.2001.00.01.41">-109219</definedName>
    <definedName name="SLD.000.C.0.08.2001.00.01.42">-22060</definedName>
    <definedName name="SLD.000.C.0.08.2001.00.01.4410101">-31079</definedName>
    <definedName name="SLD.000.C.0.08.2001.00.01.4410102">-59077</definedName>
    <definedName name="SLD.000.C.0.08.2001.00.01.45">-45</definedName>
    <definedName name="SLD.000.C.0.08.2001.00.01.47101010001">7590</definedName>
    <definedName name="SLD.000.C.0.08.2001.00.01.47101010002">2796</definedName>
    <definedName name="SLD.000.C.0.08.2001.00.01.D1010">21116</definedName>
    <definedName name="SLD.000.C.0.08.2001.00.01.D1011">25629</definedName>
    <definedName name="SLD.000.C.0.08.2001.00.01.D1012">2240</definedName>
    <definedName name="SLD.000.C.0.08.2001.00.01.D1013">18353</definedName>
    <definedName name="SLD.000.C.0.08.2001.00.01.D1015">513622</definedName>
    <definedName name="SLD.000.C.0.08.2001.00.01.D1016">-1</definedName>
    <definedName name="SLD.000.C.0.08.2001.00.01.D1017">7552</definedName>
    <definedName name="SLD.000.C.0.08.2001.00.01.D1018">-378897</definedName>
    <definedName name="SLD.000.C.0.08.2001.00.01.D1094">2297</definedName>
    <definedName name="SLD.000.C.0.08.2001.00.01.D1155">154</definedName>
    <definedName name="SLD.000.C.0.08.2001.00.01.DCRECEBER">2722</definedName>
    <definedName name="SLD.000.C.0.09.0000.00.00.11201010035">200</definedName>
    <definedName name="SLD.000.C.0.09.0000.00.00.11306010019">321.67</definedName>
    <definedName name="SLD.000.C.0.09.0000.00.00.11306010031">13000</definedName>
    <definedName name="SLD.000.C.0.09.0000.00.00.21704010001">25308.86000001</definedName>
    <definedName name="SLD.000.C.0.09.0000.00.01.117">851</definedName>
    <definedName name="SLD.000.C.0.09.0000.00.01.121">29836</definedName>
    <definedName name="SLD.000.C.0.09.0000.00.01.12301">967</definedName>
    <definedName name="SLD.000.C.0.09.0000.00.01.211">64411</definedName>
    <definedName name="SLD.000.C.0.09.0000.00.01.212">221</definedName>
    <definedName name="SLD.000.C.0.09.0000.00.01.216">587</definedName>
    <definedName name="SLD.000.C.0.09.0000.00.01.217">25855</definedName>
    <definedName name="SLD.000.C.0.09.0000.00.01.219">3756</definedName>
    <definedName name="SLD.000.C.0.09.0000.00.01.221">289288</definedName>
    <definedName name="SLD.000.C.0.09.0000.00.01.222">12514</definedName>
    <definedName name="SLD.000.C.0.09.0000.00.01.241">129974</definedName>
    <definedName name="SLD.000.C.0.09.0000.00.01.244">2180</definedName>
    <definedName name="SLD.000.C.0.09.0000.00.01.D1010">11912</definedName>
    <definedName name="SLD.000.C.0.09.0000.00.01.D1011">15980</definedName>
    <definedName name="SLD.000.C.0.09.0000.00.01.D1012">283</definedName>
    <definedName name="SLD.000.C.0.09.0000.00.01.D1013">7967</definedName>
    <definedName name="SLD.000.C.0.09.0000.00.01.D1014">161</definedName>
    <definedName name="SLD.000.C.0.09.0000.00.01.D1015">490510</definedName>
    <definedName name="SLD.000.C.0.09.0000.00.01.D1016">5512</definedName>
    <definedName name="SLD.000.C.0.09.0000.00.01.D1017">3942</definedName>
    <definedName name="SLD.000.C.0.09.0000.00.01.D1018">32145</definedName>
    <definedName name="SLD.000.C.0.09.0000.00.01.DCRECEBER">895</definedName>
    <definedName name="SLD.000.C.0.09.2000.00.00.241">0</definedName>
    <definedName name="SLD.000.C.0.09.2000.00.00.3">0</definedName>
    <definedName name="SLD.000.C.0.09.2000.00.00.47101010001">-5348859.38</definedName>
    <definedName name="SLD.000.C.0.09.2000.00.00.47101010002">-1581059</definedName>
    <definedName name="SLD.000.C.0.09.2000.00.01.111">14575</definedName>
    <definedName name="SLD.000.C.0.09.2000.00.01.311">204201</definedName>
    <definedName name="SLD.000.C.0.09.2000.00.01.312">6945</definedName>
    <definedName name="SLD.000.C.0.09.2000.00.01.32">-15314</definedName>
    <definedName name="SLD.000.C.0.09.2000.00.01.34">5297</definedName>
    <definedName name="SLD.000.C.0.09.2000.00.01.41">-115820</definedName>
    <definedName name="SLD.000.C.0.09.2000.00.01.42">-21060</definedName>
    <definedName name="SLD.000.C.0.09.2000.00.01.44">-43166</definedName>
    <definedName name="SLD.000.C.0.09.2000.00.01.45">-124</definedName>
    <definedName name="SLD.000.C.0.09.2000.00.01.47101010001">-5349</definedName>
    <definedName name="SLD.000.C.0.09.2000.00.01.47101010002">-1581</definedName>
    <definedName name="SLD.000.C.0.09.2000.00.01.D1181">-34730</definedName>
    <definedName name="SLD.000.C.0.09.2000.00.01.D1182">-5958</definedName>
    <definedName name="SLD.000.C.0.09.2000.00.01.D1183">-2478</definedName>
    <definedName name="SLD.000.C.0.09.2001.00.00.111020016">0</definedName>
    <definedName name="SLD.000.C.0.09.2001.00.00.115">0</definedName>
    <definedName name="SLD.000.C.0.09.2001.00.00.11806">486504.22</definedName>
    <definedName name="SLD.000.C.0.09.2001.00.00.12502">1645216.62</definedName>
    <definedName name="SLD.000.C.0.09.2001.00.00.128060001">1191.61</definedName>
    <definedName name="SLD.000.C.0.09.2001.00.00.128060002">284.73</definedName>
    <definedName name="SLD.000.C.0.09.2001.00.00.128060003">0</definedName>
    <definedName name="SLD.000.C.0.09.2001.00.00.128060005">330</definedName>
    <definedName name="SLD.000.C.0.09.2001.00.00.2110202">10616530.45</definedName>
    <definedName name="SLD.000.C.0.09.2001.00.00.2110203">53344901.4199999</definedName>
    <definedName name="SLD.000.C.0.09.2001.00.00.213020003">621335.56</definedName>
    <definedName name="SLD.000.C.0.09.2001.00.00.215">163668.9</definedName>
    <definedName name="SLD.000.C.0.09.2001.00.00.218010001">0</definedName>
    <definedName name="SLD.000.C.0.09.2001.00.00.218010002">27194.85</definedName>
    <definedName name="SLD.000.C.0.09.2001.00.00.218010007">0</definedName>
    <definedName name="SLD.000.C.0.09.2001.00.00.218010008">0</definedName>
    <definedName name="SLD.000.C.0.09.2001.00.00.21802">605945.74</definedName>
    <definedName name="SLD.000.C.0.09.2001.00.00.2210202">18765313.68</definedName>
    <definedName name="SLD.000.C.0.09.2001.00.00.2210203">147277673.299999</definedName>
    <definedName name="SLD.000.C.0.09.2001.00.00.241">0</definedName>
    <definedName name="SLD.000.C.0.09.2001.00.00.3">0</definedName>
    <definedName name="SLD.000.C.0.09.2001.00.00.DA0010">1014533.59</definedName>
    <definedName name="SLD.000.C.0.09.2001.00.00.DA0011">247823.64</definedName>
    <definedName name="SLD.000.C.0.09.2001.00.00.DA0012">3810803.16</definedName>
    <definedName name="SLD.000.C.0.09.2001.00.00.DA0013">1256478.6</definedName>
    <definedName name="SLD.000.C.0.09.2001.00.00.DA0030">1836425.65</definedName>
    <definedName name="SLD.000.C.0.09.2001.00.00.DAA0050">522979.91</definedName>
    <definedName name="SLD.000.C.0.09.2001.00.00.DAAAMORT">-10843218.73</definedName>
    <definedName name="SLD.000.C.0.09.2001.00.00.DAADEPR">-23403267.63</definedName>
    <definedName name="SLD.000.C.0.09.2001.00.00.DAADIFER">15308049.67</definedName>
    <definedName name="SLD.000.C.0.09.2001.00.00.DAAIMOB">72686610.7099999</definedName>
    <definedName name="SLD.000.C.0.09.2001.00.00.DAAMORTOUT">0</definedName>
    <definedName name="SLD.000.C.0.09.2001.00.00.DAAOUT">0</definedName>
    <definedName name="SLD.000.C.0.09.2001.00.00.DBB010">59408542.82</definedName>
    <definedName name="SLD.000.C.0.09.2001.00.00.DBB011">1790408.17</definedName>
    <definedName name="SLD.000.C.0.09.2001.00.00.DBB013">1250740.08</definedName>
    <definedName name="SLD.000.C.0.09.2001.00.00.DBB020">937306.53</definedName>
    <definedName name="SLD.000.C.0.09.2001.00.00.DBB060">440640.65</definedName>
    <definedName name="SLD.000.C.0.09.2001.00.00.DBB081">0</definedName>
    <definedName name="SLD.000.C.0.09.2001.00.00.DBB160">12327098.82</definedName>
    <definedName name="SLD.000.C.0.09.2001.00.00.DBB171">-12008624.98</definedName>
    <definedName name="SLD.000.C.0.09.2001.00.00.DBB180">-429428.19</definedName>
    <definedName name="SLD.000.C.0.09.2001.00.01.11201010035">0</definedName>
    <definedName name="SLD.000.C.0.09.2001.00.01.11306010019">1</definedName>
    <definedName name="SLD.000.C.0.09.2001.00.01.11306010031">0</definedName>
    <definedName name="SLD.000.C.0.09.2001.00.01.11306010034">0</definedName>
    <definedName name="SLD.000.C.0.09.2001.00.01.11306010036">43</definedName>
    <definedName name="SLD.000.C.0.09.2001.00.01.117">912</definedName>
    <definedName name="SLD.000.C.0.09.2001.00.01.121">1</definedName>
    <definedName name="SLD.000.C.0.09.2001.00.01.12301">606</definedName>
    <definedName name="SLD.000.C.0.09.2001.00.01.131">0</definedName>
    <definedName name="SLD.000.C.0.09.2001.00.01.211">92146</definedName>
    <definedName name="SLD.000.C.0.09.2001.00.01.2110202">10617</definedName>
    <definedName name="SLD.000.C.0.09.2001.00.01.2110203">53345</definedName>
    <definedName name="SLD.000.C.0.09.2001.00.01.212">41</definedName>
    <definedName name="SLD.000.C.0.09.2001.00.01.217">22556</definedName>
    <definedName name="SLD.000.C.0.09.2001.00.01.221">273889</definedName>
    <definedName name="SLD.000.C.0.09.2001.00.01.2210202">18765</definedName>
    <definedName name="SLD.000.C.0.09.2001.00.01.2210203">147278</definedName>
    <definedName name="SLD.000.C.0.09.2001.00.01.222">21139</definedName>
    <definedName name="SLD.000.C.0.09.2001.00.01.241">137385</definedName>
    <definedName name="SLD.000.C.0.09.2001.00.01.244">3416</definedName>
    <definedName name="SLD.000.C.0.09.2001.00.01.24401010001">3105</definedName>
    <definedName name="SLD.000.C.0.09.2001.00.01.24401010002">311</definedName>
    <definedName name="SLD.000.C.0.09.2001.00.01.311">226450</definedName>
    <definedName name="SLD.000.C.0.09.2001.00.01.312">7103</definedName>
    <definedName name="SLD.000.C.0.09.2001.00.01.32">-19667</definedName>
    <definedName name="SLD.000.C.0.09.2001.00.01.34">2426</definedName>
    <definedName name="SLD.000.C.0.09.2001.00.01.41">-120059</definedName>
    <definedName name="SLD.000.C.0.09.2001.00.01.42">-24899</definedName>
    <definedName name="SLD.000.C.0.09.2001.00.01.4410101">-35193</definedName>
    <definedName name="SLD.000.C.0.09.2001.00.01.4410102">-70926</definedName>
    <definedName name="SLD.000.C.0.09.2001.00.01.45">-46</definedName>
    <definedName name="SLD.000.C.0.09.2001.00.01.47101010001">8304</definedName>
    <definedName name="SLD.000.C.0.09.2001.00.01.47101010002">3054</definedName>
    <definedName name="SLD.000.C.0.09.2001.00.01.47102010001">0</definedName>
    <definedName name="SLD.000.C.0.09.2001.00.01.47102010002">0</definedName>
    <definedName name="SLD.000.C.0.09.2001.00.01.D1010">12920</definedName>
    <definedName name="SLD.000.C.0.09.2001.00.01.D1011">7375</definedName>
    <definedName name="SLD.000.C.0.09.2001.00.01.D1012">2248</definedName>
    <definedName name="SLD.000.C.0.09.2001.00.01.D1013">19324</definedName>
    <definedName name="SLD.000.C.0.09.2001.00.01.D1015">513718</definedName>
    <definedName name="SLD.000.C.0.09.2001.00.01.D1016">0</definedName>
    <definedName name="SLD.000.C.0.09.2001.00.01.D1017">7923</definedName>
    <definedName name="SLD.000.C.0.09.2001.00.01.D1018">-434294</definedName>
    <definedName name="SLD.000.C.0.09.2001.00.01.D1094">2893</definedName>
    <definedName name="SLD.000.C.0.09.2001.00.01.D1155">158</definedName>
    <definedName name="SLD.000.C.0.09.2001.00.01.D1181">-31607</definedName>
    <definedName name="SLD.000.C.0.09.2001.00.01.D1182">-70827</definedName>
    <definedName name="SLD.000.C.0.09.2001.00.01.D1183">-3685</definedName>
    <definedName name="SLD.000.C.0.09.2001.00.01.DCRECEBER">2456</definedName>
    <definedName name="SLD.000.C.0.09.2002.00.01.311">0</definedName>
    <definedName name="SLD.000.C.0.09.2002.00.01.312">0</definedName>
    <definedName name="SLD.000.C.0.09.2002.00.01.32">0</definedName>
    <definedName name="SLD.000.C.0.09.2002.00.01.34">0</definedName>
    <definedName name="SLD.000.C.0.09.2002.00.01.41">0</definedName>
    <definedName name="SLD.000.C.0.09.2002.00.01.42">0</definedName>
    <definedName name="SLD.000.C.0.09.2002.00.01.45">0</definedName>
    <definedName name="SLD.000.C.0.09.2002.00.01.47101010001">0</definedName>
    <definedName name="SLD.000.C.0.09.2002.00.01.47101010002">0</definedName>
    <definedName name="SLD.000.C.0.09.2002.00.01.D1181">0</definedName>
    <definedName name="SLD.000.C.0.09.2002.00.01.D1182">0</definedName>
    <definedName name="SLD.000.C.0.09.2002.00.01.D1183">0</definedName>
    <definedName name="SLD.000.C.0.10.0000.00.00.11201010035">0</definedName>
    <definedName name="SLD.000.C.0.10.0000.00.00.11306010019">202.83</definedName>
    <definedName name="SLD.000.C.0.10.0000.00.00.11306010031">15275.16</definedName>
    <definedName name="SLD.000.C.0.10.0000.00.00.21704010001">23924.80000001</definedName>
    <definedName name="SLD.000.C.0.10.0000.00.01.11201010035">0</definedName>
    <definedName name="SLD.000.C.0.10.0000.00.01.11306010019">0</definedName>
    <definedName name="SLD.000.C.0.10.0000.00.01.11306010031">15</definedName>
    <definedName name="SLD.000.C.0.10.0000.00.01.117">695</definedName>
    <definedName name="SLD.000.C.0.10.0000.00.01.121">30859</definedName>
    <definedName name="SLD.000.C.0.10.0000.00.01.12301">937</definedName>
    <definedName name="SLD.000.C.0.10.0000.00.01.211">68903</definedName>
    <definedName name="SLD.000.C.0.10.0000.00.01.212">210</definedName>
    <definedName name="SLD.000.C.0.10.0000.00.01.216">545</definedName>
    <definedName name="SLD.000.C.0.10.0000.00.01.217">27330</definedName>
    <definedName name="SLD.000.C.0.10.0000.00.01.21704010001">24</definedName>
    <definedName name="SLD.000.C.0.10.0000.00.01.219">2428</definedName>
    <definedName name="SLD.000.C.0.10.0000.00.01.221">293045</definedName>
    <definedName name="SLD.000.C.0.10.0000.00.01.222">12514</definedName>
    <definedName name="SLD.000.C.0.10.0000.00.01.241">129974</definedName>
    <definedName name="SLD.000.C.0.10.0000.00.01.244">2180</definedName>
    <definedName name="SLD.000.C.0.10.0000.00.01.D1010">17271</definedName>
    <definedName name="SLD.000.C.0.10.0000.00.01.D1011">15613</definedName>
    <definedName name="SLD.000.C.0.10.0000.00.01.D1012">944</definedName>
    <definedName name="SLD.000.C.0.10.0000.00.01.D1013">7459</definedName>
    <definedName name="SLD.000.C.0.10.0000.00.01.D1014">323</definedName>
    <definedName name="SLD.000.C.0.10.0000.00.01.D1015">494149</definedName>
    <definedName name="SLD.000.C.0.10.0000.00.01.D1016">4962</definedName>
    <definedName name="SLD.000.C.0.10.0000.00.01.D1017">4190</definedName>
    <definedName name="SLD.000.C.0.10.0000.00.01.D1018">32726</definedName>
    <definedName name="SLD.000.C.0.10.0000.00.01.DCRECEBER">835</definedName>
    <definedName name="SLD.000.C.0.10.2000.00.01.311">229304</definedName>
    <definedName name="SLD.000.C.0.10.2000.00.01.312">7482</definedName>
    <definedName name="SLD.000.C.0.10.2000.00.01.32">-17176</definedName>
    <definedName name="SLD.000.C.0.10.2000.00.01.34">6787</definedName>
    <definedName name="SLD.000.C.0.10.2000.00.01.41">-129050</definedName>
    <definedName name="SLD.000.C.0.10.2000.00.01.42">-21320</definedName>
    <definedName name="SLD.000.C.0.10.2000.00.01.44">-54208</definedName>
    <definedName name="SLD.000.C.0.10.2000.00.01.45">-94</definedName>
    <definedName name="SLD.000.C.0.10.2000.00.01.47101010001">-5574</definedName>
    <definedName name="SLD.000.C.0.10.2000.00.01.47101010002">-1539</definedName>
    <definedName name="SLD.000.C.0.10.2001.00.00.2110202">10881502.85</definedName>
    <definedName name="SLD.000.C.0.10.2001.00.00.2110203">55226637.2899999</definedName>
    <definedName name="SLD.000.C.0.10.2001.00.00.2110302">28386509.52</definedName>
    <definedName name="SLD.000.C.0.10.2001.00.00.2210202">19016801.05</definedName>
    <definedName name="SLD.000.C.0.10.2001.00.00.2210203">149251446.629999</definedName>
    <definedName name="SLD.000.C.0.10.2001.00.00.2210302">105877571.47</definedName>
    <definedName name="SLD.000.C.0.10.2001.00.00.22201010001">5556543.48</definedName>
    <definedName name="SLD.000.C.0.10.2001.00.01.11201010035">0</definedName>
    <definedName name="SLD.000.C.0.10.2001.00.01.11306010019">0</definedName>
    <definedName name="SLD.000.C.0.10.2001.00.01.11306010031">0</definedName>
    <definedName name="SLD.000.C.0.10.2001.00.01.11306010034">0</definedName>
    <definedName name="SLD.000.C.0.10.2001.00.01.11306010036">73</definedName>
    <definedName name="SLD.000.C.0.10.2001.00.01.117">769</definedName>
    <definedName name="SLD.000.C.0.10.2001.00.01.121">0</definedName>
    <definedName name="SLD.000.C.0.10.2001.00.01.12301">576</definedName>
    <definedName name="SLD.000.C.0.10.2001.00.01.131">0</definedName>
    <definedName name="SLD.000.C.0.10.2001.00.01.211">94495</definedName>
    <definedName name="SLD.000.C.0.10.2001.00.01.2110202">10882</definedName>
    <definedName name="SLD.000.C.0.10.2001.00.01.2110203">55227</definedName>
    <definedName name="SLD.000.C.0.10.2001.00.01.2110302">28387</definedName>
    <definedName name="SLD.000.C.0.10.2001.00.01.212">130</definedName>
    <definedName name="SLD.000.C.0.10.2001.00.01.217">23634</definedName>
    <definedName name="SLD.000.C.0.10.2001.00.01.221">274146</definedName>
    <definedName name="SLD.000.C.0.10.2001.00.01.2210202">19017</definedName>
    <definedName name="SLD.000.C.0.10.2001.00.01.2210203">149251</definedName>
    <definedName name="SLD.000.C.0.10.2001.00.01.2210302">105878</definedName>
    <definedName name="SLD.000.C.0.10.2001.00.01.222">26696</definedName>
    <definedName name="SLD.000.C.0.10.2001.00.01.22201010001">5557</definedName>
    <definedName name="SLD.000.C.0.10.2001.00.01.241">137385</definedName>
    <definedName name="SLD.000.C.0.10.2001.00.01.244">3416</definedName>
    <definedName name="SLD.000.C.0.10.2001.00.01.311">255345</definedName>
    <definedName name="SLD.000.C.0.10.2001.00.01.312">10093</definedName>
    <definedName name="SLD.000.C.0.10.2001.00.01.32">-22260</definedName>
    <definedName name="SLD.000.C.0.10.2001.00.01.34">3447</definedName>
    <definedName name="SLD.000.C.0.10.2001.00.01.41">-134494</definedName>
    <definedName name="SLD.000.C.0.10.2001.00.01.42">-27702</definedName>
    <definedName name="SLD.000.C.0.10.2001.00.01.4410101">-38411</definedName>
    <definedName name="SLD.000.C.0.10.2001.00.01.4410102">-73993</definedName>
    <definedName name="SLD.000.C.0.10.2001.00.01.45">-43</definedName>
    <definedName name="SLD.000.C.0.10.2001.00.01.47101010001">6600</definedName>
    <definedName name="SLD.000.C.0.10.2001.00.01.47101010002">2441</definedName>
    <definedName name="SLD.000.C.0.10.2001.00.01.D1010">16116</definedName>
    <definedName name="SLD.000.C.0.10.2001.00.01.D1011">11907</definedName>
    <definedName name="SLD.000.C.0.10.2001.00.01.D1012">2246</definedName>
    <definedName name="SLD.000.C.0.10.2001.00.01.D1013">17007</definedName>
    <definedName name="SLD.000.C.0.10.2001.00.01.D1015">514760</definedName>
    <definedName name="SLD.000.C.0.10.2001.00.01.D1016">0</definedName>
    <definedName name="SLD.000.C.0.10.2001.00.01.D1017">2896</definedName>
    <definedName name="SLD.000.C.0.10.2001.00.01.D1018">-490445</definedName>
    <definedName name="SLD.000.C.0.10.2001.00.01.D1094">3050</definedName>
    <definedName name="SLD.000.C.0.10.2001.00.01.D1155">3862</definedName>
    <definedName name="SLD.000.C.0.10.2001.00.01.DCRECEBER">1408</definedName>
    <definedName name="SLD.000.C.0.11.0000.00.01.11201010035">0</definedName>
    <definedName name="SLD.000.C.0.11.0000.00.01.11306010019">0</definedName>
    <definedName name="SLD.000.C.0.11.0000.00.01.11306010031">29</definedName>
    <definedName name="SLD.000.C.0.11.0000.00.01.117">593</definedName>
    <definedName name="SLD.000.C.0.11.0000.00.01.121">31536</definedName>
    <definedName name="SLD.000.C.0.11.0000.00.01.12301">907</definedName>
    <definedName name="SLD.000.C.0.11.0000.00.01.211">72049</definedName>
    <definedName name="SLD.000.C.0.11.0000.00.01.212">95</definedName>
    <definedName name="SLD.000.C.0.11.0000.00.01.216">559</definedName>
    <definedName name="SLD.000.C.0.11.0000.00.01.217">27062</definedName>
    <definedName name="SLD.000.C.0.11.0000.00.01.21704010001">19</definedName>
    <definedName name="SLD.000.C.0.11.0000.00.01.219">2531</definedName>
    <definedName name="SLD.000.C.0.11.0000.00.01.221">292325</definedName>
    <definedName name="SLD.000.C.0.11.0000.00.01.222">12514</definedName>
    <definedName name="SLD.000.C.0.11.0000.00.01.241">129974</definedName>
    <definedName name="SLD.000.C.0.11.0000.00.01.244">2180</definedName>
    <definedName name="SLD.000.C.0.11.0000.00.01.D1010">14444</definedName>
    <definedName name="SLD.000.C.0.11.0000.00.01.D1011">16290</definedName>
    <definedName name="SLD.000.C.0.11.0000.00.01.D1012">1130</definedName>
    <definedName name="SLD.000.C.0.11.0000.00.01.D1013">7601</definedName>
    <definedName name="SLD.000.C.0.11.0000.00.01.D1014">382</definedName>
    <definedName name="SLD.000.C.0.11.0000.00.01.D1015">497806</definedName>
    <definedName name="SLD.000.C.0.11.0000.00.01.D1016">4412</definedName>
    <definedName name="SLD.000.C.0.11.0000.00.01.D1017">4464</definedName>
    <definedName name="SLD.000.C.0.11.0000.00.01.D1018">32313</definedName>
    <definedName name="SLD.000.C.0.11.0000.00.01.DCRECEBER">964</definedName>
    <definedName name="SLD.000.C.0.11.2000.00.01.311">254101</definedName>
    <definedName name="SLD.000.C.0.11.2000.00.01.312">7993</definedName>
    <definedName name="SLD.000.C.0.11.2000.00.01.32">-19017</definedName>
    <definedName name="SLD.000.C.0.11.2000.00.01.34">7665</definedName>
    <definedName name="SLD.000.C.0.11.2000.00.01.41">-142242</definedName>
    <definedName name="SLD.000.C.0.11.2000.00.01.42">-23374</definedName>
    <definedName name="SLD.000.C.0.11.2000.00.01.44">-63917</definedName>
    <definedName name="SLD.000.C.0.11.2000.00.01.45">-133</definedName>
    <definedName name="SLD.000.C.0.11.2000.00.01.47101010001">-5412</definedName>
    <definedName name="SLD.000.C.0.11.2000.00.01.47101010002">-1465</definedName>
    <definedName name="SLD.000.C.0.11.2001.00.01.11201010035">0</definedName>
    <definedName name="SLD.000.C.0.11.2001.00.01.11306010019">0</definedName>
    <definedName name="SLD.000.C.0.11.2001.00.01.11306010031">0</definedName>
    <definedName name="SLD.000.C.0.11.2001.00.01.11306010034">5</definedName>
    <definedName name="SLD.000.C.0.11.2001.00.01.11306010036">73</definedName>
    <definedName name="SLD.000.C.0.11.2001.00.01.117">646</definedName>
    <definedName name="SLD.000.C.0.11.2001.00.01.121">0</definedName>
    <definedName name="SLD.000.C.0.11.2001.00.01.12301">546</definedName>
    <definedName name="SLD.000.C.0.11.2001.00.01.131">0</definedName>
    <definedName name="SLD.000.C.0.11.2001.00.01.211">90706</definedName>
    <definedName name="SLD.000.C.0.11.2001.00.01.2110202">9681</definedName>
    <definedName name="SLD.000.C.0.11.2001.00.01.2110203">52642</definedName>
    <definedName name="SLD.000.C.0.11.2001.00.01.2110302">28383</definedName>
    <definedName name="SLD.000.C.0.11.2001.00.01.212">39</definedName>
    <definedName name="SLD.000.C.0.11.2001.00.01.217">23618</definedName>
    <definedName name="SLD.000.C.0.11.2001.00.01.221">256947</definedName>
    <definedName name="SLD.000.C.0.11.2001.00.01.2210202">13645</definedName>
    <definedName name="SLD.000.C.0.11.2001.00.01.2210203">139416</definedName>
    <definedName name="SLD.000.C.0.11.2001.00.01.2210302">103886</definedName>
    <definedName name="SLD.000.C.0.11.2001.00.01.222">26992</definedName>
    <definedName name="SLD.000.C.0.11.2001.00.01.22201010001">5853</definedName>
    <definedName name="SLD.000.C.0.11.2001.00.01.241">137385</definedName>
    <definedName name="SLD.000.C.0.11.2001.00.01.244">3416</definedName>
    <definedName name="SLD.000.C.0.11.2001.00.01.311">284127</definedName>
    <definedName name="SLD.000.C.0.11.2001.00.01.312">10976</definedName>
    <definedName name="SLD.000.C.0.11.2001.00.01.32">-24765</definedName>
    <definedName name="SLD.000.C.0.11.2001.00.01.34">3546</definedName>
    <definedName name="SLD.000.C.0.11.2001.00.01.41">-148549</definedName>
    <definedName name="SLD.000.C.0.11.2001.00.01.42">-30247</definedName>
    <definedName name="SLD.000.C.0.11.2001.00.01.4410101">-41836</definedName>
    <definedName name="SLD.000.C.0.11.2001.00.01.4410102">-58702</definedName>
    <definedName name="SLD.000.C.0.11.2001.00.01.45">-43</definedName>
    <definedName name="SLD.000.C.0.11.2001.00.01.47101010001">886</definedName>
    <definedName name="SLD.000.C.0.11.2001.00.01.47101010002">411</definedName>
    <definedName name="SLD.000.C.0.11.2001.00.01.D1010">15204</definedName>
    <definedName name="SLD.000.C.0.11.2001.00.01.D1011">11953</definedName>
    <definedName name="SLD.000.C.0.11.2001.00.01.D1012">2247</definedName>
    <definedName name="SLD.000.C.0.11.2001.00.01.D1013">9263</definedName>
    <definedName name="SLD.000.C.0.11.2001.00.01.D1015">517243</definedName>
    <definedName name="SLD.000.C.0.11.2001.00.01.D1016">0</definedName>
    <definedName name="SLD.000.C.0.11.2001.00.01.D1017">2872</definedName>
    <definedName name="SLD.000.C.0.11.2001.00.01.D1018">-530182</definedName>
    <definedName name="SLD.000.C.0.11.2001.00.01.D1094">3197</definedName>
    <definedName name="SLD.000.C.0.11.2001.00.01.D1155">3819</definedName>
    <definedName name="SLD.000.C.0.11.2001.00.01.DCRECEBER">1838</definedName>
    <definedName name="SLD.000.C.0.12.0000.00.00.D1211">20817035.09</definedName>
    <definedName name="SLD.000.C.0.12.0000.00.01.11201010035">0</definedName>
    <definedName name="SLD.000.C.0.12.0000.00.01.11306010019">0</definedName>
    <definedName name="SLD.000.C.0.12.0000.00.01.11306010031">0</definedName>
    <definedName name="SLD.000.C.0.12.0000.00.01.117">0</definedName>
    <definedName name="SLD.000.C.0.12.0000.00.01.121">0</definedName>
    <definedName name="SLD.000.C.0.12.0000.00.01.12302010001">5662</definedName>
    <definedName name="SLD.000.C.0.12.0000.00.01.12302010002">1689</definedName>
    <definedName name="SLD.000.C.0.12.0000.00.01.131">0</definedName>
    <definedName name="SLD.000.C.0.12.0000.00.01.211">0</definedName>
    <definedName name="SLD.000.C.0.12.0000.00.01.212">0</definedName>
    <definedName name="SLD.000.C.0.12.0000.00.01.217">0</definedName>
    <definedName name="SLD.000.C.0.12.0000.00.01.21704010001">0</definedName>
    <definedName name="SLD.000.C.0.12.0000.00.01.221">0</definedName>
    <definedName name="SLD.000.C.0.12.0000.00.01.222">0</definedName>
    <definedName name="SLD.000.C.0.12.0000.00.01.241">0</definedName>
    <definedName name="SLD.000.C.0.12.0000.00.01.244">0</definedName>
    <definedName name="SLD.000.C.0.12.0000.00.01.31">0</definedName>
    <definedName name="SLD.000.C.0.12.0000.00.01.32">0</definedName>
    <definedName name="SLD.000.C.0.12.0000.00.01.34">0</definedName>
    <definedName name="SLD.000.C.0.12.0000.00.01.41">0</definedName>
    <definedName name="SLD.000.C.0.12.0000.00.01.42">0</definedName>
    <definedName name="SLD.000.C.0.12.0000.00.01.45">0</definedName>
    <definedName name="SLD.000.C.0.12.0000.00.01.47101010001">0</definedName>
    <definedName name="SLD.000.C.0.12.0000.00.01.47101010002">0</definedName>
    <definedName name="SLD.000.C.0.12.0000.00.01.D1010">0</definedName>
    <definedName name="SLD.000.C.0.12.0000.00.01.D1011">0</definedName>
    <definedName name="SLD.000.C.0.12.0000.00.01.D1012">0</definedName>
    <definedName name="SLD.000.C.0.12.0000.00.01.D1013">0</definedName>
    <definedName name="SLD.000.C.0.12.0000.00.01.D1015">0</definedName>
    <definedName name="SLD.000.C.0.12.0000.00.01.D1016">0</definedName>
    <definedName name="SLD.000.C.0.12.0000.00.01.D1017">0</definedName>
    <definedName name="SLD.000.C.0.12.0000.00.01.D1018">0</definedName>
    <definedName name="SLD.000.C.0.12.0000.00.01.D1025">0</definedName>
    <definedName name="SLD.000.C.0.12.0000.00.01.D1026">0</definedName>
    <definedName name="SLD.000.C.0.12.0000.00.01.D1030">0</definedName>
    <definedName name="SLD.000.C.0.12.0000.00.01.D1093">0</definedName>
    <definedName name="SLD.000.C.0.12.0000.00.01.D1094">0</definedName>
    <definedName name="SLD.000.C.0.12.0000.00.01.D1211">20817</definedName>
    <definedName name="SLD.000.C.0.12.0000.00.01.DCRECEBER">0</definedName>
    <definedName name="SLD.000.C.0.12.1998.00.00.241">0</definedName>
    <definedName name="SLD.000.C.0.12.1999.00.00.11">46755858.65</definedName>
    <definedName name="SLD.000.C.0.12.1999.00.00.111">28080836.7299999</definedName>
    <definedName name="SLD.000.C.0.12.1999.00.00.11307">4699155.21</definedName>
    <definedName name="SLD.000.C.0.12.1999.00.00.115">13298104.21</definedName>
    <definedName name="SLD.000.C.0.12.1999.00.00.117">386309.42000008</definedName>
    <definedName name="SLD.000.C.0.12.1999.00.00.121">32120074.2799987</definedName>
    <definedName name="SLD.000.C.0.12.1999.00.00.12101">32120074.28</definedName>
    <definedName name="SLD.000.C.0.12.1999.00.00.12302">8628884.53</definedName>
    <definedName name="SLD.000.C.0.12.1999.00.00.131">90000</definedName>
    <definedName name="SLD.000.C.0.12.1999.00.00.21">106839174.599999</definedName>
    <definedName name="SLD.000.C.0.12.1999.00.00.211">71813107.4799804</definedName>
    <definedName name="SLD.000.C.0.12.1999.00.00.212">988466.92000008</definedName>
    <definedName name="SLD.000.C.0.12.1999.00.00.21401">0</definedName>
    <definedName name="SLD.000.C.0.12.1999.00.00.217">30737899.1099853</definedName>
    <definedName name="SLD.000.C.0.12.1999.00.00.221">321088959</definedName>
    <definedName name="SLD.000.C.0.12.1999.00.00.222">12513945.7100067</definedName>
    <definedName name="SLD.000.C.0.12.1999.00.00.22203010001">12513945.71</definedName>
    <definedName name="SLD.000.C.0.12.1999.00.00.241">129974445.70996</definedName>
    <definedName name="SLD.000.C.0.12.1999.00.00.24101010001">129974445.71</definedName>
    <definedName name="SLD.000.C.0.12.1999.00.00.244">2180449.56999969</definedName>
    <definedName name="SLD.000.C.0.12.1999.00.00.2450101">37464088.14</definedName>
    <definedName name="SLD.000.C.0.12.1999.00.00.24501010001">37464088.14</definedName>
    <definedName name="SLD.000.C.0.12.1999.00.00.3">0</definedName>
    <definedName name="SLD.000.C.0.12.1999.00.00.31">244637695.850097</definedName>
    <definedName name="SLD.000.C.0.12.1999.00.00.32">-7509368.30000305</definedName>
    <definedName name="SLD.000.C.0.12.1999.00.00.34">14624027.0099945</definedName>
    <definedName name="SLD.000.C.0.12.1999.00.00.41">-137984469.360107</definedName>
    <definedName name="SLD.000.C.0.12.1999.00.00.42">-18822323.7999877</definedName>
    <definedName name="SLD.000.C.0.12.1999.00.00.45">1209821.75</definedName>
    <definedName name="SLD.000.C.0.12.1999.00.00.47101010001">6781028.15000153</definedName>
    <definedName name="SLD.000.C.0.12.1999.00.00.47101010002">1847856.37999916</definedName>
    <definedName name="SLD.000.C.0.12.1999.00.00.D1010">16016305.1600036</definedName>
    <definedName name="SLD.000.C.0.12.1999.00.00.D1011">25362635.7800293</definedName>
    <definedName name="SLD.000.C.0.12.1999.00.00.D1012">4699155.20999908</definedName>
    <definedName name="SLD.000.C.0.12.1999.00.00.D1013">8628884.52999878</definedName>
    <definedName name="SLD.000.C.0.12.1999.00.00.D1015">491398211.890625</definedName>
    <definedName name="SLD.000.C.0.12.1999.00.00.D1016">10463049.2499847</definedName>
    <definedName name="SLD.000.C.0.12.1999.00.00.D1017">2173749.31999969</definedName>
    <definedName name="SLD.000.C.0.12.1999.00.00.D1018">18114451.8701171</definedName>
    <definedName name="SLD.000.C.0.12.1999.00.00.D1025">-49193159.4400024</definedName>
    <definedName name="SLD.000.C.0.12.1999.00.00.D1026">-3587777.86999512</definedName>
    <definedName name="SLD.000.C.0.12.1999.00.00.D1030">-71352966.6400146</definedName>
    <definedName name="SLD.000.C.0.12.1999.00.00.D1074">-19349636.2700195</definedName>
    <definedName name="SLD.000.C.0.12.1999.00.00.D1075">-8628884.52999878</definedName>
    <definedName name="SLD.000.C.0.12.1999.00.00.D1076">77181160.7299804</definedName>
    <definedName name="SLD.000.C.0.12.1999.00.00.D1093">1255347.8599987</definedName>
    <definedName name="SLD.000.C.0.12.1999.00.00.D1094">1125951.77000046</definedName>
    <definedName name="SLD.000.C.0.12.1999.00.00.D1132">2173749.32</definedName>
    <definedName name="SLD.000.C.0.12.1999.00.00.D1203">16016305.1599999</definedName>
    <definedName name="SLD.000.C.0.12.1999.00.00.D1204">13304504.21</definedName>
    <definedName name="SLD.000.C.0.12.1999.00.00.D1205">291453.08</definedName>
    <definedName name="SLD.000.C.0.12.1999.00.00.D1206">1255347.86</definedName>
    <definedName name="SLD.000.C.0.12.1999.00.00.D1207">491398211.889999</definedName>
    <definedName name="SLD.000.C.0.12.1999.00.00.D1208">10463049.25</definedName>
    <definedName name="SLD.000.C.0.12.1999.00.00.D1209">1125951.77</definedName>
    <definedName name="SLD.000.C.0.12.1999.00.00.D1210">2173749.32</definedName>
    <definedName name="SLD.000.C.0.12.1999.00.00.D1211">37464088.14</definedName>
    <definedName name="SLD.000.C.0.12.1999.00.00.D1213">392902066.48</definedName>
    <definedName name="SLD.000.C.0.12.1999.00.00.D1214">1255347.86</definedName>
    <definedName name="SLD.000.C.0.12.1999.00.00.D997">52401126.4100341</definedName>
    <definedName name="SLD.000.C.0.12.1999.00.00.DCRECEBER">291453.08000183</definedName>
    <definedName name="SLD.000.C.0.12.1999.00.01.11">46756</definedName>
    <definedName name="SLD.000.C.0.12.1999.00.01.111">28081</definedName>
    <definedName name="SLD.000.C.0.12.1999.00.01.11307">4699</definedName>
    <definedName name="SLD.000.C.0.12.1999.00.01.115">13298</definedName>
    <definedName name="SLD.000.C.0.12.1999.00.01.117">386</definedName>
    <definedName name="SLD.000.C.0.12.1999.00.01.121">32120</definedName>
    <definedName name="SLD.000.C.0.12.1999.00.01.12101">32120</definedName>
    <definedName name="SLD.000.C.0.12.1999.00.01.12302">8629</definedName>
    <definedName name="SLD.000.C.0.12.1999.00.01.131">90</definedName>
    <definedName name="SLD.000.C.0.12.1999.00.01.21">106839</definedName>
    <definedName name="SLD.000.C.0.12.1999.00.01.211">71813</definedName>
    <definedName name="SLD.000.C.0.12.1999.00.01.212">988</definedName>
    <definedName name="SLD.000.C.0.12.1999.00.01.21401">0</definedName>
    <definedName name="SLD.000.C.0.12.1999.00.01.217">30738</definedName>
    <definedName name="SLD.000.C.0.12.1999.00.01.221">321089</definedName>
    <definedName name="SLD.000.C.0.12.1999.00.01.222">12514</definedName>
    <definedName name="SLD.000.C.0.12.1999.00.01.22203010001">12514</definedName>
    <definedName name="SLD.000.C.0.12.1999.00.01.241">129974</definedName>
    <definedName name="SLD.000.C.0.12.1999.00.01.24101010001">129974</definedName>
    <definedName name="SLD.000.C.0.12.1999.00.01.244">2180</definedName>
    <definedName name="SLD.000.C.0.12.1999.00.01.2450101">37464</definedName>
    <definedName name="SLD.000.C.0.12.1999.00.01.24501010001">37464</definedName>
    <definedName name="SLD.000.C.0.12.1999.00.01.31">244638</definedName>
    <definedName name="SLD.000.C.0.12.1999.00.01.32">-7509</definedName>
    <definedName name="SLD.000.C.0.12.1999.00.01.34">14624</definedName>
    <definedName name="SLD.000.C.0.12.1999.00.01.41">-137984</definedName>
    <definedName name="SLD.000.C.0.12.1999.00.01.42">-18822</definedName>
    <definedName name="SLD.000.C.0.12.1999.00.01.45">1210</definedName>
    <definedName name="SLD.000.C.0.12.1999.00.01.47101010001">6781</definedName>
    <definedName name="SLD.000.C.0.12.1999.00.01.47101010002">1848</definedName>
    <definedName name="SLD.000.C.0.12.1999.00.01.D1010">16016</definedName>
    <definedName name="SLD.000.C.0.12.1999.00.01.D1011">25363</definedName>
    <definedName name="SLD.000.C.0.12.1999.00.01.D1012">4699</definedName>
    <definedName name="SLD.000.C.0.12.1999.00.01.D1013">8629</definedName>
    <definedName name="SLD.000.C.0.12.1999.00.01.D1015">491398</definedName>
    <definedName name="SLD.000.C.0.12.1999.00.01.D1016">10463</definedName>
    <definedName name="SLD.000.C.0.12.1999.00.01.D1017">2174</definedName>
    <definedName name="SLD.000.C.0.12.1999.00.01.D1018">18114</definedName>
    <definedName name="SLD.000.C.0.12.1999.00.01.D1025">-49193</definedName>
    <definedName name="SLD.000.C.0.12.1999.00.01.D1026">-3588</definedName>
    <definedName name="SLD.000.C.0.12.1999.00.01.D1030">-71353</definedName>
    <definedName name="SLD.000.C.0.12.1999.00.01.D1074">-19350</definedName>
    <definedName name="SLD.000.C.0.12.1999.00.01.D1075">-8629</definedName>
    <definedName name="SLD.000.C.0.12.1999.00.01.D1076">77181</definedName>
    <definedName name="SLD.000.C.0.12.1999.00.01.D1093">1255</definedName>
    <definedName name="SLD.000.C.0.12.1999.00.01.D1094">1126</definedName>
    <definedName name="SLD.000.C.0.12.1999.00.01.D1132">2174</definedName>
    <definedName name="SLD.000.C.0.12.1999.00.01.D1203">16016</definedName>
    <definedName name="SLD.000.C.0.12.1999.00.01.D1204">13305</definedName>
    <definedName name="SLD.000.C.0.12.1999.00.01.D1205">291</definedName>
    <definedName name="SLD.000.C.0.12.1999.00.01.D1206">1255</definedName>
    <definedName name="SLD.000.C.0.12.1999.00.01.D1207">491398</definedName>
    <definedName name="SLD.000.C.0.12.1999.00.01.D1208">10463</definedName>
    <definedName name="SLD.000.C.0.12.1999.00.01.D1209">1126</definedName>
    <definedName name="SLD.000.C.0.12.1999.00.01.D1210">2174</definedName>
    <definedName name="SLD.000.C.0.12.1999.00.01.D1211">37464</definedName>
    <definedName name="SLD.000.C.0.12.1999.00.01.D1213">392902</definedName>
    <definedName name="SLD.000.C.0.12.1999.00.01.D1214">1255</definedName>
    <definedName name="SLD.000.C.0.12.1999.00.01.D997">52401</definedName>
    <definedName name="SLD.000.C.0.12.1999.00.01.DCRECEBER">291</definedName>
    <definedName name="SLD.000.C.0.12.2000.00.00.">0</definedName>
    <definedName name="SLD.000.C.0.12.2000.00.00.11">31410331.4299999</definedName>
    <definedName name="SLD.000.C.0.12.2000.00.00.111">27794140.4999999</definedName>
    <definedName name="SLD.000.C.0.12.2000.00.00.117">533634.32999992</definedName>
    <definedName name="SLD.000.C.0.12.2000.00.00.121">31439885.269989</definedName>
    <definedName name="SLD.000.C.0.12.2000.00.00.131">0</definedName>
    <definedName name="SLD.000.C.0.12.2000.00.00.21">100633785.009999</definedName>
    <definedName name="SLD.000.C.0.12.2000.00.00.211">73815519.2800293</definedName>
    <definedName name="SLD.000.C.0.12.2000.00.00.2110202">7724014.29</definedName>
    <definedName name="SLD.000.C.0.12.2000.00.00.2110203">44399022.1399999</definedName>
    <definedName name="SLD.000.C.0.12.2000.00.00.21103">21692482.85</definedName>
    <definedName name="SLD.000.C.0.12.2000.00.00.212">88033.35000002</definedName>
    <definedName name="SLD.000.C.0.12.2000.00.00.217">17315355.6300048</definedName>
    <definedName name="SLD.000.C.0.12.2000.00.00.221">290102726.669921</definedName>
    <definedName name="SLD.000.C.0.12.2000.00.00.2210202">18002186.62</definedName>
    <definedName name="SLD.000.C.0.12.2000.00.00.2210203">146502913.319999</definedName>
    <definedName name="SLD.000.C.0.12.2000.00.00.22103">125597626.729999</definedName>
    <definedName name="SLD.000.C.0.12.2000.00.00.222">21139278.8200073</definedName>
    <definedName name="SLD.000.C.0.12.2000.00.00.241">129974445.70996</definedName>
    <definedName name="SLD.000.C.0.12.2000.00.00.244">2180449.56999969</definedName>
    <definedName name="SLD.000.C.0.12.2000.00.00.3">0</definedName>
    <definedName name="SLD.000.C.0.12.2000.00.00.31">290217002.200195</definedName>
    <definedName name="SLD.000.C.0.12.2000.00.00.32">-21064440.0299987</definedName>
    <definedName name="SLD.000.C.0.12.2000.00.00.34">7705475.12000275</definedName>
    <definedName name="SLD.000.C.0.12.2000.00.00.41">-155587260.75</definedName>
    <definedName name="SLD.000.C.0.12.2000.00.00.42">-25368197.2900085</definedName>
    <definedName name="SLD.000.C.0.12.2000.00.00.44101010019">-5991197.71</definedName>
    <definedName name="SLD.000.C.0.12.2000.00.00.44101020005">-3917082.42</definedName>
    <definedName name="SLD.000.C.0.12.2000.00.00.44101020008">-14230467.9</definedName>
    <definedName name="SLD.000.C.0.12.2000.00.00.45">-133099.42000008</definedName>
    <definedName name="SLD.000.C.0.12.2000.00.00.47101010001">-4710636.20999908</definedName>
    <definedName name="SLD.000.C.0.12.2000.00.00.47101010002">-1201172.17000008</definedName>
    <definedName name="SLD.000.C.0.12.2000.00.00.D1010">17989327</definedName>
    <definedName name="SLD.000.C.0.12.2000.00.00.D1011">9804813.5</definedName>
    <definedName name="SLD.000.C.0.12.2000.00.00.D1012">1992874.98999977</definedName>
    <definedName name="SLD.000.C.0.12.2000.00.00.D1013">7966124.47000122</definedName>
    <definedName name="SLD.000.C.0.12.2000.00.00.D1015">498771725.940429</definedName>
    <definedName name="SLD.000.C.0.12.2000.00.00.D1016">3861816.84998322</definedName>
    <definedName name="SLD.000.C.0.12.2000.00.00.D1017">6518375.77999878</definedName>
    <definedName name="SLD.000.C.0.12.2000.00.00.D1018">30428702.3901367</definedName>
    <definedName name="SLD.000.C.0.12.2000.00.00.D1025">-45744891.0900268</definedName>
    <definedName name="SLD.000.C.0.12.2000.00.00.D1026">-13650979.5200805</definedName>
    <definedName name="SLD.000.C.0.12.2000.00.00.D1030">-18147550.3200073</definedName>
    <definedName name="SLD.000.C.0.12.2000.00.00.D1093">1009504.21000004</definedName>
    <definedName name="SLD.000.C.0.12.2000.00.00.D1094">2896500.96999741</definedName>
    <definedName name="SLD.000.C.0.12.2000.00.00.D1212">0</definedName>
    <definedName name="SLD.000.C.0.12.2000.00.00.D1213">363918245.949999</definedName>
    <definedName name="SLD.000.C.0.12.2000.00.00.DCRECEBER">1089681.6099987</definedName>
    <definedName name="SLD.000.C.0.12.2000.00.01.11">31410</definedName>
    <definedName name="SLD.000.C.0.12.2000.00.01.111">27794</definedName>
    <definedName name="SLD.000.C.0.12.2000.00.01.11307">1993</definedName>
    <definedName name="SLD.000.C.0.12.2000.00.01.117">534</definedName>
    <definedName name="SLD.000.C.0.12.2000.00.01.121">31440</definedName>
    <definedName name="SLD.000.C.0.12.2000.00.01.12101">31440</definedName>
    <definedName name="SLD.000.C.0.12.2000.00.01.12301">877</definedName>
    <definedName name="SLD.000.C.0.12.2000.00.01.12302">7966</definedName>
    <definedName name="SLD.000.C.0.12.2000.00.01.12302010001">5994</definedName>
    <definedName name="SLD.000.C.0.12.2000.00.01.12302010002">1972</definedName>
    <definedName name="SLD.000.C.0.12.2000.00.01.131">0</definedName>
    <definedName name="SLD.000.C.0.12.2000.00.01.21">100634</definedName>
    <definedName name="SLD.000.C.0.12.2000.00.01.211">73816</definedName>
    <definedName name="SLD.000.C.0.12.2000.00.01.2110202">7724</definedName>
    <definedName name="SLD.000.C.0.12.2000.00.01.2110203">44399</definedName>
    <definedName name="SLD.000.C.0.12.2000.00.01.21103">21692</definedName>
    <definedName name="SLD.000.C.0.12.2000.00.01.212">88</definedName>
    <definedName name="SLD.000.C.0.12.2000.00.01.21401">0</definedName>
    <definedName name="SLD.000.C.0.12.2000.00.01.217">17315</definedName>
    <definedName name="SLD.000.C.0.12.2000.00.01.221">290103</definedName>
    <definedName name="SLD.000.C.0.12.2000.00.01.2210202">18002</definedName>
    <definedName name="SLD.000.C.0.12.2000.00.01.2210203">146503</definedName>
    <definedName name="SLD.000.C.0.12.2000.00.01.222">21139</definedName>
    <definedName name="SLD.000.C.0.12.2000.00.01.22201010001">0</definedName>
    <definedName name="SLD.000.C.0.12.2000.00.01.22203010001">21139</definedName>
    <definedName name="SLD.000.C.0.12.2000.00.01.241">129974</definedName>
    <definedName name="SLD.000.C.0.12.2000.00.01.24101010001">129974</definedName>
    <definedName name="SLD.000.C.0.12.2000.00.01.244">3416</definedName>
    <definedName name="SLD.000.C.0.12.2000.00.01.24401010001">3105</definedName>
    <definedName name="SLD.000.C.0.12.2000.00.01.24401010002">311</definedName>
    <definedName name="SLD.000.C.0.12.2000.00.01.31">290217</definedName>
    <definedName name="SLD.000.C.0.12.2000.00.01.311">281570</definedName>
    <definedName name="SLD.000.C.0.12.2000.00.01.312">8647</definedName>
    <definedName name="SLD.000.C.0.12.2000.00.01.32">-21064</definedName>
    <definedName name="SLD.000.C.0.12.2000.00.01.34">7705</definedName>
    <definedName name="SLD.000.C.0.12.2000.00.01.41">-155587</definedName>
    <definedName name="SLD.000.C.0.12.2000.00.01.4110201">-92876</definedName>
    <definedName name="SLD.000.C.0.12.2000.00.01.42">-25368</definedName>
    <definedName name="SLD.000.C.0.12.2000.00.01.4410101">-59384</definedName>
    <definedName name="SLD.000.C.0.12.2000.00.01.4410102">-18160</definedName>
    <definedName name="SLD.000.C.0.12.2000.00.01.45">-133</definedName>
    <definedName name="SLD.000.C.0.12.2000.00.01.47101010001">-4711</definedName>
    <definedName name="SLD.000.C.0.12.2000.00.01.47101010002">-1201</definedName>
    <definedName name="SLD.000.C.0.12.2000.00.01.47102010001">0</definedName>
    <definedName name="SLD.000.C.0.12.2000.00.01.47102010002">0</definedName>
    <definedName name="SLD.000.C.0.12.2000.00.01.D1010">17989</definedName>
    <definedName name="SLD.000.C.0.12.2000.00.01.D1011">9805</definedName>
    <definedName name="SLD.000.C.0.12.2000.00.01.D1012">1993</definedName>
    <definedName name="SLD.000.C.0.12.2000.00.01.D1013">7966</definedName>
    <definedName name="SLD.000.C.0.12.2000.00.01.D1015">498772</definedName>
    <definedName name="SLD.000.C.0.12.2000.00.01.D1016">3862</definedName>
    <definedName name="SLD.000.C.0.12.2000.00.01.D1017">6518</definedName>
    <definedName name="SLD.000.C.0.12.2000.00.01.D1018">29193</definedName>
    <definedName name="SLD.000.C.0.12.2000.00.01.D1025">-45745</definedName>
    <definedName name="SLD.000.C.0.12.2000.00.01.D1026">-13651</definedName>
    <definedName name="SLD.000.C.0.12.2000.00.01.D1030">-18148</definedName>
    <definedName name="SLD.000.C.0.12.2000.00.01.D1093">1010</definedName>
    <definedName name="SLD.000.C.0.12.2000.00.01.D1094">2897</definedName>
    <definedName name="SLD.000.C.0.12.2000.00.01.D1132">6518</definedName>
    <definedName name="SLD.000.C.0.12.2000.00.01.D1146">-58987</definedName>
    <definedName name="SLD.000.C.0.12.2000.00.01.D1155">133</definedName>
    <definedName name="SLD.000.C.0.12.2000.00.01.D1181">-45745</definedName>
    <definedName name="SLD.000.C.0.12.2000.00.01.D1182">-18148</definedName>
    <definedName name="SLD.000.C.0.12.2000.00.01.D1183">-13651</definedName>
    <definedName name="SLD.000.C.0.12.2000.00.01.D1203">17989</definedName>
    <definedName name="SLD.000.C.0.12.2000.00.01.D1204">9805</definedName>
    <definedName name="SLD.000.C.0.12.2000.00.01.D1205">1090</definedName>
    <definedName name="SLD.000.C.0.12.2000.00.01.D1206">1010</definedName>
    <definedName name="SLD.000.C.0.12.2000.00.01.D1207">498772</definedName>
    <definedName name="SLD.000.C.0.12.2000.00.01.D1208">3862</definedName>
    <definedName name="SLD.000.C.0.12.2000.00.01.D1209">2897</definedName>
    <definedName name="SLD.000.C.0.12.2000.00.01.D1210">6518</definedName>
    <definedName name="SLD.000.C.0.12.2000.00.01.D1211">16879</definedName>
    <definedName name="SLD.000.C.0.12.2000.00.01.D1213">363918</definedName>
    <definedName name="SLD.000.C.0.12.2000.00.01.D1214">1010</definedName>
    <definedName name="SLD.000.C.0.12.2000.00.01.D2018">-3031</definedName>
    <definedName name="SLD.000.C.0.12.2000.00.01.D2019">-22639</definedName>
    <definedName name="SLD.000.C.0.12.2000.00.01.D2020">-155285</definedName>
    <definedName name="SLD.000.C.0.12.2000.00.01.DCRECEBER">1090</definedName>
    <definedName name="SLD.000.C.0.12.2001.00.00.21102020015">5577917.81</definedName>
    <definedName name="SLD.000.C.0.12.2001.00.00.21102020016">1332857.21</definedName>
    <definedName name="SLD.000.C.0.12.2001.00.00.21102020017">2034544.33</definedName>
    <definedName name="SLD.000.C.0.12.2001.00.00.221">242344798.999999</definedName>
    <definedName name="SLD.000.C.0.12.2001.00.00.22102020014">8301378.87</definedName>
    <definedName name="SLD.000.C.0.12.2001.00.00.22102020015">3208262.44</definedName>
    <definedName name="SLD.000.C.0.12.2001.00.00.22102020016">1011774.35</definedName>
    <definedName name="SLD.000.C.0.12.2001.00.00.22201010001">6164913.85</definedName>
    <definedName name="SLD.000.C.0.12.2001.00.00.22203010001">31848667.53</definedName>
    <definedName name="SLD.000.C.0.12.2001.00.00.24401010002">398320.6</definedName>
    <definedName name="SLD.000.C.0.12.2001.00.00.4110201">-102075876.309999</definedName>
    <definedName name="SLD.000.C.0.12.2001.00.00.44101010019">-3731987.45</definedName>
    <definedName name="SLD.000.C.0.12.2001.00.00.44101020005">-8613653.92</definedName>
    <definedName name="SLD.000.C.0.12.2001.00.00.44101020008">-32477747.64</definedName>
    <definedName name="SLD.000.C.0.12.2001.00.00.47101010001">-3009284.92</definedName>
    <definedName name="SLD.000.C.0.12.2001.00.00.47101010002">-786291.63</definedName>
    <definedName name="SLD.000.C.0.12.2001.00.00.47102010001">598023.2</definedName>
    <definedName name="SLD.000.C.0.12.2001.00.00.47102010002">-47287.66</definedName>
    <definedName name="SLD.000.C.0.12.2001.00.00.D1012">54142.41</definedName>
    <definedName name="SLD.000.C.0.12.2001.00.00.D1146">-57379859.5699999</definedName>
    <definedName name="SLD.000.C.0.12.2001.00.00.D1211">620774559.3</definedName>
    <definedName name="SLD.000.C.0.12.2001.00.00.D1212">6164913.85</definedName>
    <definedName name="SLD.000.C.0.12.2001.00.00.D2018">-2191299.82</definedName>
    <definedName name="SLD.000.C.0.12.2001.00.00.D2021">934197.96</definedName>
    <definedName name="SLD.000.C.0.12.2001.00.00.D2022">-3009284.92</definedName>
    <definedName name="SLD.000.C.0.12.2001.00.01.11">29753</definedName>
    <definedName name="SLD.000.C.0.12.2001.00.01.111">27591</definedName>
    <definedName name="SLD.000.C.0.12.2001.00.01.11201010035">0</definedName>
    <definedName name="SLD.000.C.0.12.2001.00.01.11306010019">1</definedName>
    <definedName name="SLD.000.C.0.12.2001.00.01.11306010031">0</definedName>
    <definedName name="SLD.000.C.0.12.2001.00.01.11306010034">3</definedName>
    <definedName name="SLD.000.C.0.12.2001.00.01.11306010036">73</definedName>
    <definedName name="SLD.000.C.0.12.2001.00.01.11307">54</definedName>
    <definedName name="SLD.000.C.0.12.2001.00.01.117">573</definedName>
    <definedName name="SLD.000.C.0.12.2001.00.01.121">0</definedName>
    <definedName name="SLD.000.C.0.12.2001.00.01.12101">0</definedName>
    <definedName name="SLD.000.C.0.12.2001.00.01.12301">516</definedName>
    <definedName name="SLD.000.C.0.12.2001.00.01.12302">7351</definedName>
    <definedName name="SLD.000.C.0.12.2001.00.01.12302010001">5662</definedName>
    <definedName name="SLD.000.C.0.12.2001.00.01.12302010002">1689</definedName>
    <definedName name="SLD.000.C.0.12.2001.00.01.131">0</definedName>
    <definedName name="SLD.000.C.0.12.2001.00.01.21">112787</definedName>
    <definedName name="SLD.000.C.0.12.2001.00.01.211">86715</definedName>
    <definedName name="SLD.000.C.0.12.2001.00.01.2110202">8945</definedName>
    <definedName name="SLD.000.C.0.12.2001.00.01.2110203">49306</definedName>
    <definedName name="SLD.000.C.0.12.2001.00.01.212">36</definedName>
    <definedName name="SLD.000.C.0.12.2001.00.01.21401">437</definedName>
    <definedName name="SLD.000.C.0.12.2001.00.01.217">17551</definedName>
    <definedName name="SLD.000.C.0.12.2001.00.01.221">242345</definedName>
    <definedName name="SLD.000.C.0.12.2001.00.01.2210202">12521</definedName>
    <definedName name="SLD.000.C.0.12.2001.00.01.2210203">127931</definedName>
    <definedName name="SLD.000.C.0.12.2001.00.01.222">38014</definedName>
    <definedName name="SLD.000.C.0.12.2001.00.01.22201010001">6165</definedName>
    <definedName name="SLD.000.C.0.12.2001.00.01.22203010001">31849</definedName>
    <definedName name="SLD.000.C.0.12.2001.00.01.241">137385</definedName>
    <definedName name="SLD.000.C.0.12.2001.00.01.24101010001">137385</definedName>
    <definedName name="SLD.000.C.0.12.2001.00.01.244">4382</definedName>
    <definedName name="SLD.000.C.0.12.2001.00.01.24401010001">3983</definedName>
    <definedName name="SLD.000.C.0.12.2001.00.01.24401010002">398</definedName>
    <definedName name="SLD.000.C.0.12.2001.00.01.311">314398</definedName>
    <definedName name="SLD.000.C.0.12.2001.00.01.312">11876</definedName>
    <definedName name="SLD.000.C.0.12.2001.00.01.32">-27399</definedName>
    <definedName name="SLD.000.C.0.12.2001.00.01.34">3583</definedName>
    <definedName name="SLD.000.C.0.12.2001.00.01.41">-163086</definedName>
    <definedName name="SLD.000.C.0.12.2001.00.01.4110201">-102076</definedName>
    <definedName name="SLD.000.C.0.12.2001.00.01.42">-32799</definedName>
    <definedName name="SLD.000.C.0.12.2001.00.01.4410101">-57158</definedName>
    <definedName name="SLD.000.C.0.12.2001.00.01.4410102">-41175</definedName>
    <definedName name="SLD.000.C.0.12.2001.00.01.45">-36</definedName>
    <definedName name="SLD.000.C.0.12.2001.00.01.47101010001">-3009</definedName>
    <definedName name="SLD.000.C.0.12.2001.00.01.47101010002">-786</definedName>
    <definedName name="SLD.000.C.0.12.2001.00.01.47102010001">598</definedName>
    <definedName name="SLD.000.C.0.12.2001.00.01.47102010002">-47</definedName>
    <definedName name="SLD.000.C.0.12.2001.00.01.D1010">15149</definedName>
    <definedName name="SLD.000.C.0.12.2001.00.01.D1011">12442</definedName>
    <definedName name="SLD.000.C.0.12.2001.00.01.D1012">54</definedName>
    <definedName name="SLD.000.C.0.12.2001.00.01.D1013">7351</definedName>
    <definedName name="SLD.000.C.0.12.2001.00.01.D1015">519298</definedName>
    <definedName name="SLD.000.C.0.12.2001.00.01.D1016">0</definedName>
    <definedName name="SLD.000.C.0.12.2001.00.01.D1017">5380</definedName>
    <definedName name="SLD.000.C.0.12.2001.00.01.D1018">-579140</definedName>
    <definedName name="SLD.000.C.0.12.2001.00.01.D1094">3106</definedName>
    <definedName name="SLD.000.C.0.12.2001.00.01.D1132">4943</definedName>
    <definedName name="SLD.000.C.0.12.2001.00.01.D1146">-57380</definedName>
    <definedName name="SLD.000.C.0.12.2001.00.01.D1155">3770</definedName>
    <definedName name="SLD.000.C.0.12.2001.00.01.D1181">-39736</definedName>
    <definedName name="SLD.000.C.0.12.2001.00.01.D1182">-41091</definedName>
    <definedName name="SLD.000.C.0.12.2001.00.01.D1183">-17506</definedName>
    <definedName name="SLD.000.C.0.12.2001.00.01.D1203">15149</definedName>
    <definedName name="SLD.000.C.0.12.2001.00.01.D1204">12442</definedName>
    <definedName name="SLD.000.C.0.12.2001.00.01.D1205">1535</definedName>
    <definedName name="SLD.000.C.0.12.2001.00.01.D1206">4286</definedName>
    <definedName name="SLD.000.C.0.12.2001.00.01.D1207">519298</definedName>
    <definedName name="SLD.000.C.0.12.2001.00.01.D1208">0</definedName>
    <definedName name="SLD.000.C.0.12.2001.00.01.D1209">3106</definedName>
    <definedName name="SLD.000.C.0.12.2001.00.01.D1210">5380</definedName>
    <definedName name="SLD.000.C.0.12.2001.00.01.D1211">20817</definedName>
    <definedName name="SLD.000.C.0.12.2001.00.01.D1212">6165</definedName>
    <definedName name="SLD.000.C.0.12.2001.00.01.D1213">329060</definedName>
    <definedName name="SLD.000.C.0.12.2001.00.01.D1214">4286</definedName>
    <definedName name="SLD.000.C.0.12.2001.00.01.D2018">-2191</definedName>
    <definedName name="SLD.000.C.0.12.2001.00.01.D2019">-30690</definedName>
    <definedName name="SLD.000.C.0.12.2001.00.01.D2020">-163004</definedName>
    <definedName name="SLD.000.C.0.12.2001.00.01.D2021">934</definedName>
    <definedName name="SLD.000.C.0.12.2001.00.01.D2022">-3009</definedName>
    <definedName name="SLD.000.C.0.12.2001.00.01.DCRECEBER">1535</definedName>
    <definedName name="SLD.000.C.0.12.2002.00.00.21102020015">0</definedName>
    <definedName name="SLD.000.C.0.12.2002.00.00.21102020016">0</definedName>
    <definedName name="SLD.000.C.0.12.2002.00.00.21102020017">0</definedName>
    <definedName name="SLD.000.C.0.12.2002.00.00.22102020014">0</definedName>
    <definedName name="SLD.000.C.0.12.2002.00.00.22102020015">0</definedName>
    <definedName name="SLD.000.C.0.12.2002.00.00.22102020016">0</definedName>
    <definedName name="SLD.000.C.0.12.2002.00.01.11">0</definedName>
    <definedName name="SLD.000.C.0.12.2002.00.01.11306010019">0</definedName>
    <definedName name="SLD.000.C.0.12.2002.00.01.11306010036">0</definedName>
    <definedName name="SLD.000.C.0.12.2002.00.01.11307">0</definedName>
    <definedName name="SLD.000.C.0.12.2002.00.01.117">0</definedName>
    <definedName name="SLD.000.C.0.12.2002.00.01.121">0</definedName>
    <definedName name="SLD.000.C.0.12.2002.00.01.12101">0</definedName>
    <definedName name="SLD.000.C.0.12.2002.00.01.12301">0</definedName>
    <definedName name="SLD.000.C.0.12.2002.00.01.12302">0</definedName>
    <definedName name="SLD.000.C.0.12.2002.00.01.12302010001">0</definedName>
    <definedName name="SLD.000.C.0.12.2002.00.01.12302010002">0</definedName>
    <definedName name="SLD.000.C.0.12.2002.00.01.131">0</definedName>
    <definedName name="SLD.000.C.0.12.2002.00.01.21">0</definedName>
    <definedName name="SLD.000.C.0.12.2002.00.01.211">0</definedName>
    <definedName name="SLD.000.C.0.12.2002.00.01.2110202">0</definedName>
    <definedName name="SLD.000.C.0.12.2002.00.01.2110203">0</definedName>
    <definedName name="SLD.000.C.0.12.2002.00.01.212">0</definedName>
    <definedName name="SLD.000.C.0.12.2002.00.01.21401">0</definedName>
    <definedName name="SLD.000.C.0.12.2002.00.01.217">0</definedName>
    <definedName name="SLD.000.C.0.12.2002.00.01.221">0</definedName>
    <definedName name="SLD.000.C.0.12.2002.00.01.2210202">0</definedName>
    <definedName name="SLD.000.C.0.12.2002.00.01.2210203">0</definedName>
    <definedName name="SLD.000.C.0.12.2002.00.01.22201010001">0</definedName>
    <definedName name="SLD.000.C.0.12.2002.00.01.22203010001">0</definedName>
    <definedName name="SLD.000.C.0.12.2002.00.01.241">0</definedName>
    <definedName name="SLD.000.C.0.12.2002.00.01.24101010001">0</definedName>
    <definedName name="SLD.000.C.0.12.2002.00.01.244">0</definedName>
    <definedName name="SLD.000.C.0.12.2002.00.01.24401010001">0</definedName>
    <definedName name="SLD.000.C.0.12.2002.00.01.24401010002">0</definedName>
    <definedName name="SLD.000.C.0.12.2002.00.01.311">0</definedName>
    <definedName name="SLD.000.C.0.12.2002.00.01.312">0</definedName>
    <definedName name="SLD.000.C.0.12.2002.00.01.32">0</definedName>
    <definedName name="SLD.000.C.0.12.2002.00.01.34">0</definedName>
    <definedName name="SLD.000.C.0.12.2002.00.01.41">0</definedName>
    <definedName name="SLD.000.C.0.12.2002.00.01.4110201">0</definedName>
    <definedName name="SLD.000.C.0.12.2002.00.01.42">0</definedName>
    <definedName name="SLD.000.C.0.12.2002.00.01.4410101">0</definedName>
    <definedName name="SLD.000.C.0.12.2002.00.01.4410102">0</definedName>
    <definedName name="SLD.000.C.0.12.2002.00.01.45">0</definedName>
    <definedName name="SLD.000.C.0.12.2002.00.01.47101010001">0</definedName>
    <definedName name="SLD.000.C.0.12.2002.00.01.47101010002">0</definedName>
    <definedName name="SLD.000.C.0.12.2002.00.01.47102010001">0</definedName>
    <definedName name="SLD.000.C.0.12.2002.00.01.47102010002">0</definedName>
    <definedName name="SLD.000.C.0.12.2002.00.01.D1010">0</definedName>
    <definedName name="SLD.000.C.0.12.2002.00.01.D1011">0</definedName>
    <definedName name="SLD.000.C.0.12.2002.00.01.D1012">0</definedName>
    <definedName name="SLD.000.C.0.12.2002.00.01.D1013">0</definedName>
    <definedName name="SLD.000.C.0.12.2002.00.01.D1015">0</definedName>
    <definedName name="SLD.000.C.0.12.2002.00.01.D1016">0</definedName>
    <definedName name="SLD.000.C.0.12.2002.00.01.D1017">0</definedName>
    <definedName name="SLD.000.C.0.12.2002.00.01.D1094">0</definedName>
    <definedName name="SLD.000.C.0.12.2002.00.01.D1132">0</definedName>
    <definedName name="SLD.000.C.0.12.2002.00.01.D1146">0</definedName>
    <definedName name="SLD.000.C.0.12.2002.00.01.D1155">0</definedName>
    <definedName name="SLD.000.C.0.12.2002.00.01.D1181">0</definedName>
    <definedName name="SLD.000.C.0.12.2002.00.01.D1182">0</definedName>
    <definedName name="SLD.000.C.0.12.2002.00.01.D1183">0</definedName>
    <definedName name="SLD.000.C.0.12.2002.00.01.D1203">0</definedName>
    <definedName name="SLD.000.C.0.12.2002.00.01.D1204">0</definedName>
    <definedName name="SLD.000.C.0.12.2002.00.01.D1205">0</definedName>
    <definedName name="SLD.000.C.0.12.2002.00.01.D1206">0</definedName>
    <definedName name="SLD.000.C.0.12.2002.00.01.D1207">0</definedName>
    <definedName name="SLD.000.C.0.12.2002.00.01.D1208">0</definedName>
    <definedName name="SLD.000.C.0.12.2002.00.01.D1209">0</definedName>
    <definedName name="SLD.000.C.0.12.2002.00.01.D1211">0</definedName>
    <definedName name="SLD.000.C.0.12.2002.00.01.D1212">0</definedName>
    <definedName name="SLD.000.C.0.12.2002.00.01.D1213">0</definedName>
    <definedName name="SLD.000.C.0.12.2002.00.01.D2018">0</definedName>
    <definedName name="SLD.000.C.0.12.2002.00.01.D2019">0</definedName>
    <definedName name="SLD.000.C.0.12.2002.00.01.D2020">0</definedName>
    <definedName name="SLD.000.C.0.12.2002.00.01.D2021">0</definedName>
    <definedName name="SLD.000.C.0.12.2002.00.01.DCRECEBER">0</definedName>
    <definedName name="SLD.000.C.0.IN.2000.00.01.D1211">18114</definedName>
    <definedName name="SLD.000.C.0.IN.2001.00.01.D1211">29193</definedName>
    <definedName name="SLD.000.C.0.IN.2002.00.01.D1211">25776</definedName>
    <definedName name="SLD.000.C.1.00.0000.00.00.3.CG1_LK.CG2_K01.CG3_K019.CG4_LK019A">-1972.22315472</definedName>
    <definedName name="SLD.000.C.1.00.0000.00.00.DA0009">4751088.2300016</definedName>
    <definedName name="SLD.000.C.1.00.2000.00.00.3.CG1_LK.CG2_K01.CG3_K019.CG4_LK019A">-1972.22315472</definedName>
    <definedName name="SLD.000.C.1.00.2000.00.00.3.CG4_LK019A">-1972.22315472</definedName>
    <definedName name="SLD.000.C.1.00.2000.00.00.DA0009">4829383.118366</definedName>
    <definedName name="SLD.000.C.1.12.2000.00.00.DA0009">6358486.6669026</definedName>
    <definedName name="SLD.000.O.0.00.0000.00.01.3">-429</definedName>
    <definedName name="SLD.000.O.0.00.0000.00.01.DPLRES">-111</definedName>
    <definedName name="SLD.000.O.0.00.A100.00.01.3">-403</definedName>
    <definedName name="SLD.000.O.0.00.A100.00.01.DPLRES">617</definedName>
    <definedName name="SLD.007.C.0.03.2005.00.00.0.102040201">13827222.68</definedName>
    <definedName name="SLD.007.C.0.03.2005.00.01.0.102040201">13827</definedName>
    <definedName name="SLD.008.C.0.03.2005.00.00.0.1010402">306368.74</definedName>
    <definedName name="SLD.008.C.0.03.2005.00.00.0.102040201">6841332.9</definedName>
    <definedName name="SLD.008.C.0.03.2005.00.01.0.1010402">306</definedName>
    <definedName name="SLD.008.C.0.03.2005.00.01.0.102040201">6841</definedName>
    <definedName name="SLD.060.C.0.09.2002.00.00.1010101">756715.75</definedName>
    <definedName name="SLD.060.C.0.09.2002.00.00.1010102">414060.74</definedName>
    <definedName name="SLD.060.C.0.09.2002.00.00.101030102001">59316.89</definedName>
    <definedName name="SLD.060.C.0.09.2002.00.00.101030102002">44202.15</definedName>
    <definedName name="SLD.060.C.0.09.2002.00.00.101030103001">13282.78</definedName>
    <definedName name="SLD.060.C.0.09.2002.00.00.101030103002">22422.41</definedName>
    <definedName name="SLD.060.C.0.09.2002.00.00.101030103003">54601.43</definedName>
    <definedName name="SLD.060.C.0.09.2002.00.00.101030103099">10513.01</definedName>
    <definedName name="SLD.060.C.0.09.2002.00.00.101030104001">63906.98</definedName>
    <definedName name="SLD.060.C.0.09.2002.00.00.101040201001">1121524.34</definedName>
    <definedName name="SLD.060.C.0.09.2002.00.00.101040201002">319015.51</definedName>
    <definedName name="SLD.060.C.0.09.2002.00.00.102010201001">2919864.29</definedName>
    <definedName name="SLD.060.C.0.09.2002.00.00.102040101001">708973.47</definedName>
    <definedName name="SLD.060.C.0.09.2002.00.00.102040202001">3092803.11</definedName>
    <definedName name="SLD.060.C.0.09.2002.00.00.102040202002">1006638.57</definedName>
    <definedName name="SLD.060.C.0.09.2002.00.00.102050102">525639.83</definedName>
    <definedName name="SLD.060.C.0.09.2002.00.00.102050102001">525639.83</definedName>
    <definedName name="SLD.060.C.0.09.2002.00.00.102050103">4483.49</definedName>
    <definedName name="SLD.060.C.0.09.2002.00.00.103030101">265696.14</definedName>
    <definedName name="SLD.060.C.0.09.2002.00.00.103030102">2247248.09</definedName>
    <definedName name="SLD.060.C.0.09.2002.00.00.103030103">2062891.16</definedName>
    <definedName name="SLD.060.C.0.09.2002.00.00.103030104">19682230.33</definedName>
    <definedName name="SLD.060.C.0.09.2002.00.00.103030105">1346469.48</definedName>
    <definedName name="SLD.060.C.0.09.2002.00.00.103030125">16517335.31</definedName>
    <definedName name="SLD.060.C.0.09.2002.00.00.103030129">20130593.75</definedName>
    <definedName name="SLD.060.C.0.09.2002.00.00.103030131">16783.25</definedName>
    <definedName name="SLD.060.C.0.09.2002.00.00.103030133">11625931.47</definedName>
    <definedName name="SLD.060.C.0.09.2002.00.00.103030135">76921.83</definedName>
    <definedName name="SLD.060.C.0.09.2002.00.00.103030136">2287529.27</definedName>
    <definedName name="SLD.060.C.0.09.2002.00.00.103030137">51393.07</definedName>
    <definedName name="SLD.060.C.0.09.2002.00.00.103030139">5219043.23</definedName>
    <definedName name="SLD.060.C.0.09.2002.00.00.103030201">-93493.88</definedName>
    <definedName name="SLD.060.C.0.09.2002.00.00.103030202">-910415.59</definedName>
    <definedName name="SLD.060.C.0.09.2002.00.00.103030203">-1036431.06</definedName>
    <definedName name="SLD.060.C.0.09.2002.00.00.103030204">-12166750.96</definedName>
    <definedName name="SLD.060.C.0.09.2002.00.00.103030225">-6033338.08</definedName>
    <definedName name="SLD.060.C.0.09.2002.00.00.103030229">-3430556.7</definedName>
    <definedName name="SLD.060.C.0.09.2002.00.00.103030231">-6795.07</definedName>
    <definedName name="SLD.060.C.0.09.2002.00.00.103030233">-1452103.96</definedName>
    <definedName name="SLD.060.C.0.09.2002.00.00.103030235">-21319.91</definedName>
    <definedName name="SLD.060.C.0.09.2002.00.00.103030236">-1139406.37</definedName>
    <definedName name="SLD.060.C.0.09.2002.00.00.103030237">-31692.72</definedName>
    <definedName name="SLD.060.C.0.09.2002.00.00.103030239">-2515824.39</definedName>
    <definedName name="SLD.060.C.0.09.2002.00.00.103031120">4470639.99</definedName>
    <definedName name="SLD.060.C.0.09.2002.00.00.103031199">3770</definedName>
    <definedName name="SLD.060.C.0.09.2002.00.00.103040101001">11742994.44</definedName>
    <definedName name="SLD.060.C.0.09.2002.00.00.103040101002">2104547.45</definedName>
    <definedName name="SLD.060.C.0.09.2002.00.00.103040101003">1460507.78</definedName>
    <definedName name="SLD.060.C.0.09.2002.00.00.103040201001">-9492270.48999999</definedName>
    <definedName name="SLD.060.C.0.09.2002.00.00.103040201002">-1701176.02</definedName>
    <definedName name="SLD.060.C.0.09.2002.00.00.103040201003">-1180577.3</definedName>
    <definedName name="SLD.060.C.0.09.2002.00.00.201010101001">29548205.22</definedName>
    <definedName name="SLD.060.C.0.09.2002.00.00.201010102001">397507.85</definedName>
    <definedName name="SLD.060.C.0.09.2002.00.00.201010202001">26258601.47</definedName>
    <definedName name="SLD.060.C.0.09.2002.00.00.201010202002">0</definedName>
    <definedName name="SLD.060.C.0.09.2002.00.00.201030101001">173955.82</definedName>
    <definedName name="SLD.060.C.0.09.2002.00.00.201030101002">876580.18</definedName>
    <definedName name="SLD.060.C.0.09.2002.00.00.201030101003">136052.64</definedName>
    <definedName name="SLD.060.C.0.09.2002.00.00.201030101004">28819.65</definedName>
    <definedName name="SLD.060.C.0.09.2002.00.00.201030101005">231018.22</definedName>
    <definedName name="SLD.060.C.0.09.2002.00.00.201030102002">3681.18</definedName>
    <definedName name="SLD.060.C.0.09.2002.00.00.201030198001">90212.25</definedName>
    <definedName name="SLD.060.C.0.09.2002.00.00.201030201001">0</definedName>
    <definedName name="SLD.060.C.0.09.2002.00.00.201040101001">351760.47</definedName>
    <definedName name="SLD.060.C.0.09.2002.00.00.201040101002">1656.49</definedName>
    <definedName name="SLD.060.C.0.09.2002.00.00.201040101003">2933.72</definedName>
    <definedName name="SLD.060.C.0.09.2002.00.00.201040101005">6000</definedName>
    <definedName name="SLD.060.C.0.09.2002.00.00.201040101006">0</definedName>
    <definedName name="SLD.060.C.0.09.2002.00.00.201040101007">40.58</definedName>
    <definedName name="SLD.060.C.0.09.2002.00.00.201040101008">599.14</definedName>
    <definedName name="SLD.060.C.0.09.2002.00.00.201040201001">160292.7</definedName>
    <definedName name="SLD.060.C.0.09.2002.00.00.201040201002">23212.92</definedName>
    <definedName name="SLD.060.C.0.09.2002.00.00.201040201003">11142.88</definedName>
    <definedName name="SLD.060.C.0.09.2002.00.00.201040201004">11282.86</definedName>
    <definedName name="SLD.060.C.0.09.2002.00.00.201040202001">24.87</definedName>
    <definedName name="SLD.060.C.0.09.2002.00.00.201040203001">10643.6</definedName>
    <definedName name="SLD.060.C.0.09.2002.00.00.201050101001">49883.28</definedName>
    <definedName name="SLD.060.C.0.09.2002.00.00.201050101002">44396.04</definedName>
    <definedName name="SLD.060.C.0.09.2002.00.00.201050102001">154974.93</definedName>
    <definedName name="SLD.060.C.0.09.2002.00.00.201050102002">33559.71</definedName>
    <definedName name="SLD.060.C.0.09.2002.00.00.201050102003">681206.87</definedName>
    <definedName name="SLD.060.C.0.09.2002.00.00.201050102004">0</definedName>
    <definedName name="SLD.060.C.0.09.2002.00.00.201050103001">1121524.34</definedName>
    <definedName name="SLD.060.C.0.09.2002.00.00.201050103002">410228.76</definedName>
    <definedName name="SLD.060.C.0.09.2002.00.00.201060101002">254874.81</definedName>
    <definedName name="SLD.060.C.0.09.2002.00.00.201070101002">6.2</definedName>
    <definedName name="SLD.060.C.0.09.2002.00.00.201070101003">26325</definedName>
    <definedName name="SLD.060.C.0.09.2002.00.00.201070101004">1332390.96</definedName>
    <definedName name="SLD.060.C.0.09.2002.00.00.201070102001">0</definedName>
    <definedName name="SLD.060.C.0.09.2002.00.00.201070198002">429077.29</definedName>
    <definedName name="SLD.060.C.0.09.2002.00.00.201070199">102641.18</definedName>
    <definedName name="SLD.060.C.0.09.2002.00.00.201080101001">451363.18</definedName>
    <definedName name="SLD.060.C.0.09.2002.00.00.201080101002">878958.65</definedName>
    <definedName name="SLD.060.C.0.09.2002.00.00.201080101099">0</definedName>
    <definedName name="SLD.060.C.0.09.2002.00.00.202070198002">27194.85</definedName>
    <definedName name="SLD.060.C.0.09.2002.00.00.202070198003">15758.36</definedName>
    <definedName name="SLD.060.C.0.09.2002.00.00.202080101">612256.97</definedName>
    <definedName name="SLD.060.C.0.09.2002.00.00.202100101001">2849999.24</definedName>
    <definedName name="SLD.060.C.0.09.2002.00.00.204010101001">17327098.82</definedName>
    <definedName name="SLD.060.C.0.09.2002.00.00.2040601">-11668858.88</definedName>
    <definedName name="SLD.060.C.0.09.2002.00.00.3">41651633.87</definedName>
    <definedName name="SLD.060.C.0.09.2002.00.00.4">-17795683.59</definedName>
    <definedName name="SLD.060.C.0.09.2002.00.00.5">-19643408.42</definedName>
    <definedName name="SLD.060.O.0.09.2002.00.00.101010105">701416.69</definedName>
    <definedName name="SLD.060.O.0.09.2002.00.00.1010103">3459493.38</definedName>
    <definedName name="SLD.060.O.0.09.2002.00.00.10102">2010918.54</definedName>
    <definedName name="SLD.060.O.0.09.2002.00.00.10106">12840.43</definedName>
    <definedName name="SLD.060.O.0.09.2002.00.00.10108">935536.49</definedName>
    <definedName name="SLD.060.O.0.09.2002.00.00.10206">14500</definedName>
    <definedName name="SLD.060.O.0.09.2002.00.00.301010101001">27981538.4</definedName>
    <definedName name="SLD.060.O.0.09.2002.00.00.301010103001">11858476.5</definedName>
    <definedName name="SLD.060.O.0.09.2002.00.00.301010201001">2604851.98</definedName>
    <definedName name="SLD.060.O.0.09.2002.00.00.301010301001">248575.78</definedName>
    <definedName name="SLD.060.O.0.09.2002.00.00.301010301002">265277.9</definedName>
    <definedName name="SLD.060.O.0.09.2002.00.00.301010301003">1452243.45</definedName>
    <definedName name="SLD.060.O.0.09.2002.00.00.302010101">-3541238.02</definedName>
    <definedName name="SLD.060.O.0.09.2002.00.00.302010103">-71822.81</definedName>
    <definedName name="SLD.060.O.0.09.2002.00.00.303010101002">642623.03</definedName>
    <definedName name="SLD.060.O.0.09.2002.00.00.303010101003">166771.63</definedName>
    <definedName name="SLD.060.O.0.09.2002.00.00.303010202001">12872.22</definedName>
    <definedName name="SLD.060.O.0.09.2002.00.00.303019901001">42.5</definedName>
    <definedName name="SLD.060.O.0.09.2002.00.00.303019902001">24788.1</definedName>
    <definedName name="SLD.060.O.0.09.2002.00.00.304010101001">37703.9</definedName>
    <definedName name="SLD.060.O.0.09.2002.00.00.403">-46396.35</definedName>
    <definedName name="SLD.060.O.0.09.2002.00.00.4040101">-3883986.52</definedName>
    <definedName name="SLD.060.O.0.09.2002.00.00.404010202">-267379.2</definedName>
    <definedName name="SLD.060.O.0.09.2002.00.00.40501">-1085253.96</definedName>
    <definedName name="SLD.060.O.0.09.2002.00.00.4060101">-1820760.4</definedName>
    <definedName name="SLD.060.O.0.09.2002.00.00.504010101001">-162880.28</definedName>
    <definedName name="SLD.060.O.0.09.2002.00.00.504010202">-880724.61</definedName>
    <definedName name="SLD.060.O.0.09.2002.00.00.506010101001">-6145763.09</definedName>
    <definedName name="SLD.060.O.0.09.2002.00.00.506020101001">-881437.79</definedName>
    <definedName name="SLD.060.O.0.09.2002.00.00.506020201001">-29140.51</definedName>
    <definedName name="SLD.060.O.0.09.2002.00.00.506030199">-31861.18</definedName>
    <definedName name="SLD.060.O.0.09.2002.00.00.509010101001">-410228.76</definedName>
    <definedName name="SLD.060.O.0.09.2002.00.00.509010201001">-175812.33</definedName>
    <definedName name="SLD.060.O.0.09.2002.00.00.509020101001">-1121524.34</definedName>
    <definedName name="SLD.060.O.0.09.2002.00.00.509020201001">-488367.58</definedName>
    <definedName name="SLD.060.O.0.09.2002.00.00.510010101">-1082404.86</definedName>
    <definedName name="SLD.070.C.0.09.2002.00.00.1010101">76124.84</definedName>
    <definedName name="SLD.070.C.0.09.2002.00.00.1010102">5331127.1</definedName>
    <definedName name="SLD.070.C.0.09.2002.00.00.101030102001">1513.25</definedName>
    <definedName name="SLD.070.C.0.09.2002.00.00.101030102002">11854.53</definedName>
    <definedName name="SLD.070.C.0.09.2002.00.00.101030103001">221.55</definedName>
    <definedName name="SLD.070.C.0.09.2002.00.00.101030103002">5186.33</definedName>
    <definedName name="SLD.070.C.0.09.2002.00.00.101030103003">16848.13</definedName>
    <definedName name="SLD.070.C.0.09.2002.00.00.101030103099">90000.65</definedName>
    <definedName name="SLD.070.C.0.09.2002.00.00.101030104001">500</definedName>
    <definedName name="SLD.070.C.0.09.2002.00.00.101040201001">0</definedName>
    <definedName name="SLD.070.C.0.09.2002.00.00.101040201002">0</definedName>
    <definedName name="SLD.070.C.0.09.2002.00.00.102010201002">10819810.41</definedName>
    <definedName name="SLD.070.C.0.09.2002.00.00.102030198002">15758.36</definedName>
    <definedName name="SLD.070.C.0.09.2002.00.00.102040101001">1222780.8</definedName>
    <definedName name="SLD.070.C.0.09.2002.00.00.102040101002">100590.34</definedName>
    <definedName name="SLD.070.C.0.09.2002.00.00.102040202001">15414350.42</definedName>
    <definedName name="SLD.070.C.0.09.2002.00.00.102040202002">5549437.72</definedName>
    <definedName name="SLD.070.C.0.09.2002.00.00.102050102001">0</definedName>
    <definedName name="SLD.070.C.0.09.2002.00.00.103020102001">61200010</definedName>
    <definedName name="SLD.070.C.0.09.2002.00.00.103020202001">-12950172.5</definedName>
    <definedName name="SLD.070.C.0.09.2002.00.00.103030101">7911.52</definedName>
    <definedName name="SLD.070.C.0.09.2002.00.00.103030102">2154037.09</definedName>
    <definedName name="SLD.070.C.0.09.2002.00.00.103030103">0</definedName>
    <definedName name="SLD.070.C.0.09.2002.00.00.103030104">3504842.39</definedName>
    <definedName name="SLD.070.C.0.09.2002.00.00.103030105">293611.6</definedName>
    <definedName name="SLD.070.C.0.09.2002.00.00.103030124">13892</definedName>
    <definedName name="SLD.070.C.0.09.2002.00.00.103030125">25634787.65</definedName>
    <definedName name="SLD.070.C.0.09.2002.00.00.103030126">4703828.24</definedName>
    <definedName name="SLD.070.C.0.09.2002.00.00.103030127">1569883.68</definedName>
    <definedName name="SLD.070.C.0.09.2002.00.00.103030128">7958126.35</definedName>
    <definedName name="SLD.070.C.0.09.2002.00.00.103030129">8548702.34</definedName>
    <definedName name="SLD.070.C.0.09.2002.00.00.103030130">428647.37</definedName>
    <definedName name="SLD.070.C.0.09.2002.00.00.103030131">3099397.4</definedName>
    <definedName name="SLD.070.C.0.09.2002.00.00.103030133">0</definedName>
    <definedName name="SLD.070.C.0.09.2002.00.00.103030134">533000.03</definedName>
    <definedName name="SLD.070.C.0.09.2002.00.00.103030135">0</definedName>
    <definedName name="SLD.070.C.0.09.2002.00.00.103030136">4489557.52</definedName>
    <definedName name="SLD.070.C.0.09.2002.00.00.103030137">3783571.08</definedName>
    <definedName name="SLD.070.C.0.09.2002.00.00.103030138">8557136.71</definedName>
    <definedName name="SLD.070.C.0.09.2002.00.00.103030139">5392901.18</definedName>
    <definedName name="SLD.070.C.0.09.2002.00.00.103030201">-1829.05</definedName>
    <definedName name="SLD.070.C.0.09.2002.00.00.103030202">-801591.89</definedName>
    <definedName name="SLD.070.C.0.09.2002.00.00.103030203">0</definedName>
    <definedName name="SLD.070.C.0.09.2002.00.00.103030204">-1073722.27</definedName>
    <definedName name="SLD.070.C.0.09.2002.00.00.103030205">0</definedName>
    <definedName name="SLD.070.C.0.09.2002.00.00.103030224">-939.55</definedName>
    <definedName name="SLD.070.C.0.09.2002.00.00.103030225">-4078671.09</definedName>
    <definedName name="SLD.070.C.0.09.2002.00.00.103030226">-1087458.65</definedName>
    <definedName name="SLD.070.C.0.09.2002.00.00.103030227">-217359.18</definedName>
    <definedName name="SLD.070.C.0.09.2002.00.00.103030228">-1131896.85</definedName>
    <definedName name="SLD.070.C.0.09.2002.00.00.103030229">-1182593.15</definedName>
    <definedName name="SLD.070.C.0.09.2002.00.00.103030230">-50219.44</definedName>
    <definedName name="SLD.070.C.0.09.2002.00.00.103030231">-2097755.88</definedName>
    <definedName name="SLD.070.C.0.09.2002.00.00.103030233">0</definedName>
    <definedName name="SLD.070.C.0.09.2002.00.00.103030234">-29898</definedName>
    <definedName name="SLD.070.C.0.09.2002.00.00.103030235">0</definedName>
    <definedName name="SLD.070.C.0.09.2002.00.00.103030236">-1545318.47</definedName>
    <definedName name="SLD.070.C.0.09.2002.00.00.103030237">-1008525.39</definedName>
    <definedName name="SLD.070.C.0.09.2002.00.00.103030238">-1204331.52</definedName>
    <definedName name="SLD.070.C.0.09.2002.00.00.103030239">-1506314.97</definedName>
    <definedName name="SLD.070.C.0.09.2002.00.00.103031120">6397592.13</definedName>
    <definedName name="SLD.070.C.0.09.2002.00.00.103031199">213588.61</definedName>
    <definedName name="SLD.070.C.0.09.2002.00.00.103040101001">7960825.2</definedName>
    <definedName name="SLD.070.C.0.09.2002.00.00.103040101002">236554.85</definedName>
    <definedName name="SLD.070.C.0.09.2002.00.00.103040101003">60053.34</definedName>
    <definedName name="SLD.070.C.0.09.2002.00.00.103040201001">-4113093.12</definedName>
    <definedName name="SLD.070.C.0.09.2002.00.00.103040201002">-122219.98</definedName>
    <definedName name="SLD.070.C.0.09.2002.00.00.103040201003">-31027.28</definedName>
    <definedName name="SLD.070.C.0.09.2002.00.00.201010101002">0</definedName>
    <definedName name="SLD.070.C.0.09.2002.00.00.201030101001">108994.93</definedName>
    <definedName name="SLD.070.C.0.09.2002.00.00.201030101002">228429.2</definedName>
    <definedName name="SLD.070.C.0.09.2002.00.00.201030101003">0</definedName>
    <definedName name="SLD.070.C.0.09.2002.00.00.201030101004">0</definedName>
    <definedName name="SLD.070.C.0.09.2002.00.00.201030101005">0</definedName>
    <definedName name="SLD.070.C.0.09.2002.00.00.201030102002">80423.57</definedName>
    <definedName name="SLD.070.C.0.09.2002.00.00.201030198001">53947.96</definedName>
    <definedName name="SLD.070.C.0.09.2002.00.00.201030198002">1175075.02</definedName>
    <definedName name="SLD.070.C.0.09.2002.00.00.201040101001">78808.27</definedName>
    <definedName name="SLD.070.C.0.09.2002.00.00.201040101002">-1051.98</definedName>
    <definedName name="SLD.070.C.0.09.2002.00.00.201040101003">224.21</definedName>
    <definedName name="SLD.070.C.0.09.2002.00.00.201040101004">0</definedName>
    <definedName name="SLD.070.C.0.09.2002.00.00.201040101005">0</definedName>
    <definedName name="SLD.070.C.0.09.2002.00.00.201040101006">0</definedName>
    <definedName name="SLD.070.C.0.09.2002.00.00.201040101007">0</definedName>
    <definedName name="SLD.070.C.0.09.2002.00.00.201040101008">513.8</definedName>
    <definedName name="SLD.070.C.0.09.2002.00.00.201040101009">15890</definedName>
    <definedName name="SLD.070.C.0.09.2002.00.00.201040201001">40516.21</definedName>
    <definedName name="SLD.070.C.0.09.2002.00.00.201040201002">8823.86</definedName>
    <definedName name="SLD.070.C.0.09.2002.00.00.201040201003">0</definedName>
    <definedName name="SLD.070.C.0.09.2002.00.00.201040201004">0</definedName>
    <definedName name="SLD.070.C.0.09.2002.00.00.201040202001">2397.13</definedName>
    <definedName name="SLD.070.C.0.09.2002.00.00.201040203001">0</definedName>
    <definedName name="SLD.070.C.0.09.2002.00.00.201050101001">39509.88</definedName>
    <definedName name="SLD.070.C.0.09.2002.00.00.201050101002">6254.91</definedName>
    <definedName name="SLD.070.C.0.09.2002.00.00.201050102001">62833.63</definedName>
    <definedName name="SLD.070.C.0.09.2002.00.00.201050102002">13613.95</definedName>
    <definedName name="SLD.070.C.0.09.2002.00.00.201050102003">186787.08</definedName>
    <definedName name="SLD.070.C.0.09.2002.00.00.201070101002">0</definedName>
    <definedName name="SLD.070.C.0.09.2002.00.00.201070101003">0</definedName>
    <definedName name="SLD.070.C.0.09.2002.00.00.201070101004">21464.82</definedName>
    <definedName name="SLD.070.C.0.09.2002.00.00.201070102001">0</definedName>
    <definedName name="SLD.070.C.0.09.2002.00.00.201080101001">102125.7</definedName>
    <definedName name="SLD.070.C.0.09.2002.00.00.201080101002">158386.78</definedName>
    <definedName name="SLD.070.C.0.09.2002.00.00.201080101099">0</definedName>
    <definedName name="SLD.070.C.0.09.2002.00.00.202010101001">23963521.27</definedName>
    <definedName name="SLD.070.C.0.09.2002.00.00.202010202001">93137524.2999999</definedName>
    <definedName name="SLD.070.C.0.09.2002.00.00.202060201001">98418526.1</definedName>
    <definedName name="SLD.070.C.0.09.2002.00.00.202070198001">3288920.41</definedName>
    <definedName name="SLD.070.C.0.09.2002.00.00.202070198002">30119.25</definedName>
    <definedName name="SLD.070.C.0.09.2002.00.00.202070198004">11972.46</definedName>
    <definedName name="SLD.070.C.0.09.2002.00.00.202080101">115967.24</definedName>
    <definedName name="SLD.070.C.0.09.2002.00.00.204010101001">35168000</definedName>
    <definedName name="SLD.070.C.0.09.2002.00.00.2040601">-50559570.19</definedName>
    <definedName name="SLD.070.C.0.09.2002.00.00.3">19601201.79</definedName>
    <definedName name="SLD.070.C.0.09.2002.00.00.4">-8656508.17</definedName>
    <definedName name="SLD.070.C.0.09.2002.00.00.5">-54922614</definedName>
    <definedName name="SLD.070.O.0.09.2002.00.00.101010105">64895.32</definedName>
    <definedName name="SLD.070.O.0.09.2002.00.00.101010201016">3483857.22</definedName>
    <definedName name="SLD.070.O.0.09.2002.00.00.1010103">0</definedName>
    <definedName name="SLD.070.O.0.09.2002.00.00.10102">429077.29</definedName>
    <definedName name="SLD.070.O.0.09.2002.00.00.101020102004">429077.29</definedName>
    <definedName name="SLD.070.O.0.09.2002.00.00.10106">0</definedName>
    <definedName name="SLD.070.O.0.09.2002.00.00.10108">388327.62</definedName>
    <definedName name="SLD.070.O.0.09.2002.00.00.10206">0</definedName>
    <definedName name="SLD.070.O.0.09.2002.00.00.202080101">115967.24</definedName>
    <definedName name="SLD.070.O.0.09.2002.00.00.301010101001">15917450.7</definedName>
    <definedName name="SLD.070.O.0.09.2002.00.00.301010103001">4205569.2</definedName>
    <definedName name="SLD.070.O.0.09.2002.00.00.301010301001">246079.08</definedName>
    <definedName name="SLD.070.O.0.09.2002.00.00.301010301002">76960.52</definedName>
    <definedName name="SLD.070.O.0.09.2002.00.00.301010301003">64394.46</definedName>
    <definedName name="SLD.070.O.0.09.2002.00.00.302010101">-1740641.2</definedName>
    <definedName name="SLD.070.O.0.09.2002.00.00.302010103">-14079.7</definedName>
    <definedName name="SLD.070.O.0.09.2002.00.00.303010101002">18907.43</definedName>
    <definedName name="SLD.070.O.0.09.2002.00.00.303010101003">1396170.4</definedName>
    <definedName name="SLD.070.O.0.09.2002.00.00.303010101004">261272.32</definedName>
    <definedName name="SLD.070.O.0.09.2002.00.00.303010202001">11.93</definedName>
    <definedName name="SLD.070.O.0.09.2002.00.00.303019901001">1.24</definedName>
    <definedName name="SLD.070.O.0.09.2002.00.00.304010101001">0</definedName>
    <definedName name="SLD.070.O.0.09.2002.00.00.304010101005">-770802.92</definedName>
    <definedName name="SLD.070.O.0.09.2002.00.00.403">0</definedName>
    <definedName name="SLD.070.O.0.09.2002.00.00.4040101">-3455116.18</definedName>
    <definedName name="SLD.070.O.0.09.2002.00.00.404010201">-1879863.75</definedName>
    <definedName name="SLD.070.O.0.09.2002.00.00.404010202">-22245.57</definedName>
    <definedName name="SLD.070.O.0.09.2002.00.00.40501">-631009.16</definedName>
    <definedName name="SLD.070.O.0.09.2002.00.00.501">-2982069.37</definedName>
    <definedName name="SLD.070.O.0.09.2002.00.00.504010101001">-21160.72</definedName>
    <definedName name="SLD.070.O.0.09.2002.00.00.504010202">-597061.89</definedName>
    <definedName name="SLD.070.O.0.09.2002.00.00.506010101001">-5077533.28</definedName>
    <definedName name="SLD.070.O.0.09.2002.00.00.506019801001">-636141.33</definedName>
    <definedName name="SLD.070.O.0.09.2002.00.00.506020101001">-629244.19</definedName>
    <definedName name="SLD.070.O.0.09.2002.00.00.506020103001">-7390260.23</definedName>
    <definedName name="SLD.070.O.0.09.2002.00.00.506020201001">-37241448.05</definedName>
    <definedName name="SLD.070.O.0.09.2002.00.00.506030103001">-37284.1</definedName>
    <definedName name="SLD.070.O.0.09.2002.00.00.506030199">-27309.62</definedName>
    <definedName name="SLD.070.O.0.09.2002.00.00.509010101001">0</definedName>
    <definedName name="SLD.070.O.0.09.2002.00.00.509010201001">0</definedName>
    <definedName name="SLD.070.O.0.09.2002.00.00.509020101001">0</definedName>
    <definedName name="SLD.070.O.0.09.2002.00.00.509020201001">0</definedName>
    <definedName name="SLD.070.O.0.09.2002.00.00.510010101">-130304.95</definedName>
    <definedName name="SLD.070.O.0.09.2002.00.00.DAA080">0</definedName>
    <definedName name="SLD.087.C.0.01.0000.00.01.21102">54378</definedName>
    <definedName name="SLD.087.C.0.01.0000.00.01.21103">22794</definedName>
    <definedName name="SLD.087.C.0.01.0000.00.01.22102">165826</definedName>
    <definedName name="SLD.087.C.0.01.0000.00.01.22103">123670</definedName>
    <definedName name="SLD.087.C.0.01.0000.00.01.24501">29193</definedName>
    <definedName name="SLD.087.C.0.01.0000.00.01.D1035">6124</definedName>
    <definedName name="SLD.087.C.0.01.0000.00.01.D1074">3439</definedName>
    <definedName name="SLD.087.C.0.01.2000.00.01.24501010001">-2740</definedName>
    <definedName name="SLD.087.C.0.02.0000.00.01.21102">58143</definedName>
    <definedName name="SLD.087.C.0.02.0000.00.01.21103">23767</definedName>
    <definedName name="SLD.087.C.0.02.0000.00.01.22102">172060</definedName>
    <definedName name="SLD.087.C.0.02.0000.00.01.22103">121699</definedName>
    <definedName name="SLD.087.C.0.02.0000.00.01.24501">29193</definedName>
    <definedName name="SLD.087.C.0.02.0000.00.01.D1035">15542</definedName>
    <definedName name="SLD.087.C.0.02.0000.00.01.D1074">-33</definedName>
    <definedName name="SLD.087.C.0.03.0000.00.01.21102">52333</definedName>
    <definedName name="SLD.087.C.0.03.0000.00.01.21103">23858</definedName>
    <definedName name="SLD.087.C.0.03.0000.00.01.22102">159867</definedName>
    <definedName name="SLD.087.C.0.03.0000.00.01.22103">119748</definedName>
    <definedName name="SLD.087.C.0.03.0000.00.01.24501">29193</definedName>
    <definedName name="SLD.087.C.0.03.0000.00.01.D1035">23151</definedName>
    <definedName name="SLD.087.C.0.03.0000.00.01.D1074">-5391</definedName>
    <definedName name="SLD.087.C.0.03.2000.00.01.34">702</definedName>
    <definedName name="SLD.087.C.0.03.2000.00.01.44">-7066</definedName>
    <definedName name="SLD.087.C.0.03.2000.00.01.D1074">8342</definedName>
    <definedName name="SLD.087.C.0.03.2000.00.01.D997">14663</definedName>
    <definedName name="SLD.087.C.0.03.2001.00.01.34">1803</definedName>
    <definedName name="SLD.087.C.0.03.2001.00.01.44">-33644</definedName>
    <definedName name="SLD.087.C.0.03.2001.00.01.D1074">-5391</definedName>
    <definedName name="SLD.087.C.0.03.2001.00.01.D1075">-10393</definedName>
    <definedName name="SLD.087.C.0.03.2001.00.01.D2051">7729</definedName>
    <definedName name="SLD.087.C.0.03.2001.00.01.D997">15100</definedName>
    <definedName name="SLD.087.C.0.03.2002.00.01.21103">28774</definedName>
    <definedName name="SLD.087.C.0.03.2002.00.01.22103">101823</definedName>
    <definedName name="SLD.087.C.0.03.2002.00.01.D1035">27757</definedName>
    <definedName name="SLD.087.C.0.03.2002.00.01.D1074">9624</definedName>
    <definedName name="SLD.087.C.0.03.2002.00.01.D2025">20775</definedName>
    <definedName name="SLD.087.C.0.03.2002.00.01.D2051">4703</definedName>
    <definedName name="SLD.087.C.0.04.0000.00.01.21102">54372</definedName>
    <definedName name="SLD.087.C.0.04.0000.00.01.21103">24897</definedName>
    <definedName name="SLD.087.C.0.04.0000.00.01.22102">161575</definedName>
    <definedName name="SLD.087.C.0.04.0000.00.01.22103">117776</definedName>
    <definedName name="SLD.087.C.0.04.0000.00.01.D1035">30760</definedName>
    <definedName name="SLD.087.C.0.04.0000.00.01.D1074">-4979</definedName>
    <definedName name="SLD.087.C.0.05.0000.00.01.21102">59405</definedName>
    <definedName name="SLD.087.C.0.05.0000.00.01.21103">26083</definedName>
    <definedName name="SLD.087.C.0.05.0000.00.01.22102">170697</definedName>
    <definedName name="SLD.087.C.0.05.0000.00.01.22103">115804</definedName>
    <definedName name="SLD.087.C.0.05.0000.00.01.D1035">38369</definedName>
    <definedName name="SLD.087.C.0.05.0000.00.01.D1074">-14254</definedName>
    <definedName name="SLD.087.C.0.06.0000.00.01.21102">59510</definedName>
    <definedName name="SLD.087.C.0.06.0000.00.01.21103">26015</definedName>
    <definedName name="SLD.087.C.0.06.0000.00.01.22102">166711</definedName>
    <definedName name="SLD.087.C.0.06.0000.00.01.22103">113810</definedName>
    <definedName name="SLD.087.C.0.06.0000.00.01.D1035">45978</definedName>
    <definedName name="SLD.087.C.0.06.0000.00.01.D1074">-9997</definedName>
    <definedName name="SLD.087.C.0.06.2000.00.01.21103">21667</definedName>
    <definedName name="SLD.087.C.0.06.2000.00.01.22103">134518</definedName>
    <definedName name="SLD.087.C.0.06.2001.00.01.21103">26015</definedName>
    <definedName name="SLD.087.C.0.06.2001.00.01.22103">113810</definedName>
    <definedName name="SLD.087.C.0.07.0000.00.01.21102">64399</definedName>
    <definedName name="SLD.087.C.0.07.0000.00.01.21103">27149</definedName>
    <definedName name="SLD.087.C.0.07.0000.00.01.22102">175854</definedName>
    <definedName name="SLD.087.C.0.07.0000.00.01.22103">111837</definedName>
    <definedName name="SLD.087.C.0.07.0000.00.01.D1035">53587</definedName>
    <definedName name="SLD.087.C.0.07.0000.00.01.D1074">-16582</definedName>
    <definedName name="SLD.087.C.0.07.2001.00.01.21102">64399</definedName>
    <definedName name="SLD.087.C.0.07.2001.00.01.21103">27149</definedName>
    <definedName name="SLD.087.C.0.07.2001.00.01.22102">175854</definedName>
    <definedName name="SLD.087.C.0.07.2001.00.01.22103">111837</definedName>
    <definedName name="SLD.087.C.0.07.2001.00.01.D1035">53587</definedName>
    <definedName name="SLD.087.C.0.07.2001.00.01.D1074">-16582</definedName>
    <definedName name="SLD.087.C.0.08.2000.00.01.21102">52598</definedName>
    <definedName name="SLD.087.C.0.08.2000.00.01.21103">21009</definedName>
    <definedName name="SLD.087.C.0.08.2000.00.01.22102">174915</definedName>
    <definedName name="SLD.087.C.0.08.2000.00.01.22103">132310</definedName>
    <definedName name="SLD.087.C.0.08.2000.00.01.24101010001">129974</definedName>
    <definedName name="SLD.087.C.0.08.2000.00.01.24401010001">1982</definedName>
    <definedName name="SLD.087.C.0.08.2000.00.01.24401010002">198</definedName>
    <definedName name="SLD.087.C.0.08.2000.00.01.24501">18114</definedName>
    <definedName name="SLD.087.C.0.08.2000.00.01.D1035">56850</definedName>
    <definedName name="SLD.087.C.0.08.2000.00.01.D1074">11588</definedName>
    <definedName name="SLD.087.C.0.08.2001.00.01.21102">69295</definedName>
    <definedName name="SLD.087.C.0.08.2001.00.01.21103">28322</definedName>
    <definedName name="SLD.087.C.0.08.2001.00.01.22102">184562</definedName>
    <definedName name="SLD.087.C.0.08.2001.00.01.22103">109852</definedName>
    <definedName name="SLD.087.C.0.08.2001.00.01.D1035">62490</definedName>
    <definedName name="SLD.087.C.0.08.2001.00.01.D1074">-21507</definedName>
    <definedName name="SLD.087.C.0.09.0000.00.01.21102">63961</definedName>
    <definedName name="SLD.087.C.0.09.0000.00.01.21103">28184</definedName>
    <definedName name="SLD.087.C.0.09.0000.00.01.22102">166043</definedName>
    <definedName name="SLD.087.C.0.09.0000.00.01.22103">107846</definedName>
    <definedName name="SLD.087.C.0.09.0000.00.01.D1074">-23452</definedName>
    <definedName name="SLD.087.C.0.09.1999.00.01.24101010001">124174</definedName>
    <definedName name="SLD.087.C.0.09.1999.00.01.24401010001">1982</definedName>
    <definedName name="SLD.087.C.0.09.1999.00.01.24401010002">198</definedName>
    <definedName name="SLD.087.C.0.09.2000.00.01.11201010035">0</definedName>
    <definedName name="SLD.087.C.0.09.2000.00.01.11306010019">0</definedName>
    <definedName name="SLD.087.C.0.09.2000.00.01.21102">44925</definedName>
    <definedName name="SLD.087.C.0.09.2000.00.01.21103">19486</definedName>
    <definedName name="SLD.087.C.0.09.2000.00.01.2110302">19486</definedName>
    <definedName name="SLD.087.C.0.09.2000.00.01.22102">158111</definedName>
    <definedName name="SLD.087.C.0.09.2000.00.01.22103">131178</definedName>
    <definedName name="SLD.087.C.0.09.2000.00.01.24101010001">129974</definedName>
    <definedName name="SLD.087.C.0.09.2000.00.01.24401010001">1982</definedName>
    <definedName name="SLD.087.C.0.09.2000.00.01.24401010002">198</definedName>
    <definedName name="SLD.087.C.0.09.2000.00.01.24501">18114</definedName>
    <definedName name="SLD.087.C.0.09.2000.00.01.24501010001">-2740</definedName>
    <definedName name="SLD.087.C.0.09.2000.00.01.D1035">64621</definedName>
    <definedName name="SLD.087.C.0.09.2000.00.01.D1074">14031</definedName>
    <definedName name="SLD.087.C.0.09.2001.00.01.21102">63961</definedName>
    <definedName name="SLD.087.C.0.09.2001.00.01.21103">28184</definedName>
    <definedName name="SLD.087.C.0.09.2001.00.01.22102">166043</definedName>
    <definedName name="SLD.087.C.0.09.2001.00.01.22103">107846</definedName>
    <definedName name="SLD.087.C.0.09.2001.00.01.D1035">71452</definedName>
    <definedName name="SLD.087.C.0.09.2001.00.01.D1074">-23452</definedName>
    <definedName name="SLD.087.C.0.10.2000.00.01.21102">48321</definedName>
    <definedName name="SLD.087.C.0.10.2000.00.01.21103">20582</definedName>
    <definedName name="SLD.087.C.0.10.2000.00.01.22102">163710</definedName>
    <definedName name="SLD.087.C.0.10.2000.00.01.22103">129335</definedName>
    <definedName name="SLD.087.C.0.10.2000.00.01.D1035">72392</definedName>
    <definedName name="SLD.087.C.0.10.2000.00.01.D1074">14611</definedName>
    <definedName name="SLD.087.C.0.10.2001.00.01.D1035">80208</definedName>
    <definedName name="SLD.087.C.0.10.2001.00.01.D1074">-18978</definedName>
    <definedName name="SLD.087.C.0.11.2000.00.01.21102">50410</definedName>
    <definedName name="SLD.087.C.0.11.2000.00.01.21103">21639</definedName>
    <definedName name="SLD.087.C.0.11.2000.00.01.22102">164858</definedName>
    <definedName name="SLD.087.C.0.11.2000.00.01.22103">127467</definedName>
    <definedName name="SLD.087.C.0.11.2000.00.01.D1035">80163</definedName>
    <definedName name="SLD.087.C.0.11.2000.00.01.D1074">14199</definedName>
    <definedName name="SLD.087.C.0.11.2001.00.01.D1035">88567</definedName>
    <definedName name="SLD.087.C.0.11.2001.00.01.D1074">-4196</definedName>
    <definedName name="SLD.087.C.0.12.0000.00.01.21102">0</definedName>
    <definedName name="SLD.087.C.0.12.0000.00.01.21103">0</definedName>
    <definedName name="SLD.087.C.0.12.0000.00.01.22102">0</definedName>
    <definedName name="SLD.087.C.0.12.0000.00.01.22103">0</definedName>
    <definedName name="SLD.087.C.0.12.0000.00.01.24501">0</definedName>
    <definedName name="SLD.087.C.0.12.0000.00.01.D1035">0</definedName>
    <definedName name="SLD.087.C.0.12.0000.00.01.D1074">0</definedName>
    <definedName name="SLD.087.C.0.12.1999.00.00.24101010001">129974445.70996</definedName>
    <definedName name="SLD.087.C.0.12.1999.00.00.24401010001">1982226.87999916</definedName>
    <definedName name="SLD.087.C.0.12.1999.00.00.24401010002">198222.69000006</definedName>
    <definedName name="SLD.087.C.0.12.1999.00.00.24501010001">16609303.7200012</definedName>
    <definedName name="SLD.087.C.0.12.1999.00.01.24101010001">129974</definedName>
    <definedName name="SLD.087.C.0.12.1999.00.01.24401010001">1982</definedName>
    <definedName name="SLD.087.C.0.12.1999.00.01.24401010002">198</definedName>
    <definedName name="SLD.087.C.0.12.1999.00.01.24501010001">16609</definedName>
    <definedName name="SLD.087.C.0.12.2000.00.01.21102">52123</definedName>
    <definedName name="SLD.087.C.0.12.2000.00.01.21103">21692</definedName>
    <definedName name="SLD.087.C.0.12.2000.00.01.22102">164505</definedName>
    <definedName name="SLD.087.C.0.12.2000.00.01.22103">125598</definedName>
    <definedName name="SLD.087.C.0.12.2000.00.01.24101010001">129974</definedName>
    <definedName name="SLD.087.C.0.12.2000.00.01.24401010001">3105</definedName>
    <definedName name="SLD.087.C.0.12.2000.00.01.24401010002">311</definedName>
    <definedName name="SLD.087.C.0.12.2000.00.01.24501">16879</definedName>
    <definedName name="SLD.087.C.0.12.2000.00.01.24501010001">0</definedName>
    <definedName name="SLD.087.C.0.12.2000.00.01.D1035">87934</definedName>
    <definedName name="SLD.087.C.0.12.2000.00.01.D1074">12314</definedName>
    <definedName name="SLD.087.C.0.12.2001.00.01.21103">28464</definedName>
    <definedName name="SLD.087.C.0.12.2001.00.01.22103">101892</definedName>
    <definedName name="SLD.087.C.0.12.2001.00.01.D1035">97125</definedName>
    <definedName name="SLD.087.C.0.12.2002.00.01.21103">0</definedName>
    <definedName name="SLD.087.C.0.12.2002.00.01.22103">0</definedName>
    <definedName name="SLD.087.C.0.12.2002.00.01.D1035">0</definedName>
    <definedName name="SLD.087.C.0.12.2002.00.01.D1074">0</definedName>
    <definedName name="SLD.087.C.0.IN.2000.00.01.24101010001">129974</definedName>
    <definedName name="SLD.087.C.0.IN.2000.00.01.24401010001">1982</definedName>
    <definedName name="SLD.087.C.0.IN.2000.00.01.24401010002">198</definedName>
    <definedName name="SLD.087.C.0.IN.2000.00.01.24501">18114</definedName>
    <definedName name="SLD.104.C.0.01.1998.00.00.249">-3017097.44000001</definedName>
    <definedName name="SLD.104.C.0.01.1999.00.00.249">-10769546.49</definedName>
    <definedName name="SLD.104.C.0.01.2002.00.00.111020016">1294099.69</definedName>
    <definedName name="SLD.104.C.0.01.2002.00.00.113010007">617488.19</definedName>
    <definedName name="SLD.104.C.0.01.2002.00.00.115">0</definedName>
    <definedName name="SLD.104.C.0.01.2002.00.00.11806">0</definedName>
    <definedName name="SLD.104.C.0.01.2002.00.00.12502">472795.38</definedName>
    <definedName name="SLD.104.C.0.01.2002.00.00.128060001">0</definedName>
    <definedName name="SLD.104.C.0.01.2002.00.00.128060002">0</definedName>
    <definedName name="SLD.104.C.0.01.2002.00.00.128060003">14140.28</definedName>
    <definedName name="SLD.104.C.0.01.2002.00.00.128060005">0</definedName>
    <definedName name="SLD.104.C.0.01.2002.00.00.213020003">120560.34</definedName>
    <definedName name="SLD.104.C.0.01.2002.00.00.215">35774.7</definedName>
    <definedName name="SLD.104.C.0.01.2002.00.00.218010001">0</definedName>
    <definedName name="SLD.104.C.0.01.2002.00.00.218010002">30119.25</definedName>
    <definedName name="SLD.104.C.0.01.2002.00.00.218010007">1175075.02</definedName>
    <definedName name="SLD.104.C.0.01.2002.00.00.218010008">2975673.81</definedName>
    <definedName name="SLD.104.C.0.01.2002.00.00.218010009">3625.53</definedName>
    <definedName name="SLD.104.C.0.01.2002.00.00.21802">0</definedName>
    <definedName name="SLD.104.C.0.01.2002.00.00.311010001">3144672.6</definedName>
    <definedName name="SLD.104.C.0.01.2002.00.00.311010002">617295.1</definedName>
    <definedName name="SLD.104.C.0.01.2002.00.00.311020001">20071.97</definedName>
    <definedName name="SLD.104.C.0.01.2002.00.00.311020002">8283</definedName>
    <definedName name="SLD.104.C.0.01.2002.00.00.311020003">7154.94</definedName>
    <definedName name="SLD.104.C.0.01.2002.00.00.32101">-336594.36</definedName>
    <definedName name="SLD.104.C.0.01.2002.00.00.32102">-1296.11</definedName>
    <definedName name="SLD.104.C.0.01.2002.00.00.331010001">-323906.81</definedName>
    <definedName name="SLD.104.C.0.01.2002.00.00.331010002">-384045.83</definedName>
    <definedName name="SLD.104.C.0.01.2002.00.00.331010003">-2471.73</definedName>
    <definedName name="SLD.104.C.0.01.2002.00.00.331010004">-208873.75</definedName>
    <definedName name="SLD.104.C.0.01.2002.00.00.33102">0</definedName>
    <definedName name="SLD.104.C.0.01.2002.00.00.341">-218687.77</definedName>
    <definedName name="SLD.104.C.0.01.2002.00.00.342">-330956.89</definedName>
    <definedName name="SLD.104.C.0.01.2002.00.00.343">-11312.15</definedName>
    <definedName name="SLD.104.C.0.01.2002.00.00.344">-35123.3</definedName>
    <definedName name="SLD.104.C.0.01.2002.00.00.345">-53584.64</definedName>
    <definedName name="SLD.104.C.0.01.2002.00.00.346">-74540.89</definedName>
    <definedName name="SLD.104.C.0.01.2002.00.00.346080064">-10288.84</definedName>
    <definedName name="SLD.104.C.0.01.2002.00.00.347010058">-66340.21</definedName>
    <definedName name="SLD.104.C.0.01.2002.00.00.34702">-112859.03</definedName>
    <definedName name="SLD.104.C.0.01.2002.00.00.34704">-2400</definedName>
    <definedName name="SLD.104.C.0.01.2002.00.00.34705">0</definedName>
    <definedName name="SLD.104.C.0.01.2002.00.00.347060001">-2298.02</definedName>
    <definedName name="SLD.104.C.0.01.2002.00.00.349">400417.53</definedName>
    <definedName name="SLD.104.C.0.01.2002.00.00.351010001">0</definedName>
    <definedName name="SLD.104.C.0.01.2002.00.00.351010002">0</definedName>
    <definedName name="SLD.104.C.0.01.2002.00.00.351010004">-1192.41</definedName>
    <definedName name="SLD.104.C.0.01.2002.00.00.351010005">-5503.41</definedName>
    <definedName name="SLD.104.C.0.01.2002.00.00.351010006">8084.65</definedName>
    <definedName name="SLD.104.C.0.01.2002.00.00.351010007">162139.29</definedName>
    <definedName name="SLD.104.C.0.01.2002.00.00.351010008">13222.51</definedName>
    <definedName name="SLD.104.C.0.01.2002.00.00.352010001">-519052.45</definedName>
    <definedName name="SLD.104.C.0.01.2002.00.00.352010006">-7213.87</definedName>
    <definedName name="SLD.104.C.0.01.2002.00.00.352010009">-104158.02</definedName>
    <definedName name="SLD.104.C.0.01.2002.00.00.361010002">0.74</definedName>
    <definedName name="SLD.104.C.0.01.2002.00.00.361020001">-47321.97</definedName>
    <definedName name="SLD.104.C.0.01.2002.00.00.361020003">-856851.67</definedName>
    <definedName name="SLD.104.C.0.01.2002.00.00.37102">0</definedName>
    <definedName name="SLD.104.C.0.01.2002.00.00.371030001">0</definedName>
    <definedName name="SLD.104.C.0.01.2002.00.00.371030002">-68159.27</definedName>
    <definedName name="SLD.104.C.0.01.2002.00.00.381010001">0</definedName>
    <definedName name="SLD.104.C.0.01.2002.00.00.381020001">0</definedName>
    <definedName name="SLD.104.C.0.01.2002.00.00.391010001">-301.95</definedName>
    <definedName name="SLD.104.C.0.01.2002.00.00.DA0010">4480929.26</definedName>
    <definedName name="SLD.104.C.0.01.2002.00.00.DA0011">125975.51</definedName>
    <definedName name="SLD.104.C.0.01.2002.00.00.DA0012">15414350.42</definedName>
    <definedName name="SLD.104.C.0.01.2002.00.00.DA0013">5549437.72</definedName>
    <definedName name="SLD.104.C.0.01.2002.00.00.DA0030">699445.1</definedName>
    <definedName name="SLD.104.C.0.01.2002.00.00.DAA0050">55318.92</definedName>
    <definedName name="SLD.104.C.0.01.2002.00.00.DAAAMORT">-3715844.86</definedName>
    <definedName name="SLD.104.C.0.01.2002.00.00.DAADEPR">-13928492.3</definedName>
    <definedName name="SLD.104.C.0.01.2002.00.00.DAADIFER">8257433.39</definedName>
    <definedName name="SLD.104.C.0.01.2002.00.00.DAAIMOB">86716744.6</definedName>
    <definedName name="SLD.104.C.0.01.2002.00.00.DAAMORTOUT">-11279182.5</definedName>
    <definedName name="SLD.104.C.0.01.2002.00.00.DAAOUT">61200010</definedName>
    <definedName name="SLD.104.C.0.01.2002.00.00.DBB010">85728172.88</definedName>
    <definedName name="SLD.104.C.0.01.2002.00.00.DBB011">327463.74</definedName>
    <definedName name="SLD.104.C.0.01.2002.00.00.DBB013">10432792.21</definedName>
    <definedName name="SLD.104.C.0.01.2002.00.00.DBB020">221251.96</definedName>
    <definedName name="SLD.104.C.0.01.2002.00.00.DBB060">365337.46</definedName>
    <definedName name="SLD.104.C.0.01.2002.00.00.DBB081">92030797.54</definedName>
    <definedName name="SLD.104.C.0.01.2002.00.00.DBB160">35168000</definedName>
    <definedName name="SLD.104.C.0.01.2002.00.00.DBB171">-50559570.19</definedName>
    <definedName name="SLD.104.C.0.01.2002.00.00.DBB180">-1832329.22</definedName>
    <definedName name="SLD.104.C.0.01.2002.00.00.DGAAPR17">-2435375.33</definedName>
    <definedName name="SLD.104.C.0.01.2002.00.00.DGAAPR20">-3249.71</definedName>
    <definedName name="SLD.104.C.0.02.2002.00.00.111020016">3971649.64</definedName>
    <definedName name="SLD.104.C.0.02.2002.00.00.113010007">525950.49</definedName>
    <definedName name="SLD.104.C.0.02.2002.00.00.115">0</definedName>
    <definedName name="SLD.104.C.0.02.2002.00.00.11806">0</definedName>
    <definedName name="SLD.104.C.0.02.2002.00.00.12502">482131.89</definedName>
    <definedName name="SLD.104.C.0.02.2002.00.00.128060001">0</definedName>
    <definedName name="SLD.104.C.0.02.2002.00.00.128060002">0</definedName>
    <definedName name="SLD.104.C.0.02.2002.00.00.128060003">18349.37</definedName>
    <definedName name="SLD.104.C.0.02.2002.00.00.128060005">0</definedName>
    <definedName name="SLD.104.C.0.02.2002.00.00.213020003">124369.91</definedName>
    <definedName name="SLD.104.C.0.02.2002.00.00.215">28619.76</definedName>
    <definedName name="SLD.104.C.0.02.2002.00.00.218010001">0</definedName>
    <definedName name="SLD.104.C.0.02.2002.00.00.218010002">30119.25</definedName>
    <definedName name="SLD.104.C.0.02.2002.00.00.218010007">1175075.02</definedName>
    <definedName name="SLD.104.C.0.02.2002.00.00.218010008">94388.71</definedName>
    <definedName name="SLD.104.C.0.02.2002.00.00.218010009">6928.75</definedName>
    <definedName name="SLD.104.C.0.02.2002.00.00.218010010">2885028.37</definedName>
    <definedName name="SLD.104.C.0.02.2002.00.00.21802">0</definedName>
    <definedName name="SLD.104.C.0.02.2002.00.00.311010001">5813013.5</definedName>
    <definedName name="SLD.104.C.0.02.2002.00.00.311010002">1143157.4</definedName>
    <definedName name="SLD.104.C.0.02.2002.00.00.311020001">36799.24</definedName>
    <definedName name="SLD.104.C.0.02.2002.00.00.311020002">16566</definedName>
    <definedName name="SLD.104.C.0.02.2002.00.00.311020003">14309.88</definedName>
    <definedName name="SLD.104.C.0.02.2002.00.00.32101">-601708.8</definedName>
    <definedName name="SLD.104.C.0.02.2002.00.00.32102">-2470.14</definedName>
    <definedName name="SLD.104.C.0.02.2002.00.00.331010001">-561356.51</definedName>
    <definedName name="SLD.104.C.0.02.2002.00.00.331010002">-768125.9</definedName>
    <definedName name="SLD.104.C.0.02.2002.00.00.331010003">-4943.46</definedName>
    <definedName name="SLD.104.C.0.02.2002.00.00.331010004">-417747.5</definedName>
    <definedName name="SLD.104.C.0.02.2002.00.00.33102">0</definedName>
    <definedName name="SLD.104.C.0.02.2002.00.00.341">-422277.3</definedName>
    <definedName name="SLD.104.C.0.02.2002.00.00.342">-547088.98</definedName>
    <definedName name="SLD.104.C.0.02.2002.00.00.343">-28084.88</definedName>
    <definedName name="SLD.104.C.0.02.2002.00.00.344">-77355.8</definedName>
    <definedName name="SLD.104.C.0.02.2002.00.00.345">-110617.59</definedName>
    <definedName name="SLD.104.C.0.02.2002.00.00.346">-165367.99</definedName>
    <definedName name="SLD.104.C.0.02.2002.00.00.346080064">-24581.72</definedName>
    <definedName name="SLD.104.C.0.02.2002.00.00.347010058">-132680.42</definedName>
    <definedName name="SLD.104.C.0.02.2002.00.00.34702">-208685.13</definedName>
    <definedName name="SLD.104.C.0.02.2002.00.00.34704">-4800</definedName>
    <definedName name="SLD.104.C.0.02.2002.00.00.34705">0</definedName>
    <definedName name="SLD.104.C.0.02.2002.00.00.347060001">-4596.04</definedName>
    <definedName name="SLD.104.C.0.02.2002.00.00.349">744072.89</definedName>
    <definedName name="SLD.104.C.0.02.2002.00.00.351010001">0</definedName>
    <definedName name="SLD.104.C.0.02.2002.00.00.351010002">0</definedName>
    <definedName name="SLD.104.C.0.02.2002.00.00.351010004">-2267.64</definedName>
    <definedName name="SLD.104.C.0.02.2002.00.00.351010005">-10465.97</definedName>
    <definedName name="SLD.104.C.0.02.2002.00.00.351010006">15557.81</definedName>
    <definedName name="SLD.104.C.0.02.2002.00.00.351010007">291386.89</definedName>
    <definedName name="SLD.104.C.0.02.2002.00.00.351010008">41920.78</definedName>
    <definedName name="SLD.104.C.0.02.2002.00.00.352010001">-1015915.12</definedName>
    <definedName name="SLD.104.C.0.02.2002.00.00.352010006">-10517.09</definedName>
    <definedName name="SLD.104.C.0.02.2002.00.00.352010009">-131276.28</definedName>
    <definedName name="SLD.104.C.0.02.2002.00.00.361010002">0.21</definedName>
    <definedName name="SLD.104.C.0.02.2002.00.00.361020001">-118978.27</definedName>
    <definedName name="SLD.104.C.0.02.2002.00.00.361020003">-2007908.43</definedName>
    <definedName name="SLD.104.C.0.02.2002.00.00.37102">0</definedName>
    <definedName name="SLD.104.C.0.02.2002.00.00.371030001">0</definedName>
    <definedName name="SLD.104.C.0.02.2002.00.00.371030002">-118303.39</definedName>
    <definedName name="SLD.104.C.0.02.2002.00.00.381010001">0</definedName>
    <definedName name="SLD.104.C.0.02.2002.00.00.381020001">0</definedName>
    <definedName name="SLD.104.C.0.02.2002.00.00.391010001">-301.95</definedName>
    <definedName name="SLD.104.C.0.02.2002.00.00.DA0010">3540458.03</definedName>
    <definedName name="SLD.104.C.0.02.2002.00.00.DA0011">117488.15</definedName>
    <definedName name="SLD.104.C.0.02.2002.00.00.DA0012">15414350.42</definedName>
    <definedName name="SLD.104.C.0.02.2002.00.00.DA0013">5549437.72</definedName>
    <definedName name="SLD.104.C.0.02.2002.00.00.DA0030">554542.76</definedName>
    <definedName name="SLD.104.C.0.02.2002.00.00.DAA0050">2959.84</definedName>
    <definedName name="SLD.104.C.0.02.2002.00.00.DAAAMORT">-3784656.8</definedName>
    <definedName name="SLD.104.C.0.02.2002.00.00.DAADEPR">-14314870.39</definedName>
    <definedName name="SLD.104.C.0.02.2002.00.00.DAADIFER">8257433.39</definedName>
    <definedName name="SLD.104.C.0.02.2002.00.00.DAAIMOB">86772806.1399999</definedName>
    <definedName name="SLD.104.C.0.02.2002.00.00.DAAMORTOUT">-11488056.25</definedName>
    <definedName name="SLD.104.C.0.02.2002.00.00.DAAOUT">61200010</definedName>
    <definedName name="SLD.104.C.0.02.2002.00.00.DBB010">84060455.72</definedName>
    <definedName name="SLD.104.C.0.02.2002.00.00.DBB011">335830.7</definedName>
    <definedName name="SLD.104.C.0.02.2002.00.00.DBB013">10556727.34</definedName>
    <definedName name="SLD.104.C.0.02.2002.00.00.DBB020">157773.06</definedName>
    <definedName name="SLD.104.C.0.02.2002.00.00.DBB060">347383.51</definedName>
    <definedName name="SLD.104.C.0.02.2002.00.00.DBB081">93036174.3</definedName>
    <definedName name="SLD.104.C.0.02.2002.00.00.DBB160">35168000</definedName>
    <definedName name="SLD.104.C.0.02.2002.00.00.DBB171">-50559570.19</definedName>
    <definedName name="SLD.104.C.0.02.2002.00.00.DBB180">-39815.62</definedName>
    <definedName name="SLD.104.C.0.02.2002.00.00.DGAAPR17">-679001.23</definedName>
    <definedName name="SLD.104.C.0.02.2002.00.00.DGAAPR20">-3758.41</definedName>
    <definedName name="SLD.104.C.0.03.2000.00.00.111020016">3822070.51</definedName>
    <definedName name="SLD.104.C.0.03.2000.00.00.11501">174939.05</definedName>
    <definedName name="SLD.104.C.0.03.2000.00.00.11806">0</definedName>
    <definedName name="SLD.104.C.0.03.2000.00.00.121010001">7527512.38</definedName>
    <definedName name="SLD.104.C.0.03.2000.00.00.12502">0</definedName>
    <definedName name="SLD.104.C.0.03.2000.00.00.12806">17615.66</definedName>
    <definedName name="SLD.104.C.0.03.2000.00.00.128060004">0</definedName>
    <definedName name="SLD.104.C.0.03.2000.00.00.211">766510.8</definedName>
    <definedName name="SLD.104.C.0.03.2000.00.00.213">314241.24</definedName>
    <definedName name="SLD.104.C.0.03.2000.00.00.213020003">88978.66</definedName>
    <definedName name="SLD.104.C.0.03.2000.00.00.21401">468211.41</definedName>
    <definedName name="SLD.104.C.0.03.2000.00.00.214010001">4562.74</definedName>
    <definedName name="SLD.104.C.0.03.2000.00.00.21402">59413.02</definedName>
    <definedName name="SLD.104.C.0.03.2000.00.00.21404">-5007.26</definedName>
    <definedName name="SLD.104.C.0.03.2000.00.00.215">0</definedName>
    <definedName name="SLD.104.C.0.03.2000.00.00.21801">1759530.54</definedName>
    <definedName name="SLD.104.C.0.03.2000.00.00.218020002">254152.1</definedName>
    <definedName name="SLD.104.C.0.03.2000.00.00.21803">0</definedName>
    <definedName name="SLD.104.C.0.03.2000.00.00.221">81244088.47</definedName>
    <definedName name="SLD.104.C.0.03.2000.00.00.241">35168000</definedName>
    <definedName name="SLD.104.C.0.03.2000.00.00.DA0009">2571008.94</definedName>
    <definedName name="SLD.104.C.0.03.2000.00.00.DA0011">132606.9</definedName>
    <definedName name="SLD.104.C.0.03.2000.00.00.DA0012">10837865</definedName>
    <definedName name="SLD.104.C.0.03.2000.00.00.DA0013">3483874.79</definedName>
    <definedName name="SLD.104.C.0.03.2000.00.00.DA0030">453489.86</definedName>
    <definedName name="SLD.104.C.0.03.2000.00.00.DAA0050">226589.86</definedName>
    <definedName name="SLD.104.C.0.03.2000.00.00.DAAAMORT">-2201982.18</definedName>
    <definedName name="SLD.104.C.0.03.2000.00.00.DAADEPR">-5634788.84</definedName>
    <definedName name="SLD.104.C.0.03.2000.00.00.DAADIFER">8257433.39</definedName>
    <definedName name="SLD.104.C.0.03.2000.00.00.DAAIMOB">87185379.35</definedName>
    <definedName name="SLD.104.C.0.03.2000.00.00.DAAMORTOUT">-6683960</definedName>
    <definedName name="SLD.104.C.0.03.2000.00.00.DAAOUT">61200010</definedName>
    <definedName name="SLD.104.C.0.03.2000.00.00.DBB020">401150.76</definedName>
    <definedName name="SLD.104.C.0.03.2000.00.00.DBB081">80134493.14</definedName>
    <definedName name="SLD.104.C.0.03.2000.00.00.DBB171">-29115210.11</definedName>
    <definedName name="SLD.104.C.0.03.2000.00.00.DBB180">-79909.44</definedName>
    <definedName name="SLD.104.C.0.03.2001.00.00.111020016">5794570.22</definedName>
    <definedName name="SLD.104.C.0.03.2001.00.00.113010007">1469456.99</definedName>
    <definedName name="SLD.104.C.0.03.2001.00.00.115">0</definedName>
    <definedName name="SLD.104.C.0.03.2001.00.00.11501">0</definedName>
    <definedName name="SLD.104.C.0.03.2001.00.00.11806">757723.04</definedName>
    <definedName name="SLD.104.C.0.03.2001.00.00.118060002">757723.04</definedName>
    <definedName name="SLD.104.C.0.03.2001.00.00.121010001">8894466.74</definedName>
    <definedName name="SLD.104.C.0.03.2001.00.00.12502">332061.47</definedName>
    <definedName name="SLD.104.C.0.03.2001.00.00.12806">17615.66</definedName>
    <definedName name="SLD.104.C.0.03.2001.00.00.128060001">7520.91</definedName>
    <definedName name="SLD.104.C.0.03.2001.00.00.128060002">8760.65</definedName>
    <definedName name="SLD.104.C.0.03.2001.00.00.128060003">0</definedName>
    <definedName name="SLD.104.C.0.03.2001.00.00.128060004">0</definedName>
    <definedName name="SLD.104.C.0.03.2001.00.00.128060005">1334.1</definedName>
    <definedName name="SLD.104.C.0.03.2001.00.00.211">403947.18</definedName>
    <definedName name="SLD.104.C.0.03.2001.00.00.213">314759.89</definedName>
    <definedName name="SLD.104.C.0.03.2001.00.00.213020003">93567.48</definedName>
    <definedName name="SLD.104.C.0.03.2001.00.00.21401">1730989.78</definedName>
    <definedName name="SLD.104.C.0.03.2001.00.00.214010001">15729.31</definedName>
    <definedName name="SLD.104.C.0.03.2001.00.00.21402">49009.76</definedName>
    <definedName name="SLD.104.C.0.03.2001.00.00.21404">1620.23</definedName>
    <definedName name="SLD.104.C.0.03.2001.00.00.215">19500</definedName>
    <definedName name="SLD.104.C.0.03.2001.00.00.21801">1367888.07</definedName>
    <definedName name="SLD.104.C.0.03.2001.00.00.218010001">1</definedName>
    <definedName name="SLD.104.C.0.03.2001.00.00.218010002">30119.25</definedName>
    <definedName name="SLD.104.C.0.03.2001.00.00.218010003">-3718.41</definedName>
    <definedName name="SLD.104.C.0.03.2001.00.00.218010007">1192689.68</definedName>
    <definedName name="SLD.104.C.0.03.2001.00.00.218010008">148796.55</definedName>
    <definedName name="SLD.104.C.0.03.2001.00.00.218010009">0</definedName>
    <definedName name="SLD.104.C.0.03.2001.00.00.21802">387519.51</definedName>
    <definedName name="SLD.104.C.0.03.2001.00.00.218020002">387519.51</definedName>
    <definedName name="SLD.104.C.0.03.2001.00.00.21803">0</definedName>
    <definedName name="SLD.104.C.0.03.2001.00.00.221">87721769.36</definedName>
    <definedName name="SLD.104.C.0.03.2001.00.00.241">35168000</definedName>
    <definedName name="SLD.104.C.0.03.2001.00.00.3">-3789251.42</definedName>
    <definedName name="SLD.104.C.0.03.2001.00.00.311010001">7224572.3</definedName>
    <definedName name="SLD.104.C.0.03.2001.00.00.311010002">1468357.4</definedName>
    <definedName name="SLD.104.C.0.03.2001.00.00.311020001">51652.43</definedName>
    <definedName name="SLD.104.C.0.03.2001.00.00.311020002">22500</definedName>
    <definedName name="SLD.104.C.0.03.2001.00.00.311020003">19500</definedName>
    <definedName name="SLD.104.C.0.03.2001.00.00.32101">-751938.43</definedName>
    <definedName name="SLD.104.C.0.03.2001.00.00.32102">-3418.32</definedName>
    <definedName name="SLD.104.C.0.03.2001.00.00.331010001">-810429.31</definedName>
    <definedName name="SLD.104.C.0.03.2001.00.00.331010002">-1149473.19</definedName>
    <definedName name="SLD.104.C.0.03.2001.00.00.331010003">-7415.19</definedName>
    <definedName name="SLD.104.C.0.03.2001.00.00.331010004">-626621.25</definedName>
    <definedName name="SLD.104.C.0.03.2001.00.00.33102">0</definedName>
    <definedName name="SLD.104.C.0.03.2001.00.00.341">-552161.34</definedName>
    <definedName name="SLD.104.C.0.03.2001.00.00.342">-1461815.37</definedName>
    <definedName name="SLD.104.C.0.03.2001.00.00.343">-36291.49</definedName>
    <definedName name="SLD.104.C.0.03.2001.00.00.344">-109625.36</definedName>
    <definedName name="SLD.104.C.0.03.2001.00.00.345">-120342.73</definedName>
    <definedName name="SLD.104.C.0.03.2001.00.00.346">-485745.08</definedName>
    <definedName name="SLD.104.C.0.03.2001.00.00.346080064">-14724.41</definedName>
    <definedName name="SLD.104.C.0.03.2001.00.00.347010058">-199020.63</definedName>
    <definedName name="SLD.104.C.0.03.2001.00.00.34702">-260787.89</definedName>
    <definedName name="SLD.104.C.0.03.2001.00.00.34704">-20400</definedName>
    <definedName name="SLD.104.C.0.03.2001.00.00.34705">0</definedName>
    <definedName name="SLD.104.C.0.03.2001.00.00.347060001">-4839.85</definedName>
    <definedName name="SLD.104.C.0.03.2001.00.00.349">1168616.55</definedName>
    <definedName name="SLD.104.C.0.03.2001.00.00.351010001">398280.16</definedName>
    <definedName name="SLD.104.C.0.03.2001.00.00.351010002">0</definedName>
    <definedName name="SLD.104.C.0.03.2001.00.00.351010004">-2560.56</definedName>
    <definedName name="SLD.104.C.0.03.2001.00.00.351010005">-11818.03</definedName>
    <definedName name="SLD.104.C.0.03.2001.00.00.351010006">0</definedName>
    <definedName name="SLD.104.C.0.03.2001.00.00.351010007">0</definedName>
    <definedName name="SLD.104.C.0.03.2001.00.00.351010008">0</definedName>
    <definedName name="SLD.104.C.0.03.2001.00.00.352010001">-2262356.63</definedName>
    <definedName name="SLD.104.C.0.03.2001.00.00.352010006">0</definedName>
    <definedName name="SLD.104.C.0.03.2001.00.00.352010009">0</definedName>
    <definedName name="SLD.104.C.0.03.2001.00.00.361010002">417.93</definedName>
    <definedName name="SLD.104.C.0.03.2001.00.00.361020001">-205514.82</definedName>
    <definedName name="SLD.104.C.0.03.2001.00.00.361020003">-1003185.72</definedName>
    <definedName name="SLD.104.C.0.03.2001.00.00.37102">0</definedName>
    <definedName name="SLD.104.C.0.03.2001.00.00.371030001">0</definedName>
    <definedName name="SLD.104.C.0.03.2001.00.00.371030002">-238651.2</definedName>
    <definedName name="SLD.104.C.0.03.2001.00.00.381010001">516716.11</definedName>
    <definedName name="SLD.104.C.0.03.2001.00.00.381020001">1435322.52</definedName>
    <definedName name="SLD.104.C.0.03.2001.00.00.391010001">0</definedName>
    <definedName name="SLD.104.C.0.03.2001.00.00.DA0009">2283474.96</definedName>
    <definedName name="SLD.104.C.0.03.2001.00.00.DA0010">8078045.18</definedName>
    <definedName name="SLD.104.C.0.03.2001.00.00.DA0011">133865.87</definedName>
    <definedName name="SLD.104.C.0.03.2001.00.00.DA0012">15128100.42</definedName>
    <definedName name="SLD.104.C.0.03.2001.00.00.DA0013">5446387.72</definedName>
    <definedName name="SLD.104.C.0.03.2001.00.00.DA0030">1624137.15</definedName>
    <definedName name="SLD.104.C.0.03.2001.00.00.DAA0050">364085.04</definedName>
    <definedName name="SLD.104.C.0.03.2001.00.00.DAAAMORT">-3027725.46</definedName>
    <definedName name="SLD.104.C.0.03.2001.00.00.DAADEPR">-10083966.62</definedName>
    <definedName name="SLD.104.C.0.03.2001.00.00.DAADIFER">8257433.39</definedName>
    <definedName name="SLD.104.C.0.03.2001.00.00.DAAIMOB">86267119.58</definedName>
    <definedName name="SLD.104.C.0.03.2001.00.00.DAAMORTOUT">-9190445</definedName>
    <definedName name="SLD.104.C.0.03.2001.00.00.DAAOUT">61200010</definedName>
    <definedName name="SLD.104.C.0.03.2001.00.00.DBB010">88125716.54</definedName>
    <definedName name="SLD.104.C.0.03.2001.00.00.DBB011">287551.71</definedName>
    <definedName name="SLD.104.C.0.03.2001.00.00.DBB013">8894466.74</definedName>
    <definedName name="SLD.104.C.0.03.2001.00.00.DBB020">344871.25</definedName>
    <definedName name="SLD.104.C.0.03.2001.00.00.DBB060">957537.43</definedName>
    <definedName name="SLD.104.C.0.03.2001.00.00.DBB081">85498966.1799999</definedName>
    <definedName name="SLD.104.C.0.03.2001.00.00.DBB160">35168000</definedName>
    <definedName name="SLD.104.C.0.03.2001.00.00.DBB171">-35020675.61</definedName>
    <definedName name="SLD.104.C.0.03.2001.00.00.DBB180">-3789251.42</definedName>
    <definedName name="SLD.104.C.0.03.2001.00.00.DGAAPR17">-5769741.71</definedName>
    <definedName name="SLD.104.C.0.03.2001.00.00.DGAAPR20">-1032.72</definedName>
    <definedName name="SLD.104.C.0.03.2002.00.00.111020016">5738644.12</definedName>
    <definedName name="SLD.104.C.0.03.2002.00.00.113010007">502885.89</definedName>
    <definedName name="SLD.104.C.0.03.2002.00.00.115">0</definedName>
    <definedName name="SLD.104.C.0.03.2002.00.00.11501">0</definedName>
    <definedName name="SLD.104.C.0.03.2002.00.00.11806">0</definedName>
    <definedName name="SLD.104.C.0.03.2002.00.00.118060002">0</definedName>
    <definedName name="SLD.104.C.0.03.2002.00.00.121010001">10694457.71</definedName>
    <definedName name="SLD.104.C.0.03.2002.00.00.12502">498402.09</definedName>
    <definedName name="SLD.104.C.0.03.2002.00.00.12806">20153.24</definedName>
    <definedName name="SLD.104.C.0.03.2002.00.00.128060001">0</definedName>
    <definedName name="SLD.104.C.0.03.2002.00.00.128060002">0</definedName>
    <definedName name="SLD.104.C.0.03.2002.00.00.128060003">20153.24</definedName>
    <definedName name="SLD.104.C.0.03.2002.00.00.128060004">0</definedName>
    <definedName name="SLD.104.C.0.03.2002.00.00.128060005">0</definedName>
    <definedName name="SLD.104.C.0.03.2002.00.00.211">57032.48</definedName>
    <definedName name="SLD.104.C.0.03.2002.00.00.213">365325.02</definedName>
    <definedName name="SLD.104.C.0.03.2002.00.00.213020003">112175.14</definedName>
    <definedName name="SLD.104.C.0.03.2002.00.00.21401">284551.91</definedName>
    <definedName name="SLD.104.C.0.03.2002.00.00.214010001">25583.07</definedName>
    <definedName name="SLD.104.C.0.03.2002.00.00.21402">50492.01</definedName>
    <definedName name="SLD.104.C.0.03.2002.00.00.21404">6496.15</definedName>
    <definedName name="SLD.104.C.0.03.2002.00.00.215">21464.82</definedName>
    <definedName name="SLD.104.C.0.03.2002.00.00.21801">4191801.24</definedName>
    <definedName name="SLD.104.C.0.03.2002.00.00.218010001">0</definedName>
    <definedName name="SLD.104.C.0.03.2002.00.00.218010002">30119.25</definedName>
    <definedName name="SLD.104.C.0.03.2002.00.00.218010003">0</definedName>
    <definedName name="SLD.104.C.0.03.2002.00.00.218010007">1175075.02</definedName>
    <definedName name="SLD.104.C.0.03.2002.00.00.218010008">69785.47</definedName>
    <definedName name="SLD.104.C.0.03.2002.00.00.218010009">6990.39</definedName>
    <definedName name="SLD.104.C.0.03.2002.00.00.218010010">2909831.11</definedName>
    <definedName name="SLD.104.C.0.03.2002.00.00.21802">541381.63</definedName>
    <definedName name="SLD.104.C.0.03.2002.00.00.218020002">541381.63</definedName>
    <definedName name="SLD.104.C.0.03.2002.00.00.21803">0</definedName>
    <definedName name="SLD.104.C.0.03.2002.00.00.221">83546440.52</definedName>
    <definedName name="SLD.104.C.0.03.2002.00.00.241">35168000</definedName>
    <definedName name="SLD.104.C.0.03.2002.00.00.3">-32053.41</definedName>
    <definedName name="SLD.104.C.0.03.2002.00.00.311010001">7669746.2</definedName>
    <definedName name="SLD.104.C.0.03.2002.00.00.311010002">1645992.8</definedName>
    <definedName name="SLD.104.C.0.03.2002.00.00.311020001">55215.51</definedName>
    <definedName name="SLD.104.C.0.03.2002.00.00.311020002">24849</definedName>
    <definedName name="SLD.104.C.0.03.2002.00.00.311020003">21464.82</definedName>
    <definedName name="SLD.104.C.0.03.2002.00.00.32101">-805811.43</definedName>
    <definedName name="SLD.104.C.0.03.2002.00.00.32102">-3644.17</definedName>
    <definedName name="SLD.104.C.0.03.2002.00.00.331010001">-899856.49</definedName>
    <definedName name="SLD.104.C.0.03.2002.00.00.331010002">-1152533.92</definedName>
    <definedName name="SLD.104.C.0.03.2002.00.00.331010003">-7415.19</definedName>
    <definedName name="SLD.104.C.0.03.2002.00.00.331010004">-626621.25</definedName>
    <definedName name="SLD.104.C.0.03.2002.00.00.33102">0</definedName>
    <definedName name="SLD.104.C.0.03.2002.00.00.341">-630357.07</definedName>
    <definedName name="SLD.104.C.0.03.2002.00.00.342">-865242.72</definedName>
    <definedName name="SLD.104.C.0.03.2002.00.00.343">-36246.58</definedName>
    <definedName name="SLD.104.C.0.03.2002.00.00.344">-142375.5</definedName>
    <definedName name="SLD.104.C.0.03.2002.00.00.345">-163176.23</definedName>
    <definedName name="SLD.104.C.0.03.2002.00.00.346">-314751.91</definedName>
    <definedName name="SLD.104.C.0.03.2002.00.00.346080064">-58676.89</definedName>
    <definedName name="SLD.104.C.0.03.2002.00.00.347010058">-199020.63</definedName>
    <definedName name="SLD.104.C.0.03.2002.00.00.34702">-279533.32</definedName>
    <definedName name="SLD.104.C.0.03.2002.00.00.34704">-7200</definedName>
    <definedName name="SLD.104.C.0.03.2002.00.00.34705">0</definedName>
    <definedName name="SLD.104.C.0.03.2002.00.00.347060001">-6906.64</definedName>
    <definedName name="SLD.104.C.0.03.2002.00.00.349">1209246.69</definedName>
    <definedName name="SLD.104.C.0.03.2002.00.00.351010001">0</definedName>
    <definedName name="SLD.104.C.0.03.2002.00.00.351010002">0</definedName>
    <definedName name="SLD.104.C.0.03.2002.00.00.351010004">-3342.87</definedName>
    <definedName name="SLD.104.C.0.03.2002.00.00.351010005">-15428.54</definedName>
    <definedName name="SLD.104.C.0.03.2002.00.00.351010006">17000.53</definedName>
    <definedName name="SLD.104.C.0.03.2002.00.00.351010007">441023.13</definedName>
    <definedName name="SLD.104.C.0.03.2002.00.00.351010008">86279.71</definedName>
    <definedName name="SLD.104.C.0.03.2002.00.00.352010001">-1556419.13</definedName>
    <definedName name="SLD.104.C.0.03.2002.00.00.352010006">-14204.26</definedName>
    <definedName name="SLD.104.C.0.03.2002.00.00.352010009">-162279.71</definedName>
    <definedName name="SLD.104.C.0.03.2002.00.00.361010002">0.02</definedName>
    <definedName name="SLD.104.C.0.03.2002.00.00.361020001">-198384.82</definedName>
    <definedName name="SLD.104.C.0.03.2002.00.00.361020003">-2853028.57</definedName>
    <definedName name="SLD.104.C.0.03.2002.00.00.37102">0</definedName>
    <definedName name="SLD.104.C.0.03.2002.00.00.371030001">0</definedName>
    <definedName name="SLD.104.C.0.03.2002.00.00.371030002">-154516.04</definedName>
    <definedName name="SLD.104.C.0.03.2002.00.00.381010001">0</definedName>
    <definedName name="SLD.104.C.0.03.2002.00.00.381020001">0</definedName>
    <definedName name="SLD.104.C.0.03.2002.00.00.391010001">-301.95</definedName>
    <definedName name="SLD.104.C.0.03.2002.00.00.DA0009">2156799.48</definedName>
    <definedName name="SLD.104.C.0.03.2002.00.00.DA0010">2156799.48</definedName>
    <definedName name="SLD.104.C.0.03.2002.00.00.DA0011">119963.16</definedName>
    <definedName name="SLD.104.C.0.03.2002.00.00.DA0012">15414350.42</definedName>
    <definedName name="SLD.104.C.0.03.2002.00.00.DA0013">5549437.72</definedName>
    <definedName name="SLD.104.C.0.03.2002.00.00.DA0030">993019.86</definedName>
    <definedName name="SLD.104.C.0.03.2002.00.00.DAA0050">561145.05</definedName>
    <definedName name="SLD.104.C.0.03.2002.00.00.DAAAMORT">-3853468.74</definedName>
    <definedName name="SLD.104.C.0.03.2002.00.00.DAADEPR">-14701589.01</definedName>
    <definedName name="SLD.104.C.0.03.2002.00.00.DAADIFER">8257433.39</definedName>
    <definedName name="SLD.104.C.0.03.2002.00.00.DAAIMOB">86823984.72</definedName>
    <definedName name="SLD.104.C.0.03.2002.00.00.DAAMORTOUT">-11696930</definedName>
    <definedName name="SLD.104.C.0.03.2002.00.00.DAAOUT">61200010</definedName>
    <definedName name="SLD.104.C.0.03.2002.00.00.DBB010">83603473</definedName>
    <definedName name="SLD.104.C.0.03.2002.00.00.DBB011">335721.11</definedName>
    <definedName name="SLD.104.C.0.03.2002.00.00.DBB013">10694457.71</definedName>
    <definedName name="SLD.104.C.0.03.2002.00.00.DBB020">253156.59</definedName>
    <definedName name="SLD.104.C.0.03.2002.00.00.DBB060">258968.84</definedName>
    <definedName name="SLD.104.C.0.03.2002.00.00.DBB081">93881294.44</definedName>
    <definedName name="SLD.104.C.0.03.2002.00.00.DBB160">35168000</definedName>
    <definedName name="SLD.104.C.0.03.2002.00.00.DBB171">-50559570.19</definedName>
    <definedName name="SLD.104.C.0.03.2002.00.00.DBB180">-32053.41</definedName>
    <definedName name="SLD.104.C.0.03.2002.00.00.DGAAPR17">-96227.62</definedName>
    <definedName name="SLD.104.C.0.03.2002.00.00.DGAAPR20">-8045.26</definedName>
    <definedName name="SLD.104.C.0.06.1998.00.00.111020016">0</definedName>
    <definedName name="SLD.104.C.0.06.1998.00.00.DBB081">68458331.19</definedName>
    <definedName name="SLD.104.C.0.06.1999.00.00.111020016">169356.45</definedName>
    <definedName name="SLD.104.C.0.06.1999.00.00.11501">111293.99</definedName>
    <definedName name="SLD.104.C.0.06.1999.00.00.11806">905.69</definedName>
    <definedName name="SLD.104.C.0.06.1999.00.00.118060002">0</definedName>
    <definedName name="SLD.104.C.0.06.1999.00.00.121010001">6726747.65</definedName>
    <definedName name="SLD.104.C.0.06.1999.00.00.12502">0</definedName>
    <definedName name="SLD.104.C.0.06.1999.00.00.12806">17502.52</definedName>
    <definedName name="SLD.104.C.0.06.1999.00.00.128060004">0</definedName>
    <definedName name="SLD.104.C.0.06.1999.00.00.211">8561093.62000001</definedName>
    <definedName name="SLD.104.C.0.06.1999.00.00.211030001">0</definedName>
    <definedName name="SLD.104.C.0.06.1999.00.00.213">434360.95</definedName>
    <definedName name="SLD.104.C.0.06.1999.00.00.213020003">70615.88</definedName>
    <definedName name="SLD.104.C.0.06.1999.00.00.21401">687132.39</definedName>
    <definedName name="SLD.104.C.0.06.1999.00.00.214010001">5887.65</definedName>
    <definedName name="SLD.104.C.0.06.1999.00.00.21402">39510.66</definedName>
    <definedName name="SLD.104.C.0.06.1999.00.00.21404">2116.34</definedName>
    <definedName name="SLD.104.C.0.06.1999.00.00.215">0</definedName>
    <definedName name="SLD.104.C.0.06.1999.00.00.21801">108070.08</definedName>
    <definedName name="SLD.104.C.0.06.1999.00.00.218020001">0</definedName>
    <definedName name="SLD.104.C.0.06.1999.00.00.218020002">1256208.54</definedName>
    <definedName name="SLD.104.C.0.06.1999.00.00.218020003">0</definedName>
    <definedName name="SLD.104.C.0.06.1999.00.00.21803">0</definedName>
    <definedName name="SLD.104.C.0.06.1999.00.00.221">80429857.67</definedName>
    <definedName name="SLD.104.C.0.06.1999.00.00.241">35168000</definedName>
    <definedName name="SLD.104.C.0.06.1999.00.00.331">-4650420.74</definedName>
    <definedName name="SLD.104.C.0.06.1999.00.00.352010001">-8139068.34</definedName>
    <definedName name="SLD.104.C.0.06.1999.00.00.361020001">-296765.48</definedName>
    <definedName name="SLD.104.C.0.06.1999.00.00.361020003">-4688207.43</definedName>
    <definedName name="SLD.104.C.0.06.1999.00.00.37">0</definedName>
    <definedName name="SLD.104.C.0.06.1999.00.00.391">-55598.16</definedName>
    <definedName name="SLD.104.C.0.06.1999.00.00.DA0009">14111112.76</definedName>
    <definedName name="SLD.104.C.0.06.1999.00.00.DA0010">1263885.82</definedName>
    <definedName name="SLD.104.C.0.06.1999.00.00.DA0011">34727.07</definedName>
    <definedName name="SLD.104.C.0.06.1999.00.00.DA0012">8399401.9</definedName>
    <definedName name="SLD.104.C.0.06.1999.00.00.DA0013">2695248.54</definedName>
    <definedName name="SLD.104.C.0.06.1999.00.00.DA0015">129702.2</definedName>
    <definedName name="SLD.104.C.0.06.1999.00.00.DA0020">12847226.94</definedName>
    <definedName name="SLD.104.C.0.06.1999.00.00.DA0030">748324.59</definedName>
    <definedName name="SLD.104.C.0.06.1999.00.00.DAA0050">368049.56</definedName>
    <definedName name="SLD.104.C.0.06.1999.00.00.DAAAMORT">-1582674.72</definedName>
    <definedName name="SLD.104.C.0.06.1999.00.00.DAADEPR">-2442490.41</definedName>
    <definedName name="SLD.104.C.0.06.1999.00.00.DAADIFER">8257433.39</definedName>
    <definedName name="SLD.104.C.0.06.1999.00.00.DAAIMOB">82006076.4499999</definedName>
    <definedName name="SLD.104.C.0.06.1999.00.00.DAAMORTOUT">-4804096.25</definedName>
    <definedName name="SLD.104.C.0.06.1999.00.00.DAAOUT">61200010</definedName>
    <definedName name="SLD.104.C.0.06.1999.00.00.DBB010">88990951.29</definedName>
    <definedName name="SLD.104.C.0.06.1999.00.00.DBB011">411259.72</definedName>
    <definedName name="SLD.104.C.0.06.1999.00.00.DBB012">1256208.54</definedName>
    <definedName name="SLD.104.C.0.06.1999.00.00.DBB013">6726747.65</definedName>
    <definedName name="SLD.104.C.0.06.1999.00.00.DBB014">178685.96</definedName>
    <definedName name="SLD.104.C.0.06.1999.00.00.DBB020">493276.9</definedName>
    <definedName name="SLD.104.C.0.06.1999.00.00.DBB060">681244.74</definedName>
    <definedName name="SLD.104.C.0.06.1999.00.00.DBB081">73649639.03</definedName>
    <definedName name="SLD.104.C.0.06.1999.00.00.DBB160">35168000</definedName>
    <definedName name="SLD.104.C.0.06.1999.00.00.DBB171">-10769546.49</definedName>
    <definedName name="SLD.104.C.0.06.1999.00.00.DBB180">-14042790.51</definedName>
    <definedName name="SLD.104.C.0.06.1999.00.00.DGAAPR01">12300741.85</definedName>
    <definedName name="SLD.104.C.0.06.1999.00.00.DGAAPR02">45862.74</definedName>
    <definedName name="SLD.104.C.0.06.1999.00.00.DGAAPR03">-1030163.58</definedName>
    <definedName name="SLD.104.C.0.06.1999.00.00.DGAAPR13">581628.4</definedName>
    <definedName name="SLD.104.C.0.06.1999.00.00.DGAAPR17">-8804941.93</definedName>
    <definedName name="SLD.104.C.0.06.1999.00.00.DGAAPR18">-18610.8</definedName>
    <definedName name="SLD.104.C.0.06.1999.00.00.DGAAPR19">0</definedName>
    <definedName name="SLD.104.C.0.06.1999.00.00.DGAAPR20">-1311276.14</definedName>
    <definedName name="SLD.104.C.0.06.1999.00.00.DGAAPR21">4432000</definedName>
    <definedName name="SLD.104.C.0.06.1999.00.00.DGAAPR22">1418000</definedName>
    <definedName name="SLD.104.C.0.06.2000.00.00.111020016">727174.9</definedName>
    <definedName name="SLD.104.C.0.06.2000.00.00.115">212045.9</definedName>
    <definedName name="SLD.104.C.0.06.2000.00.00.11501">212045.9</definedName>
    <definedName name="SLD.104.C.0.06.2000.00.00.11806">23200</definedName>
    <definedName name="SLD.104.C.0.06.2000.00.00.118060002">0</definedName>
    <definedName name="SLD.104.C.0.06.2000.00.00.121010001">7867392.56</definedName>
    <definedName name="SLD.104.C.0.06.2000.00.00.12502">0</definedName>
    <definedName name="SLD.104.C.0.06.2000.00.00.12806">17615.66</definedName>
    <definedName name="SLD.104.C.0.06.2000.00.00.128060001">7520.91</definedName>
    <definedName name="SLD.104.C.0.06.2000.00.00.128060002">8760.65</definedName>
    <definedName name="SLD.104.C.0.06.2000.00.00.128060003">0</definedName>
    <definedName name="SLD.104.C.0.06.2000.00.00.128060004">0</definedName>
    <definedName name="SLD.104.C.0.06.2000.00.00.128060005">1334.1</definedName>
    <definedName name="SLD.104.C.0.06.2000.00.00.211">680214.6</definedName>
    <definedName name="SLD.104.C.0.06.2000.00.00.211030001">0</definedName>
    <definedName name="SLD.104.C.0.06.2000.00.00.213">395308.12</definedName>
    <definedName name="SLD.104.C.0.06.2000.00.00.213020003">101225.3</definedName>
    <definedName name="SLD.104.C.0.06.2000.00.00.21401">644375.61</definedName>
    <definedName name="SLD.104.C.0.06.2000.00.00.214010001">4611.18</definedName>
    <definedName name="SLD.104.C.0.06.2000.00.00.21402">48025.42</definedName>
    <definedName name="SLD.104.C.0.06.2000.00.00.21404">-3425.4</definedName>
    <definedName name="SLD.104.C.0.06.2000.00.00.215">0</definedName>
    <definedName name="SLD.104.C.0.06.2000.00.00.21801">1737724.77</definedName>
    <definedName name="SLD.104.C.0.06.2000.00.00.218010001">1</definedName>
    <definedName name="SLD.104.C.0.06.2000.00.00.218010002">30119.25</definedName>
    <definedName name="SLD.104.C.0.06.2000.00.00.218010003">436255.82</definedName>
    <definedName name="SLD.104.C.0.06.2000.00.00.218010007">1192689.68</definedName>
    <definedName name="SLD.104.C.0.06.2000.00.00.218010008">78659.02</definedName>
    <definedName name="SLD.104.C.0.06.2000.00.00.21802">325196.34</definedName>
    <definedName name="SLD.104.C.0.06.2000.00.00.218020001">0</definedName>
    <definedName name="SLD.104.C.0.06.2000.00.00.218020002">325196.34</definedName>
    <definedName name="SLD.104.C.0.06.2000.00.00.218020003">0</definedName>
    <definedName name="SLD.104.C.0.06.2000.00.00.21803">0</definedName>
    <definedName name="SLD.104.C.0.06.2000.00.00.221">79418783.0599999</definedName>
    <definedName name="SLD.104.C.0.06.2000.00.00.241">35168000</definedName>
    <definedName name="SLD.104.C.0.06.2000.00.00.331">-5087658.31</definedName>
    <definedName name="SLD.104.C.0.06.2000.00.00.346080064">-74983.46</definedName>
    <definedName name="SLD.104.C.0.06.2000.00.00.351010001">336958.76</definedName>
    <definedName name="SLD.104.C.0.06.2000.00.00.351010004">-2193.23</definedName>
    <definedName name="SLD.104.C.0.06.2000.00.00.351010005">-10127.67</definedName>
    <definedName name="SLD.104.C.0.06.2000.00.00.352010001">-4300717.09</definedName>
    <definedName name="SLD.104.C.0.06.2000.00.00.361020001">-719469.74</definedName>
    <definedName name="SLD.104.C.0.06.2000.00.00.361020003">-2544951.15</definedName>
    <definedName name="SLD.104.C.0.06.2000.00.00.37">0</definedName>
    <definedName name="SLD.104.C.0.06.2000.00.00.391">-60730.92</definedName>
    <definedName name="SLD.104.C.0.06.2000.00.00.DA0009">1338992.04</definedName>
    <definedName name="SLD.104.C.0.06.2000.00.00.DA0010">1338992.04</definedName>
    <definedName name="SLD.104.C.0.06.2000.00.00.DA0011">137493.64</definedName>
    <definedName name="SLD.104.C.0.06.2000.00.00.DA0012">11993297.2</definedName>
    <definedName name="SLD.104.C.0.06.2000.00.00.DA0013">3899830.38</definedName>
    <definedName name="SLD.104.C.0.06.2000.00.00.DA0015">252861.56</definedName>
    <definedName name="SLD.104.C.0.06.2000.00.00.DA0020">0</definedName>
    <definedName name="SLD.104.C.0.06.2000.00.00.DA0030">332393.87</definedName>
    <definedName name="SLD.104.C.0.06.2000.00.00.DAA0050">371299.08</definedName>
    <definedName name="SLD.104.C.0.06.2000.00.00.DAAAMORT">-2408418</definedName>
    <definedName name="SLD.104.C.0.06.2000.00.00.DAADEPR">-6732848.99</definedName>
    <definedName name="SLD.104.C.0.06.2000.00.00.DAADIFER">8257433.39</definedName>
    <definedName name="SLD.104.C.0.06.2000.00.00.DAAIMOB">87850650.59</definedName>
    <definedName name="SLD.104.C.0.06.2000.00.00.DAAMORTOUT">-7310581.25</definedName>
    <definedName name="SLD.104.C.0.06.2000.00.00.DAAOUT">61200010</definedName>
    <definedName name="SLD.104.C.0.06.2000.00.00.DBB010">80098997.66</definedName>
    <definedName name="SLD.104.C.0.06.2000.00.00.DBB011">343294.02</definedName>
    <definedName name="SLD.104.C.0.06.2000.00.00.DBB012">325196.34</definedName>
    <definedName name="SLD.104.C.0.06.2000.00.00.DBB013">7867392.56</definedName>
    <definedName name="SLD.104.C.0.06.2000.00.00.DBB014">1838950.07</definedName>
    <definedName name="SLD.104.C.0.06.2000.00.00.DBB020">422715.72</definedName>
    <definedName name="SLD.104.C.0.06.2000.00.00.DBB060">639764.43</definedName>
    <definedName name="SLD.104.C.0.06.2000.00.00.DBB081">81185523.3099999</definedName>
    <definedName name="SLD.104.C.0.06.2000.00.00.DBB160">35168000</definedName>
    <definedName name="SLD.104.C.0.06.2000.00.00.DBB171">-29115210.11</definedName>
    <definedName name="SLD.104.C.0.06.2000.00.00.DBB180">-3130250.47</definedName>
    <definedName name="SLD.104.C.0.06.2000.00.00.DGAAPR01">11814366.7</definedName>
    <definedName name="SLD.104.C.0.06.2000.00.00.DGAAPR02">78035.22</definedName>
    <definedName name="SLD.104.C.0.06.2000.00.00.DGAAPR03">-1026137.48</definedName>
    <definedName name="SLD.104.C.0.06.2000.00.00.DGAAPR13">324692.86</definedName>
    <definedName name="SLD.104.C.0.06.2000.00.00.DGAAPR17">-432759.84</definedName>
    <definedName name="SLD.104.C.0.06.2000.00.00.DGAAPR18">-93497.57</definedName>
    <definedName name="SLD.104.C.0.06.2000.00.00.DGAAPR19">0</definedName>
    <definedName name="SLD.104.C.0.06.2000.00.00.DGAAPR20">-2005.06</definedName>
    <definedName name="SLD.104.C.0.06.2000.00.00.DGAAPR21">1185700.93</definedName>
    <definedName name="SLD.104.C.0.06.2000.00.00.DGAAPR22">426852.34</definedName>
    <definedName name="SLD.104.C.0.06.2001.00.00.111020016">833570.65</definedName>
    <definedName name="SLD.104.C.0.06.2001.00.00.113010007">701735.89</definedName>
    <definedName name="SLD.104.C.0.06.2001.00.00.115">0</definedName>
    <definedName name="SLD.104.C.0.06.2001.00.00.11501">0</definedName>
    <definedName name="SLD.104.C.0.06.2001.00.00.11806">1027339.77</definedName>
    <definedName name="SLD.104.C.0.06.2001.00.00.118060002">1027339.77</definedName>
    <definedName name="SLD.104.C.0.06.2001.00.00.121010001">9403115.41</definedName>
    <definedName name="SLD.104.C.0.06.2001.00.00.12502">384873.25</definedName>
    <definedName name="SLD.104.C.0.06.2001.00.00.12806">34679.11</definedName>
    <definedName name="SLD.104.C.0.06.2001.00.00.128060001">7520.91</definedName>
    <definedName name="SLD.104.C.0.06.2001.00.00.128060002">8760.65</definedName>
    <definedName name="SLD.104.C.0.06.2001.00.00.128060003">17063.45</definedName>
    <definedName name="SLD.104.C.0.06.2001.00.00.128060004">0</definedName>
    <definedName name="SLD.104.C.0.06.2001.00.00.128060005">1334.1</definedName>
    <definedName name="SLD.104.C.0.06.2001.00.00.211">310284.1</definedName>
    <definedName name="SLD.104.C.0.06.2001.00.00.211030001">0</definedName>
    <definedName name="SLD.104.C.0.06.2001.00.00.213">354051.02</definedName>
    <definedName name="SLD.104.C.0.06.2001.00.00.213020003">99079.59</definedName>
    <definedName name="SLD.104.C.0.06.2001.00.00.21401">1870805.72</definedName>
    <definedName name="SLD.104.C.0.06.2001.00.00.214010001">18422.01</definedName>
    <definedName name="SLD.104.C.0.06.2001.00.00.21402">47328</definedName>
    <definedName name="SLD.104.C.0.06.2001.00.00.21404">207.99</definedName>
    <definedName name="SLD.104.C.0.06.2001.00.00.215">0</definedName>
    <definedName name="SLD.104.C.0.06.2001.00.00.21801">1312089.32</definedName>
    <definedName name="SLD.104.C.0.06.2001.00.00.218010001">1</definedName>
    <definedName name="SLD.104.C.0.06.2001.00.00.218010002">30119.25</definedName>
    <definedName name="SLD.104.C.0.06.2001.00.00.218010007">1192689.68</definedName>
    <definedName name="SLD.104.C.0.06.2001.00.00.218010008">89279.39</definedName>
    <definedName name="SLD.104.C.0.06.2001.00.00.21802">180556.83</definedName>
    <definedName name="SLD.104.C.0.06.2001.00.00.218020001">0</definedName>
    <definedName name="SLD.104.C.0.06.2001.00.00.218020002">180556.83</definedName>
    <definedName name="SLD.104.C.0.06.2001.00.00.218020003">0</definedName>
    <definedName name="SLD.104.C.0.06.2001.00.00.21803">0</definedName>
    <definedName name="SLD.104.C.0.06.2001.00.00.221">86740579.69</definedName>
    <definedName name="SLD.104.C.0.06.2001.00.00.241">35168000</definedName>
    <definedName name="SLD.104.C.0.06.2001.00.00.331">-5184887.11</definedName>
    <definedName name="SLD.104.C.0.06.2001.00.00.346080064">-59891.81</definedName>
    <definedName name="SLD.104.C.0.06.2001.00.00.351010001">888173.2</definedName>
    <definedName name="SLD.104.C.0.06.2001.00.00.351010004">-5751.13</definedName>
    <definedName name="SLD.104.C.0.06.2001.00.00.351010005">-26543.75</definedName>
    <definedName name="SLD.104.C.0.06.2001.00.00.352010001">-4676317.87</definedName>
    <definedName name="SLD.104.C.0.06.2001.00.00.361020001">-404940</definedName>
    <definedName name="SLD.104.C.0.06.2001.00.00.361020003">-2483798.8</definedName>
    <definedName name="SLD.104.C.0.06.2001.00.00.364080064">0</definedName>
    <definedName name="SLD.104.C.0.06.2001.00.00.37">-529185.35</definedName>
    <definedName name="SLD.104.C.0.06.2001.00.00.391">-80644.13</definedName>
    <definedName name="SLD.104.C.0.06.2001.00.00.DA0009">2099349.16</definedName>
    <definedName name="SLD.104.C.0.06.2001.00.00.DA0010">2099349.16</definedName>
    <definedName name="SLD.104.C.0.06.2001.00.00.DA0011">138777</definedName>
    <definedName name="SLD.104.C.0.06.2001.00.00.DA0012">15414350.42</definedName>
    <definedName name="SLD.104.C.0.06.2001.00.00.DA0013">5549437.72</definedName>
    <definedName name="SLD.104.C.0.06.2001.00.00.DA0015">1062018.88</definedName>
    <definedName name="SLD.104.C.0.06.2001.00.00.DA0020">0</definedName>
    <definedName name="SLD.104.C.0.06.2001.00.00.DA0030">809293.58</definedName>
    <definedName name="SLD.104.C.0.06.2001.00.00.DAA0050">281973.11</definedName>
    <definedName name="SLD.104.C.0.06.2001.00.00.DAA070">34679.11</definedName>
    <definedName name="SLD.104.C.0.06.2001.00.00.DAA080">1027339.77</definedName>
    <definedName name="SLD.104.C.0.06.2001.00.00.DAAAMORT">-3234161.28</definedName>
    <definedName name="SLD.104.C.0.06.2001.00.00.DAADEPR">-11235525.06</definedName>
    <definedName name="SLD.104.C.0.06.2001.00.00.DAADIFER">8257433.39</definedName>
    <definedName name="SLD.104.C.0.06.2001.00.00.DAAIMOB">86402275.56</definedName>
    <definedName name="SLD.104.C.0.06.2001.00.00.DAAMORTOUT">-9817066.25</definedName>
    <definedName name="SLD.104.C.0.06.2001.00.00.DAAOUT">61200010</definedName>
    <definedName name="SLD.104.C.0.06.2001.00.00.DBB010">87050863.79</definedName>
    <definedName name="SLD.104.C.0.06.2001.00.00.DBB011">320929.43</definedName>
    <definedName name="SLD.104.C.0.06.2001.00.00.DBB012">180556.83</definedName>
    <definedName name="SLD.104.C.0.06.2001.00.00.DBB013">9403115.41</definedName>
    <definedName name="SLD.104.C.0.06.2001.00.00.DBB014">1411168.91</definedName>
    <definedName name="SLD.104.C.0.06.2001.00.00.DBB020">288379.83</definedName>
    <definedName name="SLD.104.C.0.06.2001.00.00.DBB060">1852383.71</definedName>
    <definedName name="SLD.104.C.0.06.2001.00.00.DBB081">86979579.2599999</definedName>
    <definedName name="SLD.104.C.0.06.2001.00.00.DBB110">1312089.32</definedName>
    <definedName name="SLD.104.C.0.06.2001.00.00.DBB120">0</definedName>
    <definedName name="SLD.104.C.0.06.2001.00.00.DBB160">35168000</definedName>
    <definedName name="SLD.104.C.0.06.2001.00.00.DBB171">-35020675.61</definedName>
    <definedName name="SLD.104.C.0.06.2001.00.00.DBB180">-10681460.61</definedName>
    <definedName name="SLD.104.C.0.06.2001.00.00.DGAAPR01">13611481</definedName>
    <definedName name="SLD.104.C.0.06.2001.00.00.DGAAPR02">190075.94</definedName>
    <definedName name="SLD.104.C.0.06.2001.00.00.DGAAPR03">-1184424.11</definedName>
    <definedName name="SLD.104.C.0.06.2001.00.00.DGAAPR13">856586.71</definedName>
    <definedName name="SLD.104.C.0.06.2001.00.00.DGAAPR17">-9795755.26</definedName>
    <definedName name="SLD.104.C.0.06.2001.00.00.DGAAPR18">-78207.69</definedName>
    <definedName name="SLD.104.C.0.06.2001.00.00.DGAAPR19">0</definedName>
    <definedName name="SLD.104.C.0.06.2001.00.00.DGAAPR20">-6736.79</definedName>
    <definedName name="SLD.104.C.0.06.2001.00.00.DGAAPR21">1721572.52</definedName>
    <definedName name="SLD.104.C.0.06.2001.00.00.DGAAPR22">619766.11</definedName>
    <definedName name="SLD.104.C.0.06.2002.00.00.111020016">2319117.7</definedName>
    <definedName name="SLD.104.C.0.06.2002.00.00.113010007">406892.59</definedName>
    <definedName name="SLD.104.C.0.06.2002.00.00.115">0</definedName>
    <definedName name="SLD.104.C.0.06.2002.00.00.11501">0</definedName>
    <definedName name="SLD.104.C.0.06.2002.00.00.11806">0</definedName>
    <definedName name="SLD.104.C.0.06.2002.00.00.118060002">0</definedName>
    <definedName name="SLD.104.C.0.06.2002.00.00.121010001">10385962.33</definedName>
    <definedName name="SLD.104.C.0.06.2002.00.00.12502">1213935.07</definedName>
    <definedName name="SLD.104.C.0.06.2002.00.00.12806">18399.92</definedName>
    <definedName name="SLD.104.C.0.06.2002.00.00.128060001">0</definedName>
    <definedName name="SLD.104.C.0.06.2002.00.00.128060002">0</definedName>
    <definedName name="SLD.104.C.0.06.2002.00.00.128060003">18399.92</definedName>
    <definedName name="SLD.104.C.0.06.2002.00.00.128060004">0</definedName>
    <definedName name="SLD.104.C.0.06.2002.00.00.128060005">0</definedName>
    <definedName name="SLD.104.C.0.06.2002.00.00.13205">61200010</definedName>
    <definedName name="SLD.104.C.0.06.2002.00.00.13206">-12323551.25</definedName>
    <definedName name="SLD.104.C.0.06.2002.00.00.211">0</definedName>
    <definedName name="SLD.104.C.0.06.2002.00.00.213">442812.36</definedName>
    <definedName name="SLD.104.C.0.06.2002.00.00.213020003">116999.3</definedName>
    <definedName name="SLD.104.C.0.06.2002.00.00.21401">296507.77</definedName>
    <definedName name="SLD.104.C.0.06.2002.00.00.214010001">38160.83</definedName>
    <definedName name="SLD.104.C.0.06.2002.00.00.21402">55088.26</definedName>
    <definedName name="SLD.104.C.0.06.2002.00.00.21404">5151.35</definedName>
    <definedName name="SLD.104.C.0.06.2002.00.00.215">0</definedName>
    <definedName name="SLD.104.C.0.06.2002.00.00.21801">4294469.24</definedName>
    <definedName name="SLD.104.C.0.06.2002.00.00.218010001">0</definedName>
    <definedName name="SLD.104.C.0.06.2002.00.00.218010002">30119.25</definedName>
    <definedName name="SLD.104.C.0.06.2002.00.00.218010003">0</definedName>
    <definedName name="SLD.104.C.0.06.2002.00.00.218010007">1175075.02</definedName>
    <definedName name="SLD.104.C.0.06.2002.00.00.218010008">37898.6</definedName>
    <definedName name="SLD.104.C.0.06.2002.00.00.218010009">3722.34</definedName>
    <definedName name="SLD.104.C.0.06.2002.00.00.218010010">3047654.03</definedName>
    <definedName name="SLD.104.C.0.06.2002.00.00.21802">461748.61</definedName>
    <definedName name="SLD.104.C.0.06.2002.00.00.218020002">461748.61</definedName>
    <definedName name="SLD.104.C.0.06.2002.00.00.21803">0</definedName>
    <definedName name="SLD.104.C.0.06.2002.00.00.221">91340013.34</definedName>
    <definedName name="SLD.104.C.0.06.2002.00.00.241">35168000</definedName>
    <definedName name="SLD.104.C.0.06.2002.00.00.311010001">11597372.2</definedName>
    <definedName name="SLD.104.C.0.06.2002.00.00.311010002">2891759.5</definedName>
    <definedName name="SLD.104.C.0.06.2002.00.00.311020001">112070.07</definedName>
    <definedName name="SLD.104.C.0.06.2002.00.00.311020002">49895.03</definedName>
    <definedName name="SLD.104.C.0.06.2002.00.00.311020003">42929.64</definedName>
    <definedName name="SLD.104.C.0.06.2002.00.00.32101">-1253309.88</definedName>
    <definedName name="SLD.104.C.0.06.2002.00.00.32102">-7417.01</definedName>
    <definedName name="SLD.104.C.0.06.2002.00.00.331010001">-1811798.7</definedName>
    <definedName name="SLD.104.C.0.06.2002.00.00.331010002">-2305182.56</definedName>
    <definedName name="SLD.104.C.0.06.2002.00.00.331010003">-14830.38</definedName>
    <definedName name="SLD.104.C.0.06.2002.00.00.331010004">-1253242.5</definedName>
    <definedName name="SLD.104.C.0.06.2002.00.00.33102">0</definedName>
    <definedName name="SLD.104.C.0.06.2002.00.00.341">-1257381.98</definedName>
    <definedName name="SLD.104.C.0.06.2002.00.00.342">-2001328.25</definedName>
    <definedName name="SLD.104.C.0.06.2002.00.00.343">-78825.95</definedName>
    <definedName name="SLD.104.C.0.06.2002.00.00.344">-247196.74</definedName>
    <definedName name="SLD.104.C.0.06.2002.00.00.345">-384110.59</definedName>
    <definedName name="SLD.104.C.0.06.2002.00.00.346">-536146.46</definedName>
    <definedName name="SLD.104.C.0.06.2002.00.00.346080064">-116181.65</definedName>
    <definedName name="SLD.104.C.0.06.2002.00.00.347010058">-398041.26</definedName>
    <definedName name="SLD.104.C.0.06.2002.00.00.34702">-434735.1</definedName>
    <definedName name="SLD.104.C.0.06.2002.00.00.34704">-15700</definedName>
    <definedName name="SLD.104.C.0.06.2002.00.00.34705">0</definedName>
    <definedName name="SLD.104.C.0.06.2002.00.00.347060001">-13926.01</definedName>
    <definedName name="SLD.104.C.0.06.2002.00.00.349">2573075.65</definedName>
    <definedName name="SLD.104.C.0.06.2002.00.00.351010001">0</definedName>
    <definedName name="SLD.104.C.0.06.2002.00.00.351010002">0</definedName>
    <definedName name="SLD.104.C.0.06.2002.00.00.351010004">-6443.73</definedName>
    <definedName name="SLD.104.C.0.06.2002.00.00.351010005">-29740.15</definedName>
    <definedName name="SLD.104.C.0.06.2002.00.00.351010006">12713.55</definedName>
    <definedName name="SLD.104.C.0.06.2002.00.00.351010007">865041.98</definedName>
    <definedName name="SLD.104.C.0.06.2002.00.00.351010008">143597.57</definedName>
    <definedName name="SLD.104.C.0.06.2002.00.00.352010001">-3179971.4</definedName>
    <definedName name="SLD.104.C.0.06.2002.00.00.352010006">-25311.64</definedName>
    <definedName name="SLD.104.C.0.06.2002.00.00.352010009">-334558.35</definedName>
    <definedName name="SLD.104.C.0.06.2002.00.00.361010002">3.97</definedName>
    <definedName name="SLD.104.C.0.06.2002.00.00.361020001">-400988.81</definedName>
    <definedName name="SLD.104.C.0.06.2002.00.00.361020003">-2817717.1</definedName>
    <definedName name="SLD.104.C.0.06.2002.00.00.37102">0</definedName>
    <definedName name="SLD.104.C.0.06.2002.00.00.371030001">0</definedName>
    <definedName name="SLD.104.C.0.06.2002.00.00.371030002">-451506.96</definedName>
    <definedName name="SLD.104.C.0.06.2002.00.00.381010001">0</definedName>
    <definedName name="SLD.104.C.0.06.2002.00.00.381020001">0</definedName>
    <definedName name="SLD.104.C.0.06.2002.00.00.391010001">-130304.95</definedName>
    <definedName name="SLD.104.C.0.06.2002.00.00.DA0009">1792459.45</definedName>
    <definedName name="SLD.104.C.0.06.2002.00.00.DA0010">1792459.45</definedName>
    <definedName name="SLD.104.C.0.06.2002.00.00.DA0011">117219.77</definedName>
    <definedName name="SLD.104.C.0.06.2002.00.00.DA0012">15414350.42</definedName>
    <definedName name="SLD.104.C.0.06.2002.00.00.DA0013">5549437.72</definedName>
    <definedName name="SLD.104.C.0.06.2002.00.00.DA0030">539922.43</definedName>
    <definedName name="SLD.104.C.0.06.2002.00.00.DAA0050">612934.36</definedName>
    <definedName name="SLD.104.C.0.06.2002.00.00.DAAAMORT">-4059904.56</definedName>
    <definedName name="SLD.104.C.0.06.2002.00.00.DAADEPR">-15861257.02</definedName>
    <definedName name="SLD.104.C.0.06.2002.00.00.DAADIFER">8257433.39</definedName>
    <definedName name="SLD.104.C.0.06.2002.00.00.DAAIMOB">86978880.55</definedName>
    <definedName name="SLD.104.C.0.06.2002.00.00.DAAMORTOUT">0</definedName>
    <definedName name="SLD.104.C.0.06.2002.00.00.DAAOUT">0</definedName>
    <definedName name="SLD.104.C.0.06.2002.00.00.DBB010">91340013.34</definedName>
    <definedName name="SLD.104.C.0.06.2002.00.00.DBB011">424213.5</definedName>
    <definedName name="SLD.104.C.0.06.2002.00.00.DBB013">10385962.33</definedName>
    <definedName name="SLD.104.C.0.06.2002.00.00.DBB020">204973.35</definedName>
    <definedName name="SLD.104.C.0.06.2002.00.00.DBB060">258346.94</definedName>
    <definedName name="SLD.104.C.0.06.2002.00.00.DBB081">93845982.97</definedName>
    <definedName name="SLD.104.C.0.06.2002.00.00.DBB160">35168000</definedName>
    <definedName name="SLD.104.C.0.06.2002.00.00.DBB171">-50559570.19</definedName>
    <definedName name="SLD.104.C.0.06.2002.00.00.DBB180">-13399826.78</definedName>
    <definedName name="SLD.104.C.0.06.2002.00.00.DGAAPR17">-12279657.07</definedName>
    <definedName name="SLD.104.C.0.06.2002.00.00.DGAAPR20">-18912.41</definedName>
    <definedName name="SLD.104.C.0.07.1999.00.00.DGAAPR21">4432000</definedName>
    <definedName name="SLD.104.C.0.07.1999.00.00.DGAAPR22">1418000</definedName>
    <definedName name="SLD.104.C.0.09.2000.00.00.111020016">638582.16</definedName>
    <definedName name="SLD.104.C.0.09.2000.00.00.115">212045.9</definedName>
    <definedName name="SLD.104.C.0.09.2000.00.00.11501">212045.9</definedName>
    <definedName name="SLD.104.C.0.09.2000.00.00.11806">45678.12</definedName>
    <definedName name="SLD.104.C.0.09.2000.00.00.118060002">45678.12</definedName>
    <definedName name="SLD.104.C.0.09.2000.00.00.121010001">8154899.4</definedName>
    <definedName name="SLD.104.C.0.09.2000.00.00.12502">0</definedName>
    <definedName name="SLD.104.C.0.09.2000.00.00.12806">17615.66</definedName>
    <definedName name="SLD.104.C.0.09.2000.00.00.128060001">7520.91</definedName>
    <definedName name="SLD.104.C.0.09.2000.00.00.128060002">8760.65</definedName>
    <definedName name="SLD.104.C.0.09.2000.00.00.128060003">0</definedName>
    <definedName name="SLD.104.C.0.09.2000.00.00.128060004">0</definedName>
    <definedName name="SLD.104.C.0.09.2000.00.00.128060005">1334.1</definedName>
    <definedName name="SLD.104.C.0.09.2000.00.00.211">591047.31</definedName>
    <definedName name="SLD.104.C.0.09.2000.00.00.213">396612.85</definedName>
    <definedName name="SLD.104.C.0.09.2000.00.00.213020003">108185.84</definedName>
    <definedName name="SLD.104.C.0.09.2000.00.00.21401">865389.15</definedName>
    <definedName name="SLD.104.C.0.09.2000.00.00.214010001">5195.64</definedName>
    <definedName name="SLD.104.C.0.09.2000.00.00.21402">46935.57</definedName>
    <definedName name="SLD.104.C.0.09.2000.00.00.21404">5015.58</definedName>
    <definedName name="SLD.104.C.0.09.2000.00.00.215">0</definedName>
    <definedName name="SLD.104.C.0.09.2000.00.00.21801">1653075.61</definedName>
    <definedName name="SLD.104.C.0.09.2000.00.00.218010001">1</definedName>
    <definedName name="SLD.104.C.0.09.2000.00.00.218010002">30119.25</definedName>
    <definedName name="SLD.104.C.0.09.2000.00.00.218010003">349987.7</definedName>
    <definedName name="SLD.104.C.0.09.2000.00.00.218010007">1192689.68</definedName>
    <definedName name="SLD.104.C.0.09.2000.00.00.218010008">80277.98</definedName>
    <definedName name="SLD.104.C.0.09.2000.00.00.21802">104501.43</definedName>
    <definedName name="SLD.104.C.0.09.2000.00.00.218020002">104501.43</definedName>
    <definedName name="SLD.104.C.0.09.2000.00.00.21803">0</definedName>
    <definedName name="SLD.104.C.0.09.2000.00.00.221">81807924.5899999</definedName>
    <definedName name="SLD.104.C.0.09.2000.00.00.241">35168000</definedName>
    <definedName name="SLD.104.C.0.09.2000.00.00.3">-6976156.05</definedName>
    <definedName name="SLD.104.C.0.09.2000.00.00.311010001">13126381.8</definedName>
    <definedName name="SLD.104.C.0.09.2000.00.00.311010002">2857462.65</definedName>
    <definedName name="SLD.104.C.0.09.2000.00.00.311010003">0</definedName>
    <definedName name="SLD.104.C.0.09.2000.00.00.311020001">119406.51</definedName>
    <definedName name="SLD.104.C.0.09.2000.00.00.311020002">24750.06</definedName>
    <definedName name="SLD.104.C.0.09.2000.00.00.311020003">128592</definedName>
    <definedName name="SLD.104.C.0.09.2000.00.00.32101">-1382287.4</definedName>
    <definedName name="SLD.104.C.0.09.2000.00.00.32102">-11616.95</definedName>
    <definedName name="SLD.104.C.0.09.2000.00.00.331">-7566387.77</definedName>
    <definedName name="SLD.104.C.0.09.2000.00.00.331010001">-2379588.32</definedName>
    <definedName name="SLD.104.C.0.09.2000.00.00.331010002">-3282102.63</definedName>
    <definedName name="SLD.104.C.0.09.2000.00.00.331010003">-22245.57</definedName>
    <definedName name="SLD.104.C.0.09.2000.00.00.331010004">-1879863.75</definedName>
    <definedName name="SLD.104.C.0.09.2000.00.00.33102">-2587.5</definedName>
    <definedName name="SLD.104.C.0.09.2000.00.00.341">-1638690.82</definedName>
    <definedName name="SLD.104.C.0.09.2000.00.00.342">-3852213.12</definedName>
    <definedName name="SLD.104.C.0.09.2000.00.00.343">-158809.05</definedName>
    <definedName name="SLD.104.C.0.09.2000.00.00.344">-488100.11</definedName>
    <definedName name="SLD.104.C.0.09.2000.00.00.345">-440068.53</definedName>
    <definedName name="SLD.104.C.0.09.2000.00.00.346">-734457.65</definedName>
    <definedName name="SLD.104.C.0.09.2000.00.00.346080064">-86734.39</definedName>
    <definedName name="SLD.104.C.0.09.2000.00.00.347010058">-597061.89</definedName>
    <definedName name="SLD.104.C.0.09.2000.00.00.34702">-479326.22</definedName>
    <definedName name="SLD.104.C.0.09.2000.00.00.34704">-50725</definedName>
    <definedName name="SLD.104.C.0.09.2000.00.00.347050001">0</definedName>
    <definedName name="SLD.104.C.0.09.2000.00.00.347060001">0</definedName>
    <definedName name="SLD.104.C.0.09.2000.00.00.349">4293680.92</definedName>
    <definedName name="SLD.104.C.0.09.2000.00.00.351010001">650344.14</definedName>
    <definedName name="SLD.104.C.0.09.2000.00.00.351010002">0</definedName>
    <definedName name="SLD.104.C.0.09.2000.00.00.351010004">-4292.24</definedName>
    <definedName name="SLD.104.C.0.09.2000.00.00.351010005">-19815.44</definedName>
    <definedName name="SLD.104.C.0.09.2000.00.00.351010006">0</definedName>
    <definedName name="SLD.104.C.0.09.2000.00.00.351010007">0</definedName>
    <definedName name="SLD.104.C.0.09.2000.00.00.351010008">0</definedName>
    <definedName name="SLD.104.C.0.09.2000.00.00.352010001">-6530245.37</definedName>
    <definedName name="SLD.104.C.0.09.2000.00.00.352010006">0</definedName>
    <definedName name="SLD.104.C.0.09.2000.00.00.361010002">273.5</definedName>
    <definedName name="SLD.104.C.0.09.2000.00.00.361020001">-1000400.39</definedName>
    <definedName name="SLD.104.C.0.09.2000.00.00.361020003">-5038143.56</definedName>
    <definedName name="SLD.104.C.0.09.2000.00.00.37">5545.91</definedName>
    <definedName name="SLD.104.C.0.09.2000.00.00.37102">5545.91</definedName>
    <definedName name="SLD.104.C.0.09.2000.00.00.371030001">0</definedName>
    <definedName name="SLD.104.C.0.09.2000.00.00.371030002">0</definedName>
    <definedName name="SLD.104.C.0.09.2000.00.00.381010001">951279.92</definedName>
    <definedName name="SLD.104.C.0.09.2000.00.00.381020001">2642497.44</definedName>
    <definedName name="SLD.104.C.0.09.2000.00.00.391">-65090.41</definedName>
    <definedName name="SLD.104.C.0.09.2000.00.00.391010001">-65090.41</definedName>
    <definedName name="SLD.104.C.0.09.2000.00.00.DA0009">1444487.99</definedName>
    <definedName name="SLD.104.C.0.09.2000.00.00.DA0010">1444487.99</definedName>
    <definedName name="SLD.104.C.0.09.2000.00.00.DA0011">129373.26</definedName>
    <definedName name="SLD.104.C.0.09.2000.00.00.DA0012">13450093.71</definedName>
    <definedName name="SLD.104.C.0.09.2000.00.00.DA0013">4424257.96</definedName>
    <definedName name="SLD.104.C.0.09.2000.00.00.DA0015">275339.68</definedName>
    <definedName name="SLD.104.C.0.09.2000.00.00.DA0020">0</definedName>
    <definedName name="SLD.104.C.0.09.2000.00.00.DA0030">361857.43</definedName>
    <definedName name="SLD.104.C.0.09.2000.00.00.DAA0050">244011.65</definedName>
    <definedName name="SLD.104.C.0.09.2000.00.00.DAAAMORT">-2614853.82</definedName>
    <definedName name="SLD.104.C.0.09.2000.00.00.DAADEPR">-7830974.94</definedName>
    <definedName name="SLD.104.C.0.09.2000.00.00.DAADIFER">8257433.39</definedName>
    <definedName name="SLD.104.C.0.09.2000.00.00.DAAIMOB">88349877.07</definedName>
    <definedName name="SLD.104.C.0.09.2000.00.00.DAAMORTOUT">-7937202.5</definedName>
    <definedName name="SLD.104.C.0.09.2000.00.00.DAAOUT">61200010</definedName>
    <definedName name="SLD.104.C.0.09.2000.00.00.DBB010">82398971.8999999</definedName>
    <definedName name="SLD.104.C.0.09.2000.00.00.DBB011">345573.8</definedName>
    <definedName name="SLD.104.C.0.09.2000.00.00.DBB012">104501.43</definedName>
    <definedName name="SLD.104.C.0.09.2000.00.00.DBB013">8154899.4</definedName>
    <definedName name="SLD.104.C.0.09.2000.00.00.DBB014">1761261.45</definedName>
    <definedName name="SLD.104.C.0.09.2000.00.00.DBB020">321340.79</definedName>
    <definedName name="SLD.104.C.0.09.2000.00.00.DBB060">860193.51</definedName>
    <definedName name="SLD.104.C.0.09.2000.00.00.DBB081">83678715.7199999</definedName>
    <definedName name="SLD.104.C.0.09.2000.00.00.DBB160">35168000</definedName>
    <definedName name="SLD.104.C.0.09.2000.00.00.DBB171">-29115210.11</definedName>
    <definedName name="SLD.104.C.0.09.2000.00.00.DBB180">-6976156.05</definedName>
    <definedName name="SLD.104.C.0.09.2000.00.00.DGAAPR01">15983844.45</definedName>
    <definedName name="SLD.104.C.0.09.2000.00.00.DGAAPR02">272748.57</definedName>
    <definedName name="SLD.104.C.0.09.2000.00.00.DGAAPR03">-1393904.35</definedName>
    <definedName name="SLD.104.C.0.09.2000.00.00.DGAAPR17">-1715749.03</definedName>
    <definedName name="SLD.104.C.0.09.2000.00.00.DGAAPR19">0</definedName>
    <definedName name="SLD.104.C.0.09.2000.00.00.DGAAPR20">-2889.95</definedName>
    <definedName name="SLD.104.C.0.09.2000.00.00.DGAAPR21">2642497.44</definedName>
    <definedName name="SLD.104.C.0.09.2000.00.00.DGAAPR22">951279.92</definedName>
    <definedName name="SLD.104.C.0.09.2001.00.00.111020016">2246955.39</definedName>
    <definedName name="SLD.104.C.0.09.2001.00.00.113010007">443799.89</definedName>
    <definedName name="SLD.104.C.0.09.2001.00.00.115">0</definedName>
    <definedName name="SLD.104.C.0.09.2001.00.00.11501">0</definedName>
    <definedName name="SLD.104.C.0.09.2001.00.00.11806">1283017.34</definedName>
    <definedName name="SLD.104.C.0.09.2001.00.00.118060002">1283017.34</definedName>
    <definedName name="SLD.104.C.0.09.2001.00.00.121010001">9869051.61</definedName>
    <definedName name="SLD.104.C.0.09.2001.00.00.12502">410611.86</definedName>
    <definedName name="SLD.104.C.0.09.2001.00.00.12806">39491.91</definedName>
    <definedName name="SLD.104.C.0.09.2001.00.00.128060001">7520.91</definedName>
    <definedName name="SLD.104.C.0.09.2001.00.00.128060002">8760.65</definedName>
    <definedName name="SLD.104.C.0.09.2001.00.00.128060003">21876.25</definedName>
    <definedName name="SLD.104.C.0.09.2001.00.00.128060004">0</definedName>
    <definedName name="SLD.104.C.0.09.2001.00.00.128060005">1334.1</definedName>
    <definedName name="SLD.104.C.0.09.2001.00.00.13202">-44915.47</definedName>
    <definedName name="SLD.104.C.0.09.2001.00.00.211">223839.36</definedName>
    <definedName name="SLD.104.C.0.09.2001.00.00.213">325695.08</definedName>
    <definedName name="SLD.104.C.0.09.2001.00.00.213020003">110682.8</definedName>
    <definedName name="SLD.104.C.0.09.2001.00.00.21401">2162171.66</definedName>
    <definedName name="SLD.104.C.0.09.2001.00.00.214010001">17498.69</definedName>
    <definedName name="SLD.104.C.0.09.2001.00.00.21402">43262.2</definedName>
    <definedName name="SLD.104.C.0.09.2001.00.00.21404">2479.8</definedName>
    <definedName name="SLD.104.C.0.09.2001.00.00.215">19500</definedName>
    <definedName name="SLD.104.C.0.09.2001.00.00.21801">1385118.86</definedName>
    <definedName name="SLD.104.C.0.09.2001.00.00.218010001">1</definedName>
    <definedName name="SLD.104.C.0.09.2001.00.00.218010002">30119.25</definedName>
    <definedName name="SLD.104.C.0.09.2001.00.00.218010007">1192689.68</definedName>
    <definedName name="SLD.104.C.0.09.2001.00.00.218010008">162308.93</definedName>
    <definedName name="SLD.104.C.0.09.2001.00.00.218010009">0</definedName>
    <definedName name="SLD.104.C.0.09.2001.00.00.21802">98743.45</definedName>
    <definedName name="SLD.104.C.0.09.2001.00.00.218020002">98743.45</definedName>
    <definedName name="SLD.104.C.0.09.2001.00.00.21803">0</definedName>
    <definedName name="SLD.104.C.0.09.2001.00.00.221">97856373.48</definedName>
    <definedName name="SLD.104.C.0.09.2001.00.00.241">35168000</definedName>
    <definedName name="SLD.104.C.0.09.2001.00.00.3">-24525672.1699999</definedName>
    <definedName name="SLD.104.C.0.09.2001.00.00.311010001">15303468.7</definedName>
    <definedName name="SLD.104.C.0.09.2001.00.00.311010002">3800700.3</definedName>
    <definedName name="SLD.104.C.0.09.2001.00.00.311010003">0</definedName>
    <definedName name="SLD.104.C.0.09.2001.00.00.311020001">160081.85</definedName>
    <definedName name="SLD.104.C.0.09.2001.00.00.311020002">70057.8</definedName>
    <definedName name="SLD.104.C.0.09.2001.00.00.311020003">58500</definedName>
    <definedName name="SLD.104.C.0.09.2001.00.00.32101">-1652603.85</definedName>
    <definedName name="SLD.104.C.0.09.2001.00.00.32102">-10535.35</definedName>
    <definedName name="SLD.104.C.0.09.2001.00.00.331">-7750341.05</definedName>
    <definedName name="SLD.104.C.0.09.2001.00.00.331010001">-2405960.81</definedName>
    <definedName name="SLD.104.C.0.09.2001.00.00.331010002">-3442270.92</definedName>
    <definedName name="SLD.104.C.0.09.2001.00.00.331010003">-22245.57</definedName>
    <definedName name="SLD.104.C.0.09.2001.00.00.331010004">-1879863.75</definedName>
    <definedName name="SLD.104.C.0.09.2001.00.00.33102">0</definedName>
    <definedName name="SLD.104.C.0.09.2001.00.00.341">-1635032.15</definedName>
    <definedName name="SLD.104.C.0.09.2001.00.00.342">-3593744.17</definedName>
    <definedName name="SLD.104.C.0.09.2001.00.00.343">-116828.86</definedName>
    <definedName name="SLD.104.C.0.09.2001.00.00.344">-355679.99</definedName>
    <definedName name="SLD.104.C.0.09.2001.00.00.345">-501729.8</definedName>
    <definedName name="SLD.104.C.0.09.2001.00.00.346">-917825.56</definedName>
    <definedName name="SLD.104.C.0.09.2001.00.00.346080064">-77111.97</definedName>
    <definedName name="SLD.104.C.0.09.2001.00.00.347010058">-597061.89</definedName>
    <definedName name="SLD.104.C.0.09.2001.00.00.34702">-573180.99</definedName>
    <definedName name="SLD.104.C.0.09.2001.00.00.34704">-56400</definedName>
    <definedName name="SLD.104.C.0.09.2001.00.00.34705">0</definedName>
    <definedName name="SLD.104.C.0.09.2001.00.00.347050001">0</definedName>
    <definedName name="SLD.104.C.0.09.2001.00.00.347060001">-14827.64</definedName>
    <definedName name="SLD.104.C.0.09.2001.00.00.349">3670428.23</definedName>
    <definedName name="SLD.104.C.0.09.2001.00.00.351010001">0</definedName>
    <definedName name="SLD.104.C.0.09.2001.00.00.351010002">205.5</definedName>
    <definedName name="SLD.104.C.0.09.2001.00.00.351010004">-10067.45</definedName>
    <definedName name="SLD.104.C.0.09.2001.00.00.351010005">-46465.18</definedName>
    <definedName name="SLD.104.C.0.09.2001.00.00.351010006">122990.65</definedName>
    <definedName name="SLD.104.C.0.09.2001.00.00.351010007">1003746.63</definedName>
    <definedName name="SLD.104.C.0.09.2001.00.00.351010008">305778.04</definedName>
    <definedName name="SLD.104.C.0.09.2001.00.00.351010009">0</definedName>
    <definedName name="SLD.104.C.0.09.2001.00.00.352010001">-7262055.97</definedName>
    <definedName name="SLD.104.C.0.09.2001.00.00.352010006">0</definedName>
    <definedName name="SLD.104.C.0.09.2001.00.00.352010009">0</definedName>
    <definedName name="SLD.104.C.0.09.2001.00.00.361010002">1453.63</definedName>
    <definedName name="SLD.104.C.0.09.2001.00.00.361020001">-620396.69</definedName>
    <definedName name="SLD.104.C.0.09.2001.00.00.361020003">-5148632.97</definedName>
    <definedName name="SLD.104.C.0.09.2001.00.00.37">-914315.28</definedName>
    <definedName name="SLD.104.C.0.09.2001.00.00.37102">0</definedName>
    <definedName name="SLD.104.C.0.09.2001.00.00.371030001">0</definedName>
    <definedName name="SLD.104.C.0.09.2001.00.00.371030002">-914315.28</definedName>
    <definedName name="SLD.104.C.0.09.2001.00.00.381010001">619766.11</definedName>
    <definedName name="SLD.104.C.0.09.2001.00.00.381020001">1721572.52</definedName>
    <definedName name="SLD.104.C.0.09.2001.00.00.391">-81349.27</definedName>
    <definedName name="SLD.104.C.0.09.2001.00.00.391010001">-81349.27</definedName>
    <definedName name="SLD.104.C.0.09.2001.00.00.DA0009">2098818.12</definedName>
    <definedName name="SLD.104.C.0.09.2001.00.00.DA0010">2098818.12</definedName>
    <definedName name="SLD.104.C.0.09.2001.00.00.DA0011">141431.96</definedName>
    <definedName name="SLD.104.C.0.09.2001.00.00.DA0012">15414350.42</definedName>
    <definedName name="SLD.104.C.0.09.2001.00.00.DA0013">5549437.72</definedName>
    <definedName name="SLD.104.C.0.09.2001.00.00.DA0020">0</definedName>
    <definedName name="SLD.104.C.0.09.2001.00.00.DA0030">592234.27</definedName>
    <definedName name="SLD.104.C.0.09.2001.00.00.DAA0050">270032.61</definedName>
    <definedName name="SLD.104.C.0.09.2001.00.00.DAA070">0</definedName>
    <definedName name="SLD.104.C.0.09.2001.00.00.DAA080">1283017.34</definedName>
    <definedName name="SLD.104.C.0.09.2001.00.00.DAAAMORT">-3440597.1</definedName>
    <definedName name="SLD.104.C.0.09.2001.00.00.DAADEPR">-12386752.14</definedName>
    <definedName name="SLD.104.C.0.09.2001.00.00.DAADIFER">8257433.39</definedName>
    <definedName name="SLD.104.C.0.09.2001.00.00.DAAIMOB">86497735.68</definedName>
    <definedName name="SLD.104.C.0.09.2001.00.00.DAAMORTOUT">-10443687.5</definedName>
    <definedName name="SLD.104.C.0.09.2001.00.00.DAAOUT">61200010</definedName>
    <definedName name="SLD.104.C.0.09.2001.00.00.DBB010">98080212.84</definedName>
    <definedName name="SLD.104.C.0.09.2001.00.00.DBB011">278252.97</definedName>
    <definedName name="SLD.104.C.0.09.2001.00.00.DBB012">118243.45</definedName>
    <definedName name="SLD.104.C.0.09.2001.00.00.DBB013">9869051.61</definedName>
    <definedName name="SLD.104.C.0.09.2001.00.00.DBB020">216315.84</definedName>
    <definedName name="SLD.104.C.0.09.2001.00.00.DBB060">2144672.97</definedName>
    <definedName name="SLD.104.C.0.09.2001.00.00.DBB081">89644413.4299999</definedName>
    <definedName name="SLD.104.C.0.09.2001.00.00.DBB110">1329738.34</definedName>
    <definedName name="SLD.104.C.0.09.2001.00.00.DBB120">0</definedName>
    <definedName name="SLD.104.C.0.09.2001.00.00.DBB160">35168000</definedName>
    <definedName name="SLD.104.C.0.09.2001.00.00.DBB171">-35020675.61</definedName>
    <definedName name="SLD.104.C.0.09.2001.00.00.DBB180">-24525662.01</definedName>
    <definedName name="SLD.104.C.0.09.2001.00.00.DGAAPR01">19104169</definedName>
    <definedName name="SLD.104.C.0.09.2001.00.00.DGAAPR02">288639.65</definedName>
    <definedName name="SLD.104.C.0.09.2001.00.00.DGAAPR03">-1663139.2</definedName>
    <definedName name="SLD.104.C.0.09.2001.00.00.DGAAPR17">-19492270.92</definedName>
    <definedName name="SLD.104.C.0.09.2001.00.00.DGAAPR19">0</definedName>
    <definedName name="SLD.104.C.0.09.2001.00.00.DGAAPR20">-13066.94</definedName>
    <definedName name="SLD.104.C.0.09.2001.00.00.DGAAPR21">1721572.52</definedName>
    <definedName name="SLD.104.C.0.09.2001.00.00.DGAAPR22">619766.11</definedName>
    <definedName name="SLD.104.C.0.09.2002.00.00.111020016">0</definedName>
    <definedName name="SLD.104.C.0.09.2002.00.00.113010007">0</definedName>
    <definedName name="SLD.104.C.0.09.2002.00.00.115">0</definedName>
    <definedName name="SLD.104.C.0.09.2002.00.00.11806">0</definedName>
    <definedName name="SLD.104.C.0.09.2002.00.00.12502">0</definedName>
    <definedName name="SLD.104.C.0.09.2002.00.00.128060001">0</definedName>
    <definedName name="SLD.104.C.0.09.2002.00.00.128060002">0</definedName>
    <definedName name="SLD.104.C.0.09.2002.00.00.128060003">0</definedName>
    <definedName name="SLD.104.C.0.09.2002.00.00.128060005">0</definedName>
    <definedName name="SLD.104.C.0.09.2002.00.00.213020003">0</definedName>
    <definedName name="SLD.104.C.0.09.2002.00.00.215">0</definedName>
    <definedName name="SLD.104.C.0.09.2002.00.00.218010001">0</definedName>
    <definedName name="SLD.104.C.0.09.2002.00.00.218010002">0</definedName>
    <definedName name="SLD.104.C.0.09.2002.00.00.218010007">0</definedName>
    <definedName name="SLD.104.C.0.09.2002.00.00.218010008">0</definedName>
    <definedName name="SLD.104.C.0.09.2002.00.00.21802">0</definedName>
    <definedName name="SLD.104.C.0.09.2002.00.00.311010001">0</definedName>
    <definedName name="SLD.104.C.0.09.2002.00.00.311010002">0</definedName>
    <definedName name="SLD.104.C.0.09.2002.00.00.311020001">0</definedName>
    <definedName name="SLD.104.C.0.09.2002.00.00.311020002">0</definedName>
    <definedName name="SLD.104.C.0.09.2002.00.00.311020003">0</definedName>
    <definedName name="SLD.104.C.0.09.2002.00.00.32101">0</definedName>
    <definedName name="SLD.104.C.0.09.2002.00.00.32102">0</definedName>
    <definedName name="SLD.104.C.0.09.2002.00.00.331010001">0</definedName>
    <definedName name="SLD.104.C.0.09.2002.00.00.331010002">0</definedName>
    <definedName name="SLD.104.C.0.09.2002.00.00.331010003">0</definedName>
    <definedName name="SLD.104.C.0.09.2002.00.00.331010004">0</definedName>
    <definedName name="SLD.104.C.0.09.2002.00.00.33102">0</definedName>
    <definedName name="SLD.104.C.0.09.2002.00.00.341">0</definedName>
    <definedName name="SLD.104.C.0.09.2002.00.00.342">0</definedName>
    <definedName name="SLD.104.C.0.09.2002.00.00.343">0</definedName>
    <definedName name="SLD.104.C.0.09.2002.00.00.344">0</definedName>
    <definedName name="SLD.104.C.0.09.2002.00.00.345">0</definedName>
    <definedName name="SLD.104.C.0.09.2002.00.00.346">0</definedName>
    <definedName name="SLD.104.C.0.09.2002.00.00.346080064">0</definedName>
    <definedName name="SLD.104.C.0.09.2002.00.00.347010058">0</definedName>
    <definedName name="SLD.104.C.0.09.2002.00.00.34702">0</definedName>
    <definedName name="SLD.104.C.0.09.2002.00.00.34704">0</definedName>
    <definedName name="SLD.104.C.0.09.2002.00.00.34705">0</definedName>
    <definedName name="SLD.104.C.0.09.2002.00.00.347060001">0</definedName>
    <definedName name="SLD.104.C.0.09.2002.00.00.349">0</definedName>
    <definedName name="SLD.104.C.0.09.2002.00.00.351010001">0</definedName>
    <definedName name="SLD.104.C.0.09.2002.00.00.351010002">0</definedName>
    <definedName name="SLD.104.C.0.09.2002.00.00.351010004">0</definedName>
    <definedName name="SLD.104.C.0.09.2002.00.00.351010005">0</definedName>
    <definedName name="SLD.104.C.0.09.2002.00.00.351010006">0</definedName>
    <definedName name="SLD.104.C.0.09.2002.00.00.351010007">0</definedName>
    <definedName name="SLD.104.C.0.09.2002.00.00.351010008">0</definedName>
    <definedName name="SLD.104.C.0.09.2002.00.00.352010001">0</definedName>
    <definedName name="SLD.104.C.0.09.2002.00.00.352010006">0</definedName>
    <definedName name="SLD.104.C.0.09.2002.00.00.352010009">0</definedName>
    <definedName name="SLD.104.C.0.09.2002.00.00.361010002">0</definedName>
    <definedName name="SLD.104.C.0.09.2002.00.00.361020001">0</definedName>
    <definedName name="SLD.104.C.0.09.2002.00.00.361020003">0</definedName>
    <definedName name="SLD.104.C.0.09.2002.00.00.37102">0</definedName>
    <definedName name="SLD.104.C.0.09.2002.00.00.371030001">0</definedName>
    <definedName name="SLD.104.C.0.09.2002.00.00.371030002">0</definedName>
    <definedName name="SLD.104.C.0.09.2002.00.00.381010001">0</definedName>
    <definedName name="SLD.104.C.0.09.2002.00.00.381020001">0</definedName>
    <definedName name="SLD.104.C.0.09.2002.00.00.391010001">0</definedName>
    <definedName name="SLD.104.C.0.09.2002.00.00.DA0010">0</definedName>
    <definedName name="SLD.104.C.0.09.2002.00.00.DA0011">0</definedName>
    <definedName name="SLD.104.C.0.09.2002.00.00.DA0012">0</definedName>
    <definedName name="SLD.104.C.0.09.2002.00.00.DA0013">0</definedName>
    <definedName name="SLD.104.C.0.09.2002.00.00.DA0030">0</definedName>
    <definedName name="SLD.104.C.0.09.2002.00.00.DAA0050">0</definedName>
    <definedName name="SLD.104.C.0.09.2002.00.00.DAAAMORT">0</definedName>
    <definedName name="SLD.104.C.0.09.2002.00.00.DAADEPR">0</definedName>
    <definedName name="SLD.104.C.0.09.2002.00.00.DAADIFER">0</definedName>
    <definedName name="SLD.104.C.0.09.2002.00.00.DAAIMOB">0</definedName>
    <definedName name="SLD.104.C.0.09.2002.00.00.DAAMORTOUT">0</definedName>
    <definedName name="SLD.104.C.0.09.2002.00.00.DAAOUT">0</definedName>
    <definedName name="SLD.104.C.0.09.2002.00.00.DBB010">0</definedName>
    <definedName name="SLD.104.C.0.09.2002.00.00.DBB011">0</definedName>
    <definedName name="SLD.104.C.0.09.2002.00.00.DBB013">0</definedName>
    <definedName name="SLD.104.C.0.09.2002.00.00.DBB020">0</definedName>
    <definedName name="SLD.104.C.0.09.2002.00.00.DBB060">0</definedName>
    <definedName name="SLD.104.C.0.09.2002.00.00.DBB081">0</definedName>
    <definedName name="SLD.104.C.0.09.2002.00.00.DBB160">0</definedName>
    <definedName name="SLD.104.C.0.09.2002.00.00.DBB171">0</definedName>
    <definedName name="SLD.104.C.0.09.2002.00.00.DBB180">0</definedName>
    <definedName name="SLD.104.C.0.09.2002.00.00.DGAAPR17">0</definedName>
    <definedName name="SLD.104.C.0.09.2002.00.00.DGAAPR20">0</definedName>
    <definedName name="SLD.104.C.0.12.1997.00.00.241">9700000</definedName>
    <definedName name="SLD.104.C.0.12.1998.00.00.111020016">0</definedName>
    <definedName name="SLD.104.C.0.12.1998.00.00.11501">26186.04</definedName>
    <definedName name="SLD.104.C.0.12.1998.00.00.11806">0</definedName>
    <definedName name="SLD.104.C.0.12.1998.00.00.118060002">0</definedName>
    <definedName name="SLD.104.C.0.12.1998.00.00.121010001">0</definedName>
    <definedName name="SLD.104.C.0.12.1998.00.00.12502">0</definedName>
    <definedName name="SLD.104.C.0.12.1998.00.00.12806">1012.31</definedName>
    <definedName name="SLD.104.C.0.12.1998.00.00.128060004">0</definedName>
    <definedName name="SLD.104.C.0.12.1998.00.00.211">66678146.73</definedName>
    <definedName name="SLD.104.C.0.12.1998.00.00.211030001">0</definedName>
    <definedName name="SLD.104.C.0.12.1998.00.00.213">336475.77</definedName>
    <definedName name="SLD.104.C.0.12.1998.00.00.213020003">68462.77</definedName>
    <definedName name="SLD.104.C.0.12.1998.00.00.21401">44674.45</definedName>
    <definedName name="SLD.104.C.0.12.1998.00.00.214010001">13714.13</definedName>
    <definedName name="SLD.104.C.0.12.1998.00.00.21402">40020.04</definedName>
    <definedName name="SLD.104.C.0.12.1998.00.00.21404">0</definedName>
    <definedName name="SLD.104.C.0.12.1998.00.00.215">0</definedName>
    <definedName name="SLD.104.C.0.12.1998.00.00.21801">171428.09</definedName>
    <definedName name="SLD.104.C.0.12.1998.00.00.218020001">0</definedName>
    <definedName name="SLD.104.C.0.12.1998.00.00.218020002">1109.49</definedName>
    <definedName name="SLD.104.C.0.12.1998.00.00.218020003">0</definedName>
    <definedName name="SLD.104.C.0.12.1998.00.00.21803">0</definedName>
    <definedName name="SLD.104.C.0.12.1998.00.00.221">0</definedName>
    <definedName name="SLD.104.C.0.12.1998.00.00.241">20890000</definedName>
    <definedName name="SLD.104.C.0.12.1998.00.00.3">-7752449.05</definedName>
    <definedName name="SLD.104.C.0.12.1998.00.00.DA0009">1654264.26</definedName>
    <definedName name="SLD.104.C.0.12.1998.00.00.DA0010">563936.2699995</definedName>
    <definedName name="SLD.104.C.0.12.1998.00.00.DA0011">98465.96</definedName>
    <definedName name="SLD.104.C.0.12.1998.00.00.DA0012">3967401.9</definedName>
    <definedName name="SLD.104.C.0.12.1998.00.00.DA0013">1277248.54</definedName>
    <definedName name="SLD.104.C.0.12.1998.00.00.DA0030">213194.26</definedName>
    <definedName name="SLD.104.C.0.12.1998.00.00.DAA0050">138509.72</definedName>
    <definedName name="SLD.104.C.0.12.1998.00.00.DAAAMORT">-1169803.08</definedName>
    <definedName name="SLD.104.C.0.12.1998.00.00.DAADEPR">-504647.06</definedName>
    <definedName name="SLD.104.C.0.12.1998.00.00.DAADIFER">8257433.39</definedName>
    <definedName name="SLD.104.C.0.12.1998.00.00.DAAIMOB">80602662.88</definedName>
    <definedName name="SLD.104.C.0.12.1998.00.00.DAAMORTOUT">-3550853.75</definedName>
    <definedName name="SLD.104.C.0.12.1998.00.00.DAAOUT">61200010</definedName>
    <definedName name="SLD.104.C.0.12.1998.00.00.DBB010">66678146.73</definedName>
    <definedName name="SLD.104.C.0.12.1998.00.00.DBB020">5779046.01</definedName>
    <definedName name="SLD.104.C.0.12.1998.00.00.DBB081">69039731.28</definedName>
    <definedName name="SLD.104.C.0.12.1998.00.00.DBB171">-3017097.44000001</definedName>
    <definedName name="SLD.104.C.0.12.1998.00.00.DBB180">-7752449.05</definedName>
    <definedName name="SLD.104.C.0.12.1999.00.00.111020016">845868.88</definedName>
    <definedName name="SLD.104.C.0.12.1999.00.00.11501">174939.05</definedName>
    <definedName name="SLD.104.C.0.12.1999.00.00.11806">0</definedName>
    <definedName name="SLD.104.C.0.12.1999.00.00.118060002">0</definedName>
    <definedName name="SLD.104.C.0.12.1999.00.00.121010001">7714432.69</definedName>
    <definedName name="SLD.104.C.0.12.1999.00.00.12502">0</definedName>
    <definedName name="SLD.104.C.0.12.1999.00.00.12806">17615.66</definedName>
    <definedName name="SLD.104.C.0.12.1999.00.00.128060004">0</definedName>
    <definedName name="SLD.104.C.0.12.1999.00.00.211">848614.09000001</definedName>
    <definedName name="SLD.104.C.0.12.1999.00.00.211030001">0</definedName>
    <definedName name="SLD.104.C.0.12.1999.00.00.213">304840.75</definedName>
    <definedName name="SLD.104.C.0.12.1999.00.00.213020003">87629.59</definedName>
    <definedName name="SLD.104.C.0.12.1999.00.00.21401">75171.24</definedName>
    <definedName name="SLD.104.C.0.12.1999.00.00.214010001">1742.62</definedName>
    <definedName name="SLD.104.C.0.12.1999.00.00.21402">45890.84</definedName>
    <definedName name="SLD.104.C.0.12.1999.00.00.21404">871.79</definedName>
    <definedName name="SLD.104.C.0.12.1999.00.00.215">0</definedName>
    <definedName name="SLD.104.C.0.12.1999.00.00.21801">1515718.08</definedName>
    <definedName name="SLD.104.C.0.12.1999.00.00.218020001">0</definedName>
    <definedName name="SLD.104.C.0.12.1999.00.00.218020002">0</definedName>
    <definedName name="SLD.104.C.0.12.1999.00.00.218020003">0</definedName>
    <definedName name="SLD.104.C.0.12.1999.00.00.21803">0</definedName>
    <definedName name="SLD.104.C.0.12.1999.00.00.221">80752048.22</definedName>
    <definedName name="SLD.104.C.0.12.1999.00.00.241">35168000</definedName>
    <definedName name="SLD.104.C.0.12.1999.00.00.3">-18345663.62</definedName>
    <definedName name="SLD.104.C.0.12.1999.00.00.331">-9388080.37</definedName>
    <definedName name="SLD.104.C.0.12.1999.00.00.352010001">-12436923</definedName>
    <definedName name="SLD.104.C.0.12.1999.00.00.361020001">-1221724.11</definedName>
    <definedName name="SLD.104.C.0.12.1999.00.00.361020003">-9837186.6</definedName>
    <definedName name="SLD.104.C.0.12.1999.00.00.37">0</definedName>
    <definedName name="SLD.104.C.0.12.1999.00.00.391">-59681.06</definedName>
    <definedName name="SLD.104.C.0.12.1999.00.00.DA0009">1769092.01</definedName>
    <definedName name="SLD.104.C.0.12.1999.00.00.DA0010">1751918.49</definedName>
    <definedName name="SLD.104.C.0.12.1999.00.00.DA0011">89440.85</definedName>
    <definedName name="SLD.104.C.0.12.1999.00.00.DA0012">10807596.27</definedName>
    <definedName name="SLD.104.C.0.12.1999.00.00.DA0013">3472978.04</definedName>
    <definedName name="SLD.104.C.0.12.1999.00.00.DA0015">192554.71</definedName>
    <definedName name="SLD.104.C.0.12.1999.00.00.DA0020">17173.52</definedName>
    <definedName name="SLD.104.C.0.12.1999.00.00.DA0030">535958.08</definedName>
    <definedName name="SLD.104.C.0.12.1999.00.00.DAA0050">108988.57</definedName>
    <definedName name="SLD.104.C.0.12.1999.00.00.DAAAMORT">-1995546.36</definedName>
    <definedName name="SLD.104.C.0.12.1999.00.00.DAADEPR">-4536892.66</definedName>
    <definedName name="SLD.104.C.0.12.1999.00.00.DAADIFER">8257433.39</definedName>
    <definedName name="SLD.104.C.0.12.1999.00.00.DAAIMOB">86420594.7699999</definedName>
    <definedName name="SLD.104.C.0.12.1999.00.00.DAAMORTOUT">-6057338.75</definedName>
    <definedName name="SLD.104.C.0.12.1999.00.00.DAAOUT">61200010</definedName>
    <definedName name="SLD.104.C.0.12.1999.00.00.DBB010">81600662.31</definedName>
    <definedName name="SLD.104.C.0.12.1999.00.00.DBB011">265716.41</definedName>
    <definedName name="SLD.104.C.0.12.1999.00.00.DBB012">0</definedName>
    <definedName name="SLD.104.C.0.12.1999.00.00.DBB013">7714432.69</definedName>
    <definedName name="SLD.104.C.0.12.1999.00.00.DBB014">1603347.67</definedName>
    <definedName name="SLD.104.C.0.12.1999.00.00.DBB020">430768.39</definedName>
    <definedName name="SLD.104.C.0.12.1999.00.00.DBB060">73428.62</definedName>
    <definedName name="SLD.104.C.0.12.1999.00.00.DBB081">78798457.1999999</definedName>
    <definedName name="SLD.104.C.0.12.1999.00.00.DBB160">35168000</definedName>
    <definedName name="SLD.104.C.0.12.1999.00.00.DBB171">-10769546.49</definedName>
    <definedName name="SLD.104.C.0.12.1999.00.00.DBB180">-18345663.62</definedName>
    <definedName name="SLD.104.C.0.12.1999.00.00.DGAAPR01">22220168.55</definedName>
    <definedName name="SLD.104.C.0.12.1999.00.00.DGAAPR02">114483.24</definedName>
    <definedName name="SLD.104.C.0.12.1999.00.00.DGAAPR03">-779690.19</definedName>
    <definedName name="SLD.104.C.0.12.1999.00.00.DGAAPR13">1912273.27</definedName>
    <definedName name="SLD.104.C.0.12.1999.00.00.DGAAPR17">-9586632</definedName>
    <definedName name="SLD.104.C.0.12.1999.00.00.DGAAPR18">-129790.38</definedName>
    <definedName name="SLD.104.C.0.12.1999.00.00.DGAAPR19">0</definedName>
    <definedName name="SLD.104.C.0.12.1999.00.00.DGAAPR20">-1357980.79</definedName>
    <definedName name="SLD.104.C.0.12.1999.00.00.DGAAPR21">6840194.37</definedName>
    <definedName name="SLD.104.C.0.12.1999.00.00.DGAAPR22">2195729.5</definedName>
    <definedName name="SLD.104.C.0.12.2000.00.00.111020016">515098.93</definedName>
    <definedName name="SLD.104.C.0.12.2000.00.00.113010007">1099099.59</definedName>
    <definedName name="SLD.104.C.0.12.2000.00.00.115">0</definedName>
    <definedName name="SLD.104.C.0.12.2000.00.00.11501">0</definedName>
    <definedName name="SLD.104.C.0.12.2000.00.00.11806">307947.01</definedName>
    <definedName name="SLD.104.C.0.12.2000.00.00.118060002">307947.01</definedName>
    <definedName name="SLD.104.C.0.12.2000.00.00.121010001">8600807.42</definedName>
    <definedName name="SLD.104.C.0.12.2000.00.00.12502">301810.43</definedName>
    <definedName name="SLD.104.C.0.12.2000.00.00.12806">17615.66</definedName>
    <definedName name="SLD.104.C.0.12.2000.00.00.128060001">7520.91</definedName>
    <definedName name="SLD.104.C.0.12.2000.00.00.128060002">8760.65</definedName>
    <definedName name="SLD.104.C.0.12.2000.00.00.128060003">0</definedName>
    <definedName name="SLD.104.C.0.12.2000.00.00.128060004">0</definedName>
    <definedName name="SLD.104.C.0.12.2000.00.00.128060005">1334.1</definedName>
    <definedName name="SLD.104.C.0.12.2000.00.00.211">499553.67</definedName>
    <definedName name="SLD.104.C.0.12.2000.00.00.211030001">0</definedName>
    <definedName name="SLD.104.C.0.12.2000.00.00.213">333048.69</definedName>
    <definedName name="SLD.104.C.0.12.2000.00.00.213020003">119341.38</definedName>
    <definedName name="SLD.104.C.0.12.2000.00.00.21401">1217032.99</definedName>
    <definedName name="SLD.104.C.0.12.2000.00.00.214010001">18117.27</definedName>
    <definedName name="SLD.104.C.0.12.2000.00.00.21402">55161.07</definedName>
    <definedName name="SLD.104.C.0.12.2000.00.00.21404">2234.24</definedName>
    <definedName name="SLD.104.C.0.12.2000.00.00.215">0</definedName>
    <definedName name="SLD.104.C.0.12.2000.00.00.21801">1357382.09</definedName>
    <definedName name="SLD.104.C.0.12.2000.00.00.218010001">1</definedName>
    <definedName name="SLD.104.C.0.12.2000.00.00.218010002">30119.25</definedName>
    <definedName name="SLD.104.C.0.12.2000.00.00.218010003">6681</definedName>
    <definedName name="SLD.104.C.0.12.2000.00.00.218010007">1192689.68</definedName>
    <definedName name="SLD.104.C.0.12.2000.00.00.218010008">127891.16</definedName>
    <definedName name="SLD.104.C.0.12.2000.00.00.218010009">0</definedName>
    <definedName name="SLD.104.C.0.12.2000.00.00.21802">0</definedName>
    <definedName name="SLD.104.C.0.12.2000.00.00.218020001">0</definedName>
    <definedName name="SLD.104.C.0.12.2000.00.00.218020002">0</definedName>
    <definedName name="SLD.104.C.0.12.2000.00.00.218020003">0</definedName>
    <definedName name="SLD.104.C.0.12.2000.00.00.21803">0</definedName>
    <definedName name="SLD.104.C.0.12.2000.00.00.221">80852957.93</definedName>
    <definedName name="SLD.104.C.0.12.2000.00.00.241">35168000</definedName>
    <definedName name="SLD.104.C.0.12.2000.00.00.3">-5905465.5</definedName>
    <definedName name="SLD.104.C.0.12.2000.00.00.311010001">18164074.4</definedName>
    <definedName name="SLD.104.C.0.12.2000.00.00.311010002">3955756.05</definedName>
    <definedName name="SLD.104.C.0.12.2000.00.00.311020001">163777.8</definedName>
    <definedName name="SLD.104.C.0.12.2000.00.00.311020002">39750.06</definedName>
    <definedName name="SLD.104.C.0.12.2000.00.00.311020003">136092</definedName>
    <definedName name="SLD.104.C.0.12.2000.00.00.32101">-1913050.19</definedName>
    <definedName name="SLD.104.C.0.12.2000.00.00.32102">-14057.75</definedName>
    <definedName name="SLD.104.C.0.12.2000.00.00.331">-10083646.9</definedName>
    <definedName name="SLD.104.C.0.12.2000.00.00.331010001">-3171364.3</definedName>
    <definedName name="SLD.104.C.0.12.2000.00.00.331010002">-4376136.84</definedName>
    <definedName name="SLD.104.C.0.12.2000.00.00.331010003">-29660.76</definedName>
    <definedName name="SLD.104.C.0.12.2000.00.00.331010004">-2506485</definedName>
    <definedName name="SLD.104.C.0.12.2000.00.00.33102">0</definedName>
    <definedName name="SLD.104.C.0.12.2000.00.00.341">-2192875.26</definedName>
    <definedName name="SLD.104.C.0.12.2000.00.00.342">-4921917.35</definedName>
    <definedName name="SLD.104.C.0.12.2000.00.00.343">-184645.4</definedName>
    <definedName name="SLD.104.C.0.12.2000.00.00.344">-609519.07</definedName>
    <definedName name="SLD.104.C.0.12.2000.00.00.345">-573896.55</definedName>
    <definedName name="SLD.104.C.0.12.2000.00.00.346">-1094112.74</definedName>
    <definedName name="SLD.104.C.0.12.2000.00.00.346080064">-124253.52</definedName>
    <definedName name="SLD.104.C.0.12.2000.00.00.347010058">-796082.52</definedName>
    <definedName name="SLD.104.C.0.12.2000.00.00.34702">-663405.8</definedName>
    <definedName name="SLD.104.C.0.12.2000.00.00.34704">-73525</definedName>
    <definedName name="SLD.104.C.0.12.2000.00.00.347050001">0</definedName>
    <definedName name="SLD.104.C.0.12.2000.00.00.349">5478464.43</definedName>
    <definedName name="SLD.104.C.0.12.2000.00.00.351010001">1301168.56</definedName>
    <definedName name="SLD.104.C.0.12.2000.00.00.351010002">0</definedName>
    <definedName name="SLD.104.C.0.12.2000.00.00.351010004">-8524.72</definedName>
    <definedName name="SLD.104.C.0.12.2000.00.00.351010005">-39349.99</definedName>
    <definedName name="SLD.104.C.0.12.2000.00.00.351010006">0</definedName>
    <definedName name="SLD.104.C.0.12.2000.00.00.351010007">0</definedName>
    <definedName name="SLD.104.C.0.12.2000.00.00.351010008">0</definedName>
    <definedName name="SLD.104.C.0.12.2000.00.00.352010001">-8818057.93</definedName>
    <definedName name="SLD.104.C.0.12.2000.00.00.352010006">0</definedName>
    <definedName name="SLD.104.C.0.12.2000.00.00.361010002">-457.02</definedName>
    <definedName name="SLD.104.C.0.12.2000.00.00.361020001">-1244846.07</definedName>
    <definedName name="SLD.104.C.0.12.2000.00.00.361020003">-5991768.97</definedName>
    <definedName name="SLD.104.C.0.12.2000.00.00.37">4867506.73</definedName>
    <definedName name="SLD.104.C.0.12.2000.00.00.37102">5545.91</definedName>
    <definedName name="SLD.104.C.0.12.2000.00.00.371030001">4861960.82</definedName>
    <definedName name="SLD.104.C.0.12.2000.00.00.371030002">0</definedName>
    <definedName name="SLD.104.C.0.12.2000.00.00.381010001">1456693.57</definedName>
    <definedName name="SLD.104.C.0.12.2000.00.00.381020001">2885181.63</definedName>
    <definedName name="SLD.104.C.0.12.2000.00.00.391">-65090.41</definedName>
    <definedName name="SLD.104.C.0.12.2000.00.00.391010001">-65090.41</definedName>
    <definedName name="SLD.104.C.0.12.2000.00.00.DA0009">3719029.83</definedName>
    <definedName name="SLD.104.C.0.12.2000.00.00.DA0010">1377684.81</definedName>
    <definedName name="SLD.104.C.0.12.2000.00.00.DA0011">107616.81</definedName>
    <definedName name="SLD.104.C.0.12.2000.00.00.DA0012">13692777.9</definedName>
    <definedName name="SLD.104.C.0.12.2000.00.00.DA0013">4929671.61</definedName>
    <definedName name="SLD.104.C.0.12.2000.00.00.DA0015">325562.67</definedName>
    <definedName name="SLD.104.C.0.12.2000.00.00.DA0020">2341345.02</definedName>
    <definedName name="SLD.104.C.0.12.2000.00.00.DA0030">1765387.98</definedName>
    <definedName name="SLD.104.C.0.12.2000.00.00.DAA0050">99023.98</definedName>
    <definedName name="SLD.104.C.0.12.2000.00.00.DAAAMORT">-2821289.64</definedName>
    <definedName name="SLD.104.C.0.12.2000.00.00.DAADEPR">-8929653.58</definedName>
    <definedName name="SLD.104.C.0.12.2000.00.00.DAADIFER">8257433.39</definedName>
    <definedName name="SLD.104.C.0.12.2000.00.00.DAAIMOB">86147583.54</definedName>
    <definedName name="SLD.104.C.0.12.2000.00.00.DAAMORTOUT">-8563823.75</definedName>
    <definedName name="SLD.104.C.0.12.2000.00.00.DAAOUT">61200010</definedName>
    <definedName name="SLD.104.C.0.12.2000.00.00.DBB010">81352511.6</definedName>
    <definedName name="SLD.104.C.0.12.2000.00.00.DBB011">289219.89</definedName>
    <definedName name="SLD.104.C.0.12.2000.00.00.DBB012">0</definedName>
    <definedName name="SLD.104.C.0.12.2000.00.00.DBB013">8600807.42</definedName>
    <definedName name="SLD.104.C.0.12.2000.00.00.DBB014">1476723.47</definedName>
    <definedName name="SLD.104.C.0.12.2000.00.00.DBB020">250011.32</definedName>
    <definedName name="SLD.104.C.0.12.2000.00.00.DBB060">1198915.72</definedName>
    <definedName name="SLD.104.C.0.12.2000.00.00.DBB081">84632341.1299999</definedName>
    <definedName name="SLD.104.C.0.12.2000.00.00.DBB160">35168000</definedName>
    <definedName name="SLD.104.C.0.12.2000.00.00.DBB171">-29115210.11</definedName>
    <definedName name="SLD.104.C.0.12.2000.00.00.DBB180">-5905465.5</definedName>
    <definedName name="SLD.104.C.0.12.2000.00.00.DGAAPR01">22119830.45</definedName>
    <definedName name="SLD.104.C.0.12.2000.00.00.DGAAPR02">339619.86</definedName>
    <definedName name="SLD.104.C.0.12.2000.00.00.DGAAPR03">-1927107.94</definedName>
    <definedName name="SLD.104.C.0.12.2000.00.00.DGAAPR13">1252836.83</definedName>
    <definedName name="SLD.104.C.0.12.2000.00.00.DGAAPR17">-5039506.78</definedName>
    <definedName name="SLD.104.C.0.12.2000.00.00.DGAAPR18">-171569.1</definedName>
    <definedName name="SLD.104.C.0.12.2000.00.00.DGAAPR19">0</definedName>
    <definedName name="SLD.104.C.0.12.2000.00.00.DGAAPR20">-25594.31</definedName>
    <definedName name="SLD.104.C.0.12.2000.00.00.DGAAPR21">2885181.63</definedName>
    <definedName name="SLD.104.C.0.12.2000.00.00.DGAAPR22">1456693.57</definedName>
    <definedName name="SLD.104.C.0.12.2001.00.00.111020016">756875.67</definedName>
    <definedName name="SLD.104.C.0.12.2001.00.00.113010007">508193.09</definedName>
    <definedName name="SLD.104.C.0.12.2001.00.00.115">0</definedName>
    <definedName name="SLD.104.C.0.12.2001.00.00.11501">0</definedName>
    <definedName name="SLD.104.C.0.12.2001.00.00.11806">0</definedName>
    <definedName name="SLD.104.C.0.12.2001.00.00.118060002">0</definedName>
    <definedName name="SLD.104.C.0.12.2001.00.00.121010001">10282840.42</definedName>
    <definedName name="SLD.104.C.0.12.2001.00.00.12502">458756.51</definedName>
    <definedName name="SLD.104.C.0.12.2001.00.00.12806">16924.46</definedName>
    <definedName name="SLD.104.C.0.12.2001.00.00.128060001">0</definedName>
    <definedName name="SLD.104.C.0.12.2001.00.00.128060002">0</definedName>
    <definedName name="SLD.104.C.0.12.2001.00.00.128060003">16924.46</definedName>
    <definedName name="SLD.104.C.0.12.2001.00.00.128060004">0</definedName>
    <definedName name="SLD.104.C.0.12.2001.00.00.128060005">0</definedName>
    <definedName name="SLD.104.C.0.12.2001.00.00.211">141267.32</definedName>
    <definedName name="SLD.104.C.0.12.2001.00.00.213">335095.53</definedName>
    <definedName name="SLD.104.C.0.12.2001.00.00.213020003">115565.03</definedName>
    <definedName name="SLD.104.C.0.12.2001.00.00.21401">281253.14</definedName>
    <definedName name="SLD.104.C.0.12.2001.00.00.214010001">23653.08</definedName>
    <definedName name="SLD.104.C.0.12.2001.00.00.21402">52193.26</definedName>
    <definedName name="SLD.104.C.0.12.2001.00.00.21404">3602.79</definedName>
    <definedName name="SLD.104.C.0.12.2001.00.00.215">0</definedName>
    <definedName name="SLD.104.C.0.12.2001.00.00.21801">4118841.4</definedName>
    <definedName name="SLD.104.C.0.12.2001.00.00.218010001">0</definedName>
    <definedName name="SLD.104.C.0.12.2001.00.00.218010002">30119.25</definedName>
    <definedName name="SLD.104.C.0.12.2001.00.00.218010003">0</definedName>
    <definedName name="SLD.104.C.0.12.2001.00.00.218010007">1175075.02</definedName>
    <definedName name="SLD.104.C.0.12.2001.00.00.218010008">2911583.6</definedName>
    <definedName name="SLD.104.C.0.12.2001.00.00.218010009">2063.53</definedName>
    <definedName name="SLD.104.C.0.12.2001.00.00.218010010">0</definedName>
    <definedName name="SLD.104.C.0.12.2001.00.00.21802">0</definedName>
    <definedName name="SLD.104.C.0.12.2001.00.00.218020002">0</definedName>
    <definedName name="SLD.104.C.0.12.2001.00.00.21803">0</definedName>
    <definedName name="SLD.104.C.0.12.2001.00.00.221">82986290.75</definedName>
    <definedName name="SLD.104.C.0.12.2001.00.00.241">35168000</definedName>
    <definedName name="SLD.104.C.0.12.2001.00.00.3">-15538894.58</definedName>
    <definedName name="SLD.104.C.0.12.2001.00.00.311010001">20823574.2</definedName>
    <definedName name="SLD.104.C.0.12.2001.00.00.311010002">5265893.5</definedName>
    <definedName name="SLD.104.C.0.12.2001.00.00.311020001">212968.91</definedName>
    <definedName name="SLD.104.C.0.12.2001.00.00.311020002">94906.8</definedName>
    <definedName name="SLD.104.C.0.12.2001.00.00.311020003">78000</definedName>
    <definedName name="SLD.104.C.0.12.2001.00.00.32101">-2256832.18</definedName>
    <definedName name="SLD.104.C.0.12.2001.00.00.32102">-14084.46</definedName>
    <definedName name="SLD.104.C.0.12.2001.00.00.331">0</definedName>
    <definedName name="SLD.104.C.0.12.2001.00.00.331010001">-3251681.34</definedName>
    <definedName name="SLD.104.C.0.12.2001.00.00.331010002">-4591892.85</definedName>
    <definedName name="SLD.104.C.0.12.2001.00.00.331010003">-29660.76</definedName>
    <definedName name="SLD.104.C.0.12.2001.00.00.331010004">-2506485</definedName>
    <definedName name="SLD.104.C.0.12.2001.00.00.33102">0</definedName>
    <definedName name="SLD.104.C.0.12.2001.00.00.341">-2213352.69</definedName>
    <definedName name="SLD.104.C.0.12.2001.00.00.342">-4979769.11</definedName>
    <definedName name="SLD.104.C.0.12.2001.00.00.343">-154626.72</definedName>
    <definedName name="SLD.104.C.0.12.2001.00.00.344">-543856.85</definedName>
    <definedName name="SLD.104.C.0.12.2001.00.00.345">-657647.7</definedName>
    <definedName name="SLD.104.C.0.12.2001.00.00.346">-1141519.45</definedName>
    <definedName name="SLD.104.C.0.12.2001.00.00.346080064">-120509.57</definedName>
    <definedName name="SLD.104.C.0.12.2001.00.00.347010058">-796082.52</definedName>
    <definedName name="SLD.104.C.0.12.2001.00.00.34702">-782739.95</definedName>
    <definedName name="SLD.104.C.0.12.2001.00.00.34704">-63172</definedName>
    <definedName name="SLD.104.C.0.12.2001.00.00.347050001">677682.12</definedName>
    <definedName name="SLD.104.C.0.12.2001.00.00.349">5059490.04</definedName>
    <definedName name="SLD.104.C.0.12.2001.00.00.351010001">0</definedName>
    <definedName name="SLD.104.C.0.12.2001.00.00.351010002">205.5</definedName>
    <definedName name="SLD.104.C.0.12.2001.00.00.351010004">-13294.35</definedName>
    <definedName name="SLD.104.C.0.12.2001.00.00.351010005">-61358.38</definedName>
    <definedName name="SLD.104.C.0.12.2001.00.00.351010006">136378.73</definedName>
    <definedName name="SLD.104.C.0.12.2001.00.00.351010007">1434529.89</definedName>
    <definedName name="SLD.104.C.0.12.2001.00.00.351010008">357975.88</definedName>
    <definedName name="SLD.104.C.0.12.2001.00.00.352010001">-8495750.77</definedName>
    <definedName name="SLD.104.C.0.12.2001.00.00.352010006">-2063.53</definedName>
    <definedName name="SLD.104.C.0.12.2001.00.00.361010002">198.79</definedName>
    <definedName name="SLD.104.C.0.12.2001.00.00.361020001">-895455.53</definedName>
    <definedName name="SLD.104.C.0.12.2001.00.00.361020003">-6678165.41</definedName>
    <definedName name="SLD.104.C.0.12.2001.00.00.37">0</definedName>
    <definedName name="SLD.104.C.0.12.2001.00.00.37102">0</definedName>
    <definedName name="SLD.104.C.0.12.2001.00.00.371030001">0</definedName>
    <definedName name="SLD.104.C.0.12.2001.00.00.371030002">-1246999.09</definedName>
    <definedName name="SLD.104.C.0.12.2001.00.00.381010001">619766.11</definedName>
    <definedName name="SLD.104.C.0.12.2001.00.00.381020001">1721572.52</definedName>
    <definedName name="SLD.104.C.0.12.2001.00.00.391">0</definedName>
    <definedName name="SLD.104.C.0.12.2001.00.00.391010001">-81349.27</definedName>
    <definedName name="SLD.104.C.0.12.2001.00.00.DA0009">2297364.97</definedName>
    <definedName name="SLD.104.C.0.12.2001.00.00.DA0010">2297364.97</definedName>
    <definedName name="SLD.104.C.0.12.2001.00.00.DA0011">138313.25</definedName>
    <definedName name="SLD.104.C.0.12.2001.00.00.DA0012">15414350.42</definedName>
    <definedName name="SLD.104.C.0.12.2001.00.00.DA0013">5549437.72</definedName>
    <definedName name="SLD.104.C.0.12.2001.00.00.DA0020">0</definedName>
    <definedName name="SLD.104.C.0.12.2001.00.00.DA0030">1115068.91</definedName>
    <definedName name="SLD.104.C.0.12.2001.00.00.DAA0050">109373.88</definedName>
    <definedName name="SLD.104.C.0.12.2001.00.00.DAA080">0</definedName>
    <definedName name="SLD.104.C.0.12.2001.00.00.DAAAMORT">-3647032.92</definedName>
    <definedName name="SLD.104.C.0.12.2001.00.00.DAADEPR">-13542148.45</definedName>
    <definedName name="SLD.104.C.0.12.2001.00.00.DAADIFER">8257433.39</definedName>
    <definedName name="SLD.104.C.0.12.2001.00.00.DAAIMOB">86708393.15</definedName>
    <definedName name="SLD.104.C.0.12.2001.00.00.DAAMORTOUT">-11070308.75</definedName>
    <definedName name="SLD.104.C.0.12.2001.00.00.DAAOUT">61200010</definedName>
    <definedName name="SLD.104.C.0.12.2001.00.00.DBB010">83127558.07</definedName>
    <definedName name="SLD.104.C.0.12.2001.00.00.DBB011">298979.63</definedName>
    <definedName name="SLD.104.C.0.12.2001.00.00.DBB012">0</definedName>
    <definedName name="SLD.104.C.0.12.2001.00.00.DBB013">10282840.42</definedName>
    <definedName name="SLD.104.C.0.12.2001.00.00.DBB020">344732.76</definedName>
    <definedName name="SLD.104.C.0.12.2001.00.00.DBB060">257600.06</definedName>
    <definedName name="SLD.104.C.0.12.2001.00.00.DBB081">91173945.87</definedName>
    <definedName name="SLD.104.C.0.12.2001.00.00.DBB110">4118841.4</definedName>
    <definedName name="SLD.104.C.0.12.2001.00.00.DBB120">0</definedName>
    <definedName name="SLD.104.C.0.12.2001.00.00.DBB160">35168000</definedName>
    <definedName name="SLD.104.C.0.12.2001.00.00.DBB171">-35020675.61</definedName>
    <definedName name="SLD.104.C.0.12.2001.00.00.DBB180">-15538894.58</definedName>
    <definedName name="SLD.104.C.0.12.2001.00.00.DGAAPR01">0</definedName>
    <definedName name="SLD.104.C.0.12.2001.00.00.DGAAPR02">0</definedName>
    <definedName name="SLD.104.C.0.12.2001.00.00.DGAAPR03">0</definedName>
    <definedName name="SLD.104.C.0.12.2001.00.00.DGAAPR13">0</definedName>
    <definedName name="SLD.104.C.0.12.2001.00.00.DGAAPR17">-10520292.45</definedName>
    <definedName name="SLD.104.C.0.12.2001.00.00.DGAAPR18">0</definedName>
    <definedName name="SLD.104.C.0.12.2001.00.00.DGAAPR19">0</definedName>
    <definedName name="SLD.104.C.0.12.2001.00.00.DGAAPR20">-23303.19</definedName>
    <definedName name="SLD.104.C.0.12.2001.00.00.DGAAPR21">0</definedName>
    <definedName name="SLD.104.C.0.12.2001.00.00.DGAAPR22">0</definedName>
    <definedName name="SLD.104.C.0.12.2001.00.01.24">147</definedName>
    <definedName name="SLD.104.C.0.12.2001.00.01.241">35168</definedName>
    <definedName name="SLD.104.C.0.12.2002.00.00.111020016">0</definedName>
    <definedName name="SLD.104.C.0.12.2002.00.00.11501">0</definedName>
    <definedName name="SLD.104.C.0.12.2002.00.00.11806">0</definedName>
    <definedName name="SLD.104.C.0.12.2002.00.00.118060002">0</definedName>
    <definedName name="SLD.104.C.0.12.2002.00.00.121010001">0</definedName>
    <definedName name="SLD.104.C.0.12.2002.00.00.12502">0</definedName>
    <definedName name="SLD.104.C.0.12.2002.00.00.12806">0</definedName>
    <definedName name="SLD.104.C.0.12.2002.00.00.128060004">0</definedName>
    <definedName name="SLD.104.C.0.12.2002.00.00.211">0</definedName>
    <definedName name="SLD.104.C.0.12.2002.00.00.213">0</definedName>
    <definedName name="SLD.104.C.0.12.2002.00.00.213020003">0</definedName>
    <definedName name="SLD.104.C.0.12.2002.00.00.21401">0</definedName>
    <definedName name="SLD.104.C.0.12.2002.00.00.214010001">0</definedName>
    <definedName name="SLD.104.C.0.12.2002.00.00.21402">0</definedName>
    <definedName name="SLD.104.C.0.12.2002.00.00.21404">0</definedName>
    <definedName name="SLD.104.C.0.12.2002.00.00.215">0</definedName>
    <definedName name="SLD.104.C.0.12.2002.00.00.21801">0</definedName>
    <definedName name="SLD.104.C.0.12.2002.00.00.218010010">0</definedName>
    <definedName name="SLD.104.C.0.12.2002.00.00.218020002">0</definedName>
    <definedName name="SLD.104.C.0.12.2002.00.00.21803">0</definedName>
    <definedName name="SLD.104.C.0.12.2002.00.00.221">0</definedName>
    <definedName name="SLD.104.C.0.12.2002.00.00.241">0</definedName>
    <definedName name="SLD.104.C.0.12.2002.00.00.3">0</definedName>
    <definedName name="SLD.104.C.0.12.2002.00.00.DA0009">0</definedName>
    <definedName name="SLD.104.C.0.12.2002.00.00.DA0011">0</definedName>
    <definedName name="SLD.104.C.0.12.2002.00.00.DA0012">0</definedName>
    <definedName name="SLD.104.C.0.12.2002.00.00.DA0013">0</definedName>
    <definedName name="SLD.104.C.0.12.2002.00.00.DA0030">0</definedName>
    <definedName name="SLD.104.C.0.12.2002.00.00.DAA0050">0</definedName>
    <definedName name="SLD.104.C.0.12.2002.00.00.DAAAMORT">0</definedName>
    <definedName name="SLD.104.C.0.12.2002.00.00.DAADEPR">0</definedName>
    <definedName name="SLD.104.C.0.12.2002.00.00.DAADIFER">0</definedName>
    <definedName name="SLD.104.C.0.12.2002.00.00.DAAIMOB">0</definedName>
    <definedName name="SLD.104.C.0.12.2002.00.00.DAAMORTOUT">0</definedName>
    <definedName name="SLD.104.C.0.12.2002.00.00.DAAOUT">0</definedName>
    <definedName name="SLD.104.C.0.12.2002.00.00.DBB020">0</definedName>
    <definedName name="SLD.104.C.0.12.2002.00.00.DBB081">0</definedName>
    <definedName name="SLD.104.C.0.12.2002.00.00.DBB171">0</definedName>
    <definedName name="SLD.104.C.0.12.2002.00.00.DBB180">0</definedName>
    <definedName name="SLD.104.C.1.00.2000.00.00.3.CG4_LK019A">-1972.22315472</definedName>
    <definedName name="SLD.104.C.1.01.1998.00.00.249">-2175242.43922806</definedName>
    <definedName name="SLD.104.C.1.01.1999.00.00.249">-11369312.7549133</definedName>
    <definedName name="SLD.104.C.1.06.2001.00.00.111020016">833570.6499656</definedName>
    <definedName name="SLD.104.C.1.06.2001.00.00.12502">384873.2499478</definedName>
    <definedName name="SLD.104.C.1.06.2001.00.00.DA0010">2099349.1601974</definedName>
    <definedName name="SLD.104.C.1.06.2001.00.00.DA0011">138776.9999785</definedName>
    <definedName name="SLD.104.C.1.06.2001.00.00.DA0012">1760752.6603729</definedName>
    <definedName name="SLD.104.C.1.06.2001.00.00.DA0013">634142.526594</definedName>
    <definedName name="SLD.104.C.1.06.2001.00.00.DA0015">1062018.8799027</definedName>
    <definedName name="SLD.104.C.1.06.2001.00.00.DA0020">0</definedName>
    <definedName name="SLD.104.C.1.06.2001.00.00.DA0030">809293.5801029</definedName>
    <definedName name="SLD.104.C.1.06.2001.00.00.DAA0050">281973.1100159</definedName>
    <definedName name="SLD.104.C.1.06.2001.00.00.DAAAMORT">-2864208.7910677</definedName>
    <definedName name="SLD.104.C.1.06.2001.00.00.DAADEPR">-15558718.616181</definedName>
    <definedName name="SLD.104.C.1.06.2001.00.00.DAADIFER">7312873.8055357</definedName>
    <definedName name="SLD.104.C.1.06.2001.00.00.DAAIMOB">119675039.349967</definedName>
    <definedName name="SLD.104.C.1.06.2001.00.00.DAAMORTOUT">-14830290.1577058</definedName>
    <definedName name="SLD.104.C.1.06.2001.00.00.DAAOUT">92452661.8078661</definedName>
    <definedName name="SLD.104.C.1.06.2001.00.00.DBB010">87050863.7899136</definedName>
    <definedName name="SLD.104.C.1.06.2001.00.00.DBB011">320929.4298271</definedName>
    <definedName name="SLD.104.C.1.06.2001.00.00.DBB012">180556.8299928</definedName>
    <definedName name="SLD.104.C.1.06.2001.00.00.DBB013">9403115.4099797</definedName>
    <definedName name="SLD.104.C.1.06.2001.00.00.DBB014">1411168.9099413</definedName>
    <definedName name="SLD.104.C.1.06.2001.00.00.DBB020">288379.8300095</definedName>
    <definedName name="SLD.104.C.1.06.2001.00.00.DBB060">1852383.7099764</definedName>
    <definedName name="SLD.104.C.1.06.2001.00.00.DBB081">86979579.2598992</definedName>
    <definedName name="SLD.104.C.1.06.2001.00.00.DBB160">47881968.6141865</definedName>
    <definedName name="SLD.104.C.1.06.2001.00.00.DBB171">-14572815.3793524</definedName>
    <definedName name="SLD.104.C.1.06.2001.00.00.DBB180">-7797791.3809518</definedName>
    <definedName name="SLD.104.C.1.12.1997.00.00.111020016">0</definedName>
    <definedName name="SLD.104.C.1.12.1997.00.00.12502">0</definedName>
    <definedName name="SLD.104.C.1.12.1997.00.00.213020003">36140.69493216</definedName>
    <definedName name="SLD.104.C.1.12.1997.00.00.241">12176306.0968475</definedName>
    <definedName name="SLD.104.C.1.12.1997.00.00.DA0010">183312.35198641</definedName>
    <definedName name="SLD.104.C.1.12.1997.00.00.DA0011">117242.22326541</definedName>
    <definedName name="SLD.104.C.1.12.1997.00.00.DA0012">702754.10897446</definedName>
    <definedName name="SLD.104.C.1.12.1997.00.00.DA0013">235204.28987312</definedName>
    <definedName name="SLD.104.C.1.12.1997.00.00.DA0015">46616.62299842</definedName>
    <definedName name="SLD.104.C.1.12.1997.00.00.DA0020">1436384.73770142</definedName>
    <definedName name="SLD.104.C.1.12.1997.00.00.DA0030">548238.7780838</definedName>
    <definedName name="SLD.104.C.1.12.1997.00.00.DAA0050">178319.91484928</definedName>
    <definedName name="SLD.104.C.1.12.1997.00.00.DAAAMORT">-356244.99595737</definedName>
    <definedName name="SLD.104.C.1.12.1997.00.00.DAADEPR">-65154.65995586</definedName>
    <definedName name="SLD.104.C.1.12.1997.00.00.DAADIFER">8549880.51376343</definedName>
    <definedName name="SLD.104.C.1.12.1997.00.00.DAAIMOB">31584856.2802734</definedName>
    <definedName name="SLD.104.C.1.12.1997.00.00.DAAMORTOUT">-1486090.57444954</definedName>
    <definedName name="SLD.104.C.1.12.1997.00.00.DAAOUT">87084909.4407959</definedName>
    <definedName name="SLD.104.C.1.12.1997.00.00.DBB010">25396413.1217651</definedName>
    <definedName name="SLD.104.C.1.12.1997.00.00.DBB011">299688.07678986</definedName>
    <definedName name="SLD.104.C.1.12.1997.00.00.DBB012">0</definedName>
    <definedName name="SLD.104.C.1.12.1997.00.00.DBB013">0</definedName>
    <definedName name="SLD.104.C.1.12.1997.00.00.DBB014">115016.51921773</definedName>
    <definedName name="SLD.104.C.1.12.1997.00.00.DBB020">257859.17866778</definedName>
    <definedName name="SLD.104.C.1.12.1997.00.00.DBB060">310926.05041695</definedName>
    <definedName name="SLD.104.C.1.12.1997.00.00.DBB081">91384023.171997</definedName>
    <definedName name="SLD.104.C.1.12.1997.00.00.DBB160">13388010.999588</definedName>
    <definedName name="SLD.104.C.1.12.1997.00.00.DBB171">0</definedName>
    <definedName name="SLD.104.C.1.12.1997.00.00.DBB180">-2391708.0821991</definedName>
    <definedName name="SLD.104.C.1.12.1998.00.00.111020016">0</definedName>
    <definedName name="SLD.104.C.1.12.1998.00.00.12502">0</definedName>
    <definedName name="SLD.104.C.1.12.1998.00.00.213020003">90409.76904964</definedName>
    <definedName name="SLD.104.C.1.12.1998.00.00.241">28255243.9439086</definedName>
    <definedName name="SLD.104.C.1.12.1998.00.00.3">-8165071.15959167</definedName>
    <definedName name="SLD.104.C.1.12.1998.00.00.331">-8871159.77250671</definedName>
    <definedName name="SLD.104.C.1.12.1998.00.00.352010001">-7477643.85177612</definedName>
    <definedName name="SLD.104.C.1.12.1998.00.00.361020001">62168.90229207</definedName>
    <definedName name="SLD.104.C.1.12.1998.00.00.361020003">192166.50417519</definedName>
    <definedName name="SLD.104.C.1.12.1998.00.00.391">0</definedName>
    <definedName name="SLD.104.C.1.12.1998.00.00.DA0010">744716.40450478</definedName>
    <definedName name="SLD.104.C.1.12.1998.00.00.DA0011">130031.03288448</definedName>
    <definedName name="SLD.104.C.1.12.1998.00.00.DA0012">3925352.22927475</definedName>
    <definedName name="SLD.104.C.1.12.1998.00.00.DA0013">1266254.58881569</definedName>
    <definedName name="SLD.104.C.1.12.1998.00.00.DA0015">35917.28077394</definedName>
    <definedName name="SLD.104.C.1.12.1998.00.00.DA0020">1439852.66360283</definedName>
    <definedName name="SLD.104.C.1.12.1998.00.00.DA0030">281537.5977087</definedName>
    <definedName name="SLD.104.C.1.12.1998.00.00.DAA0050">182911.55618739</definedName>
    <definedName name="SLD.104.C.1.12.1998.00.00.DAAAMORT">-1211233.0898304</definedName>
    <definedName name="SLD.104.C.1.12.1998.00.00.DAADEPR">-675452.10777378</definedName>
    <definedName name="SLD.104.C.1.12.1998.00.00.DAADIFER">8549880.51376343</definedName>
    <definedName name="SLD.104.C.1.12.1998.00.00.DAAIMOB">107824356.062744</definedName>
    <definedName name="SLD.104.C.1.12.1998.00.00.DAAMORTOUT">-5052707.95314789</definedName>
    <definedName name="SLD.104.C.1.12.1998.00.00.DAAOUT">87084909.4407959</definedName>
    <definedName name="SLD.104.C.1.12.1998.00.00.DBB010">88053051.9753418</definedName>
    <definedName name="SLD.104.C.1.12.1998.00.00.DBB011">424889.13789463</definedName>
    <definedName name="SLD.104.C.1.12.1998.00.00.DBB012">1465.15745376</definedName>
    <definedName name="SLD.104.C.1.12.1998.00.00.DBB013">0</definedName>
    <definedName name="SLD.104.C.1.12.1998.00.00.DBB014">316792.2835021</definedName>
    <definedName name="SLD.104.C.1.12.1998.00.00.DBB020">7631625.40712738</definedName>
    <definedName name="SLD.104.C.1.12.1998.00.00.DBB060">40885.21958983</definedName>
    <definedName name="SLD.104.C.1.12.1998.00.00.DBB081">91171685.8500976</definedName>
    <definedName name="SLD.104.C.1.12.1998.00.00.DBB160">28255243.9439086</definedName>
    <definedName name="SLD.104.C.1.12.1998.00.00.DBB171">-2391708.0821991</definedName>
    <definedName name="SLD.104.C.1.12.1998.00.00.DBB180">-8977604.67152405</definedName>
    <definedName name="SLD.104.C.1.12.1998.00.00.DGAAPR01">12823025.9384765</definedName>
    <definedName name="SLD.104.C.1.12.1998.00.00.DGAAPR02">68558.61189961</definedName>
    <definedName name="SLD.104.C.1.12.1998.00.00.DGAAPR03">-974263.02078915</definedName>
    <definedName name="SLD.104.C.1.12.1998.00.00.DGAAPR13">534129.3505497</definedName>
    <definedName name="SLD.104.C.1.12.1998.00.00.DGAAPR16">-7223308.4453125</definedName>
    <definedName name="SLD.104.C.1.12.1998.00.00.DGAAPR17">-1470837.78524017</definedName>
    <definedName name="SLD.104.C.1.12.1998.00.00.DGAAPR18">-301751.51640034</definedName>
    <definedName name="SLD.104.C.1.12.1998.00.00.DGAAPR19">0</definedName>
    <definedName name="SLD.104.C.1.12.1998.00.00.DGAAPR20">-353904.01877975</definedName>
    <definedName name="SLD.104.C.1.12.1998.00.00.DGAAPR21">2930931.34903336</definedName>
    <definedName name="SLD.104.C.1.12.1998.00.00.DGAAPR22">937733.32286167</definedName>
    <definedName name="SLD.104.C.1.12.1999.00.00.111020016">930044.11840725</definedName>
    <definedName name="SLD.104.C.1.12.1999.00.00.12502">0</definedName>
    <definedName name="SLD.104.C.1.12.1999.00.00.213020003">96349.90332246</definedName>
    <definedName name="SLD.104.C.1.12.1999.00.00.241">45899437.9459228</definedName>
    <definedName name="SLD.104.C.1.12.1999.00.00.3">-3746231.3982048</definedName>
    <definedName name="SLD.104.C.1.12.1999.00.00.331">-11973895.1551971</definedName>
    <definedName name="SLD.104.C.1.12.1999.00.00.352010001">-14625914.94458</definedName>
    <definedName name="SLD.104.C.1.12.1999.00.00.361020001">6706627.99580383</definedName>
    <definedName name="SLD.104.C.1.12.1999.00.00.361020003">4432598.88179779</definedName>
    <definedName name="SLD.104.C.1.12.1999.00.00.37">0</definedName>
    <definedName name="SLD.104.C.1.12.1999.00.00.391">-72490.35201418</definedName>
    <definedName name="SLD.104.C.1.12.1999.00.00.DA0010">1926257.75229645</definedName>
    <definedName name="SLD.104.C.1.12.1999.00.00.DA0011">98341.40796483</definedName>
    <definedName name="SLD.104.C.1.12.1999.00.00.DA0012">2879823.69090271</definedName>
    <definedName name="SLD.104.C.1.12.1999.00.00.DA0013">937538.45849609</definedName>
    <definedName name="SLD.104.C.1.12.1999.00.00.DA0015">211716.47244406</definedName>
    <definedName name="SLD.104.C.1.12.1999.00.00.DA0020">18882.51438528</definedName>
    <definedName name="SLD.104.C.1.12.1999.00.00.DA0030">589293.05932236</definedName>
    <definedName name="SLD.104.C.1.12.1999.00.00.DAA0050">119834.38670111</definedName>
    <definedName name="SLD.104.C.1.12.1999.00.00.DAAAMORT">-2066221.08005142</definedName>
    <definedName name="SLD.104.C.1.12.1999.00.00.DAADEPR">-6017116.07833862</definedName>
    <definedName name="SLD.104.C.1.12.1999.00.00.DAADIFER">8549880.51376343</definedName>
    <definedName name="SLD.104.C.1.12.1999.00.00.DAAIMOB">114628316.841796</definedName>
    <definedName name="SLD.104.C.1.12.1999.00.00.DAAMORTOUT">-8619325.33172607</definedName>
    <definedName name="SLD.104.C.1.12.1999.00.00.DAAOUT">87084909.4407959</definedName>
    <definedName name="SLD.104.C.1.12.1999.00.00.DBB010">89721016.8579101</definedName>
    <definedName name="SLD.104.C.1.12.1999.00.00.DBB011">292158.73801279</definedName>
    <definedName name="SLD.104.C.1.12.1999.00.00.DBB012">0</definedName>
    <definedName name="SLD.104.C.1.12.1999.00.00.DBB013">8482121.66221619</definedName>
    <definedName name="SLD.104.C.1.12.1999.00.00.DBB014">1762902.15375328</definedName>
    <definedName name="SLD.104.C.1.12.1999.00.00.DBB020">473635.59175301</definedName>
    <definedName name="SLD.104.C.1.12.1999.00.00.DBB060">80735.74733961</definedName>
    <definedName name="SLD.104.C.1.12.1999.00.00.DBB081">86639954.9544677</definedName>
    <definedName name="SLD.104.C.1.12.1999.00.00.DBB160">45899437.9459228</definedName>
    <definedName name="SLD.104.C.1.12.1999.00.00.DBB171">-11369312.7549133</definedName>
    <definedName name="SLD.104.C.1.12.1999.00.00.DBB180">-3746231.3982048</definedName>
    <definedName name="SLD.104.C.1.12.1999.00.00.DGAAPR01">26688217.0076294</definedName>
    <definedName name="SLD.104.C.1.12.1999.00.00.DGAAPR02">135470.64886999</definedName>
    <definedName name="SLD.104.C.1.12.1999.00.00.DGAAPR03">-922709.43443966</definedName>
    <definedName name="SLD.104.C.1.12.1999.00.00.DGAAPR13">634182.56883049</definedName>
    <definedName name="SLD.104.C.1.12.1999.00.00.DGAAPR16">-3171119.38204956</definedName>
    <definedName name="SLD.104.C.1.12.1999.00.00.DGAAPR17">-3369040.45890427</definedName>
    <definedName name="SLD.104.C.1.12.1999.00.00.DGAAPR18">-153190.44481087</definedName>
    <definedName name="SLD.104.C.1.12.1999.00.00.DGAAPR19">0</definedName>
    <definedName name="SLD.104.C.1.12.1999.00.00.DGAAPR20">-1613923.50384903</definedName>
    <definedName name="SLD.104.C.1.12.1999.00.00.DGAAPR21">-1045528.53835201</definedName>
    <definedName name="SLD.104.C.1.12.1999.00.00.DGAAPR22">-328716.13031721</definedName>
    <definedName name="SLD.104.C.1.12.2000.00.00.111020016">537347.555888</definedName>
    <definedName name="SLD.104.C.1.12.2000.00.00.12502">314846.5031949</definedName>
    <definedName name="SLD.104.C.1.12.2000.00.00.213020003">119341.38001966</definedName>
    <definedName name="SLD.104.C.1.12.2000.00.00.241">45899437.9459228</definedName>
    <definedName name="SLD.104.C.1.12.2000.00.00.3">1146109.43144798</definedName>
    <definedName name="SLD.104.C.1.12.2000.00.00.331">-12819562.6943969</definedName>
    <definedName name="SLD.104.C.1.12.2000.00.00.352010001">-9229701.20672607</definedName>
    <definedName name="SLD.104.C.1.12.2000.00.00.361020001">1521273.39240456</definedName>
    <definedName name="SLD.104.C.1.12.2000.00.00.361020003">1836797.43789482</definedName>
    <definedName name="SLD.104.C.1.12.2000.00.00.37">4867644.21749115</definedName>
    <definedName name="SLD.104.C.1.12.2000.00.00.391">-69841.17228818</definedName>
    <definedName name="SLD.104.C.1.12.2000.00.00.DA0010">1437191.03732399</definedName>
    <definedName name="SLD.104.C.1.12.2000.00.00.DA0011">112265.0941301</definedName>
    <definedName name="SLD.104.C.1.12.2000.00.00.DA0012">1725320.4948586</definedName>
    <definedName name="SLD.104.C.1.12.2000.00.00.DA0013">621398.6738785</definedName>
    <definedName name="SLD.104.C.1.12.2000.00.00.DA0015">339624.671787</definedName>
    <definedName name="SLD.104.C.1.12.2000.00.00.DA0020">2442474.5438717</definedName>
    <definedName name="SLD.104.C.1.12.2000.00.00.DA0030">1841640.2386665</definedName>
    <definedName name="SLD.104.C.1.12.2000.00.00.DAA0050">103301.1147968</definedName>
    <definedName name="SLD.104.C.1.12.2000.00.00.DAAAMORT">-2498565.1269758</definedName>
    <definedName name="SLD.104.C.1.12.2000.00.00.DAADEPR">-12375770.9601567</definedName>
    <definedName name="SLD.104.C.1.12.2000.00.00.DAADIFER">7312873.8055357</definedName>
    <definedName name="SLD.104.C.1.12.2000.00.00.DAAIMOB">119415256.954087</definedName>
    <definedName name="SLD.104.C.1.12.2000.00.00.DAAMORTOUT">-12937061.6269872</definedName>
    <definedName name="SLD.104.C.1.12.2000.00.00.DAAOUT">92452661.8078661</definedName>
    <definedName name="SLD.104.C.1.12.2000.00.00.DBB010">84866363.9783989</definedName>
    <definedName name="SLD.104.C.1.12.2000.00.00.DBB011">301712.1410931</definedName>
    <definedName name="SLD.104.C.1.12.2000.00.00.DBB012">0</definedName>
    <definedName name="SLD.104.C.1.12.2000.00.00.DBB013">8972301.3913053</definedName>
    <definedName name="SLD.104.C.1.12.2000.00.00.DBB014">1540507.4659383</definedName>
    <definedName name="SLD.104.C.1.12.2000.00.00.DBB020">260810.0384031</definedName>
    <definedName name="SLD.104.C.1.12.2000.00.00.DBB060">1250700.3885479</definedName>
    <definedName name="SLD.104.C.1.12.2000.00.00.DBB081">88287858.9168333</definedName>
    <definedName name="SLD.104.C.1.12.2000.00.00.DBB160">47881968.6141865</definedName>
    <definedName name="SLD.104.C.1.12.2000.00.00.DBB171">-15768428.6218506</definedName>
    <definedName name="SLD.104.C.1.12.2000.00.00.DBB180">1195613.2423615</definedName>
    <definedName name="SLD.104.C.1.12.2000.00.00.DGAAPR01">23134509.3292236</definedName>
    <definedName name="SLD.104.C.1.12.2000.00.00.DGAAPR02">349587.23947096</definedName>
    <definedName name="SLD.104.C.1.12.2000.00.00.DGAAPR03">-1964337.28427506</definedName>
    <definedName name="SLD.104.C.1.12.2000.00.00.DGAAPR13">442837.86045456</definedName>
    <definedName name="SLD.104.C.1.12.2000.00.00.DGAAPR17">118601.14305317</definedName>
    <definedName name="SLD.104.C.1.12.2000.00.00.DGAAPR18">-179742.83470416</definedName>
    <definedName name="SLD.104.C.1.12.2000.00.00.DGAAPR19">0</definedName>
    <definedName name="SLD.104.C.1.12.2000.00.00.DGAAPR20">-25977.60206497</definedName>
    <definedName name="SLD.104.C.1.12.2000.00.00.DGAAPR21">-1225939.28970337</definedName>
    <definedName name="SLD.104.C.1.12.2000.00.00.DGAAPR22">-341868.50805759</definedName>
    <definedName name="SLD.104.C.1.12.2001.00.00.111020016">0</definedName>
    <definedName name="SLD.104.C.1.12.2001.00.00.12502">0</definedName>
    <definedName name="SLD.104.C.1.12.2001.00.00.DA0010">0</definedName>
    <definedName name="SLD.104.C.1.12.2001.00.00.DA0011">0</definedName>
    <definedName name="SLD.104.C.1.12.2001.00.00.DA0012">0</definedName>
    <definedName name="SLD.104.C.1.12.2001.00.00.DA0013">0</definedName>
    <definedName name="SLD.104.C.1.12.2001.00.00.DA0015">0</definedName>
    <definedName name="SLD.104.C.1.12.2001.00.00.DA0020">0</definedName>
    <definedName name="SLD.104.C.1.12.2001.00.00.DA0030">0</definedName>
    <definedName name="SLD.104.C.1.12.2001.00.00.DAA0050">0</definedName>
    <definedName name="SLD.104.C.1.12.2001.00.00.DAAAMORT">0</definedName>
    <definedName name="SLD.104.C.1.12.2001.00.00.DAADEPR">0</definedName>
    <definedName name="SLD.104.C.1.12.2001.00.00.DAADIFER">0</definedName>
    <definedName name="SLD.104.C.1.12.2001.00.00.DAAIMOB">0</definedName>
    <definedName name="SLD.104.C.1.12.2001.00.00.DAAMORTOUT">0</definedName>
    <definedName name="SLD.104.C.1.12.2001.00.00.DAAOUT">0</definedName>
    <definedName name="SLD.104.C.1.12.2001.00.00.DBB010">0</definedName>
    <definedName name="SLD.104.C.1.12.2001.00.00.DBB011">0</definedName>
    <definedName name="SLD.104.C.1.12.2001.00.00.DBB012">0</definedName>
    <definedName name="SLD.104.C.1.12.2001.00.00.DBB013">0</definedName>
    <definedName name="SLD.104.C.1.12.2001.00.00.DBB014">0</definedName>
    <definedName name="SLD.104.C.1.12.2001.00.00.DBB020">0</definedName>
    <definedName name="SLD.104.C.1.12.2001.00.00.DBB060">0</definedName>
    <definedName name="SLD.104.C.1.12.2001.00.00.DBB081">0</definedName>
    <definedName name="SLD.104.C.1.12.2001.00.00.DBB160">0</definedName>
    <definedName name="SLD.104.C.1.12.2001.00.00.DBB171">0</definedName>
    <definedName name="SLD.104.C.1.12.2001.00.00.DBB180">0</definedName>
    <definedName name="SLD.104.O.1.12.1998.00.00.DA0010">568312.27449989</definedName>
    <definedName name="SLD.104.O.1.12.1998.00.00.DA0030">214848.5941</definedName>
    <definedName name="SLD.104.O.1.12.1999.00.00.DA0010">1469976.91720009</definedName>
    <definedName name="SLD.104.O.1.12.1999.00.00.DA0011">75046.86199999</definedName>
    <definedName name="SLD.104.O.1.12.1999.00.00.DA0012">2197667.65179443</definedName>
    <definedName name="SLD.104.O.1.12.1999.00.00.DA0013">715459.75159836</definedName>
    <definedName name="SLD.104.O.1.12.1999.00.00.DA0015">161566.29460001</definedName>
    <definedName name="SLD.104.O.1.12.1999.00.00.DA0030">449704.71560001</definedName>
    <definedName name="SLD.104.O.1.12.1999.00.00.DAA0050">91448.70779991</definedName>
    <definedName name="SLD.104.O.1.12.1999.00.00.DAAAMORT">-1576786.53849983</definedName>
    <definedName name="SLD.104.O.1.12.1999.00.00.DAADEPR">-4591816.29910278</definedName>
    <definedName name="SLD.104.O.1.12.1999.00.00.DAADIFER">6524634.09169769</definedName>
    <definedName name="SLD.104.O.1.12.1999.00.00.DAAIMOB">87475821.765747</definedName>
    <definedName name="SLD.104.O.1.12.1999.00.00.DAAMORTOUT">-6577629.2213974</definedName>
    <definedName name="SLD.104.O.1.12.1999.00.00.DAAOUT">66456737.9736938</definedName>
    <definedName name="SLD.104.O.1.12.1999.00.00.DBB013">7182666.19400024</definedName>
    <definedName name="SLD.105.0.1.12.1997.00.00.3">-1769531.2745062</definedName>
    <definedName name="SLD.105.C.0.01.1999.00.00.249">-4293542.25</definedName>
    <definedName name="SLD.105.C.0.03.2000.00.00.11501">247554.12</definedName>
    <definedName name="SLD.105.C.0.03.2000.00.00.11806">419911.5</definedName>
    <definedName name="SLD.105.C.0.03.2000.00.00.121010001">1029261.93</definedName>
    <definedName name="SLD.105.C.0.03.2000.00.00.12502">0</definedName>
    <definedName name="SLD.105.C.0.03.2000.00.00.12806">433039.08</definedName>
    <definedName name="SLD.105.C.0.03.2000.00.00.128060004">21866.36</definedName>
    <definedName name="SLD.105.C.0.03.2000.00.00.211030001">28819.65</definedName>
    <definedName name="SLD.105.C.0.03.2000.00.00.213">1339534.05</definedName>
    <definedName name="SLD.105.C.0.03.2000.00.00.213020003">417796.57</definedName>
    <definedName name="SLD.105.C.0.03.2000.00.00.21401">1676835.63</definedName>
    <definedName name="SLD.105.C.0.03.2000.00.00.214010001">35134.92</definedName>
    <definedName name="SLD.105.C.0.03.2000.00.00.21402">185207.17</definedName>
    <definedName name="SLD.105.C.0.03.2000.00.00.21404">12511.69</definedName>
    <definedName name="SLD.105.C.0.03.2000.00.00.215">0</definedName>
    <definedName name="SLD.105.C.0.03.2000.00.00.21801">2091860.05</definedName>
    <definedName name="SLD.105.C.0.03.2000.00.00.218020001">1372516.8</definedName>
    <definedName name="SLD.105.C.0.03.2000.00.00.218020002">945824.73</definedName>
    <definedName name="SLD.105.C.0.03.2000.00.00.218020003">0</definedName>
    <definedName name="SLD.105.C.0.03.2000.00.00.21803">394145.74</definedName>
    <definedName name="SLD.105.C.0.03.2000.00.00.241">12327098.82</definedName>
    <definedName name="SLD.105.C.0.03.2000.00.00.DA0009">2279173.98</definedName>
    <definedName name="SLD.105.C.0.03.2000.00.00.DA0011">297563.67</definedName>
    <definedName name="SLD.105.C.0.03.2000.00.00.DA0012">3482271.01</definedName>
    <definedName name="SLD.105.C.0.03.2000.00.00.DA0013">1138208.77</definedName>
    <definedName name="SLD.105.C.0.03.2000.00.00.DA0030">2590239.72</definedName>
    <definedName name="SLD.105.C.0.03.2000.00.00.DAA0050">1013082.91</definedName>
    <definedName name="SLD.105.C.0.03.2000.00.00.DAAAMORT">-8547011.11</definedName>
    <definedName name="SLD.105.C.0.03.2000.00.00.DAADEPR">-10458664.21</definedName>
    <definedName name="SLD.105.C.0.03.2000.00.00.DAADIFER">15308049.67</definedName>
    <definedName name="SLD.105.C.0.03.2000.00.00.DAAIMOB">48731430.77</definedName>
    <definedName name="SLD.105.C.0.03.2000.00.00.DBB010">46638948.5599999</definedName>
    <definedName name="SLD.105.C.0.03.2000.00.00.DBB020">2550360.27</definedName>
    <definedName name="SLD.105.C.0.03.2000.00.00.DBB171">-11307336.53</definedName>
    <definedName name="SLD.105.C.0.03.2000.00.00.DBB180">-263395.17</definedName>
    <definedName name="SLD.105.C.0.03.2001.00.00.115">183.99</definedName>
    <definedName name="SLD.105.C.0.03.2001.00.00.11501">183.99</definedName>
    <definedName name="SLD.105.C.0.03.2001.00.00.11806">463581.81</definedName>
    <definedName name="SLD.105.C.0.03.2001.00.00.118060001">5993.49</definedName>
    <definedName name="SLD.105.C.0.03.2001.00.00.118060002">457588.32</definedName>
    <definedName name="SLD.105.C.0.03.2001.00.00.121010001">1172969.45</definedName>
    <definedName name="SLD.105.C.0.03.2001.00.00.12502">883675.77</definedName>
    <definedName name="SLD.105.C.0.03.2001.00.00.12806">-1524.77</definedName>
    <definedName name="SLD.105.C.0.03.2001.00.00.128060001">1191.61</definedName>
    <definedName name="SLD.105.C.0.03.2001.00.00.128060002">284.73</definedName>
    <definedName name="SLD.105.C.0.03.2001.00.00.128060003">-3718.41</definedName>
    <definedName name="SLD.105.C.0.03.2001.00.00.128060004">0</definedName>
    <definedName name="SLD.105.C.0.03.2001.00.00.128060005">330</definedName>
    <definedName name="SLD.105.C.0.03.2001.00.00.128060007">387.3</definedName>
    <definedName name="SLD.105.C.0.03.2001.00.00.211030001">28819.65</definedName>
    <definedName name="SLD.105.C.0.03.2001.00.00.213">1724453.16</definedName>
    <definedName name="SLD.105.C.0.03.2001.00.00.213020003">565084.66</definedName>
    <definedName name="SLD.105.C.0.03.2001.00.00.21401">1062296.2</definedName>
    <definedName name="SLD.105.C.0.03.2001.00.00.214010001">35861.83</definedName>
    <definedName name="SLD.105.C.0.03.2001.00.00.21402">208142.78</definedName>
    <definedName name="SLD.105.C.0.03.2001.00.00.21403">0</definedName>
    <definedName name="SLD.105.C.0.03.2001.00.00.21404">44802.32</definedName>
    <definedName name="SLD.105.C.0.03.2001.00.00.215">72111.79</definedName>
    <definedName name="SLD.105.C.0.03.2001.00.00.21801">4097732.98</definedName>
    <definedName name="SLD.105.C.0.03.2001.00.00.218010001">0</definedName>
    <definedName name="SLD.105.C.0.03.2001.00.00.218010002">27194.85</definedName>
    <definedName name="SLD.105.C.0.03.2001.00.00.218010004">4070538.13</definedName>
    <definedName name="SLD.105.C.0.03.2001.00.00.218010005">0</definedName>
    <definedName name="SLD.105.C.0.03.2001.00.00.218010006">0</definedName>
    <definedName name="SLD.105.C.0.03.2001.00.00.218020001">1645769.58</definedName>
    <definedName name="SLD.105.C.0.03.2001.00.00.218020002">998316.2</definedName>
    <definedName name="SLD.105.C.0.03.2001.00.00.218020003">1384.9</definedName>
    <definedName name="SLD.105.C.0.03.2001.00.00.21803">1469456.99</definedName>
    <definedName name="SLD.105.C.0.03.2001.00.00.218030002">1469456.99</definedName>
    <definedName name="SLD.105.C.0.03.2001.00.00.241">12327098.82</definedName>
    <definedName name="SLD.105.C.0.03.2001.00.00.3">20699.5</definedName>
    <definedName name="SLD.105.C.0.03.2001.00.00.311010001">7508961.2</definedName>
    <definedName name="SLD.105.C.0.03.2001.00.00.311010002">3136275.4</definedName>
    <definedName name="SLD.105.C.0.03.2001.00.00.311010003">856674.64</definedName>
    <definedName name="SLD.105.C.0.03.2001.00.00.311020001">72427.12</definedName>
    <definedName name="SLD.105.C.0.03.2001.00.00.311020002">45224.49</definedName>
    <definedName name="SLD.105.C.0.03.2001.00.00.311020003">45500.01</definedName>
    <definedName name="SLD.105.C.0.03.2001.00.00.32101">-994915.31</definedName>
    <definedName name="SLD.105.C.0.03.2001.00.00.32102">-5955.03</definedName>
    <definedName name="SLD.105.C.0.03.2001.00.00.331010001">-3114648.37</definedName>
    <definedName name="SLD.105.C.0.03.2001.00.00.331010002">-1994943.45</definedName>
    <definedName name="SLD.105.C.0.03.2001.00.00.331010003">-89126.4</definedName>
    <definedName name="SLD.105.C.0.03.2001.00.00.331010004">0</definedName>
    <definedName name="SLD.105.C.0.03.2001.00.00.33102">-4115.88</definedName>
    <definedName name="SLD.105.C.0.03.2001.00.00.341">-2231927.41</definedName>
    <definedName name="SLD.105.C.0.03.2001.00.00.342">-4282634.92</definedName>
    <definedName name="SLD.105.C.0.03.2001.00.00.343">-104658.86</definedName>
    <definedName name="SLD.105.C.0.03.2001.00.00.344">-439455.71</definedName>
    <definedName name="SLD.105.C.0.03.2001.00.00.34501">-318348.91</definedName>
    <definedName name="SLD.105.C.0.03.2001.00.00.34502">-555985.2</definedName>
    <definedName name="SLD.105.C.0.03.2001.00.00.346">-1095134.25</definedName>
    <definedName name="SLD.105.C.0.03.2001.00.00.346080063">-56082.27</definedName>
    <definedName name="SLD.105.C.0.03.2001.00.00.347010058">-293574.87</definedName>
    <definedName name="SLD.105.C.0.03.2001.00.00.34702">-212904.73</definedName>
    <definedName name="SLD.105.C.0.03.2001.00.00.34703">0</definedName>
    <definedName name="SLD.105.C.0.03.2001.00.00.34704">-21600</definedName>
    <definedName name="SLD.105.C.0.03.2001.00.00.34705">0</definedName>
    <definedName name="SLD.105.C.0.03.2001.00.00.349">5950136.6</definedName>
    <definedName name="SLD.105.C.0.03.2001.00.00.351010001">241640.43</definedName>
    <definedName name="SLD.105.C.0.03.2001.00.00.351010002">0</definedName>
    <definedName name="SLD.105.C.0.03.2001.00.00.351010003">0</definedName>
    <definedName name="SLD.105.C.0.03.2001.00.00.351010004">-18745.86</definedName>
    <definedName name="SLD.105.C.0.03.2001.00.00.351010005">-86519.34</definedName>
    <definedName name="SLD.105.C.0.03.2001.00.00.351010006">0</definedName>
    <definedName name="SLD.105.C.0.03.2001.00.00.351010007">0</definedName>
    <definedName name="SLD.105.C.0.03.2001.00.00.351010008">0</definedName>
    <definedName name="SLD.105.C.0.03.2001.00.00.352010001">-1620999.96</definedName>
    <definedName name="SLD.105.C.0.03.2001.00.00.361010002">1762.89</definedName>
    <definedName name="SLD.105.C.0.03.2001.00.00.361020001">-271943.21</definedName>
    <definedName name="SLD.105.C.0.03.2001.00.00.361020002">-37936.83</definedName>
    <definedName name="SLD.105.C.0.03.2001.00.00.37102">0</definedName>
    <definedName name="SLD.105.C.0.03.2001.00.00.371030001">0</definedName>
    <definedName name="SLD.105.C.0.03.2001.00.00.371030002">0</definedName>
    <definedName name="SLD.105.C.0.03.2001.00.00.381010001">-2822.66</definedName>
    <definedName name="SLD.105.C.0.03.2001.00.00.381020001">-7840.72</definedName>
    <definedName name="SLD.105.C.0.03.2001.00.00.391010001">0</definedName>
    <definedName name="SLD.105.C.0.03.2001.00.00.DA0009">4036800.55</definedName>
    <definedName name="SLD.105.C.0.03.2001.00.00.DA0011">241539.75</definedName>
    <definedName name="SLD.105.C.0.03.2001.00.00.DA0012">3640298.55</definedName>
    <definedName name="SLD.105.C.0.03.2001.00.00.DA0013">1195099.25</definedName>
    <definedName name="SLD.105.C.0.03.2001.00.00.DA0030">1635985.66</definedName>
    <definedName name="SLD.105.C.0.03.2001.00.00.DAA0050">990375.98</definedName>
    <definedName name="SLD.105.C.0.03.2001.00.00.DAAAMORT">-10077816.19</definedName>
    <definedName name="SLD.105.C.0.03.2001.00.00.DAADEPR">-19573409.96</definedName>
    <definedName name="SLD.105.C.0.03.2001.00.00.DAADIFER">15308049.67</definedName>
    <definedName name="SLD.105.C.0.03.2001.00.00.DAAIMOB">68522843.47</definedName>
    <definedName name="SLD.105.C.0.03.2001.00.00.DBB010">55565205.82</definedName>
    <definedName name="SLD.105.C.0.03.2001.00.00.DBB011">1448175.43</definedName>
    <definedName name="SLD.105.C.0.03.2001.00.00.DBB013">1172969.45</definedName>
    <definedName name="SLD.105.C.0.03.2001.00.00.DBB020">1209806.92</definedName>
    <definedName name="SLD.105.C.0.03.2001.00.00.DBB060">562852.56</definedName>
    <definedName name="SLD.105.C.0.03.2001.00.00.DBB081">0</definedName>
    <definedName name="SLD.105.C.0.03.2001.00.00.DBB160">12327098.82</definedName>
    <definedName name="SLD.105.C.0.03.2001.00.00.DBB171">-12008624.98</definedName>
    <definedName name="SLD.105.C.0.03.2001.00.00.DBB180">20699.5</definedName>
    <definedName name="SLD.105.C.0.03.2001.00.00.DGAAPR20">-3076.93</definedName>
    <definedName name="SLD.105.C.0.03.2002.00.00.115">0</definedName>
    <definedName name="SLD.105.C.0.03.2002.00.00.11501">0</definedName>
    <definedName name="SLD.105.C.0.03.2002.00.00.11806">510056.11</definedName>
    <definedName name="SLD.105.C.0.03.2002.00.00.118060001">4483.49</definedName>
    <definedName name="SLD.105.C.0.03.2002.00.00.118060002">505572.62</definedName>
    <definedName name="SLD.105.C.0.03.2002.00.00.121010001">1456351.02</definedName>
    <definedName name="SLD.105.C.0.03.2002.00.00.12502">1757755.4</definedName>
    <definedName name="SLD.105.C.0.03.2002.00.00.12806">0</definedName>
    <definedName name="SLD.105.C.0.03.2002.00.00.128060001">0</definedName>
    <definedName name="SLD.105.C.0.03.2002.00.00.128060002">0</definedName>
    <definedName name="SLD.105.C.0.03.2002.00.00.128060003">0</definedName>
    <definedName name="SLD.105.C.0.03.2002.00.00.128060004">0</definedName>
    <definedName name="SLD.105.C.0.03.2002.00.00.128060005">0</definedName>
    <definedName name="SLD.105.C.0.03.2002.00.00.128060007">0</definedName>
    <definedName name="SLD.105.C.0.03.2002.00.00.211030001">28819.65</definedName>
    <definedName name="SLD.105.C.0.03.2002.00.00.213">1849273.46</definedName>
    <definedName name="SLD.105.C.0.03.2002.00.00.213020003">629482.57</definedName>
    <definedName name="SLD.105.C.0.03.2002.00.00.21401">973783.32</definedName>
    <definedName name="SLD.105.C.0.03.2002.00.00.214010001">54419.29</definedName>
    <definedName name="SLD.105.C.0.03.2002.00.00.21402">212214.58</definedName>
    <definedName name="SLD.105.C.0.03.2002.00.00.21403">652597.47</definedName>
    <definedName name="SLD.105.C.0.03.2002.00.00.21404">32655.77</definedName>
    <definedName name="SLD.105.C.0.03.2002.00.00.215">122753.48</definedName>
    <definedName name="SLD.105.C.0.03.2002.00.00.21801">2986324.35</definedName>
    <definedName name="SLD.105.C.0.03.2002.00.00.218010001">0</definedName>
    <definedName name="SLD.105.C.0.03.2002.00.00.218010002">27194.85</definedName>
    <definedName name="SLD.105.C.0.03.2002.00.00.218010004">88977.02</definedName>
    <definedName name="SLD.105.C.0.03.2002.00.00.218010005">20153.24</definedName>
    <definedName name="SLD.105.C.0.03.2002.00.00.218010006">2849999.24</definedName>
    <definedName name="SLD.105.C.0.03.2002.00.00.218020001">236498.8</definedName>
    <definedName name="SLD.105.C.0.03.2002.00.00.218020002">998432.81</definedName>
    <definedName name="SLD.105.C.0.03.2002.00.00.218020003">111751.19</definedName>
    <definedName name="SLD.105.C.0.03.2002.00.00.21803">502885.89</definedName>
    <definedName name="SLD.105.C.0.03.2002.00.00.218030002">502885.89</definedName>
    <definedName name="SLD.105.C.0.03.2002.00.00.241">17327098.82</definedName>
    <definedName name="SLD.105.C.0.03.2002.00.00.3">1736975.33</definedName>
    <definedName name="SLD.105.C.0.03.2002.00.00.311010001">9292177</definedName>
    <definedName name="SLD.105.C.0.03.2002.00.00.311010002">3690421</definedName>
    <definedName name="SLD.105.C.0.03.2002.00.00.311010003">874120.84</definedName>
    <definedName name="SLD.105.C.0.03.2002.00.00.311020001">43915.35</definedName>
    <definedName name="SLD.105.C.0.03.2002.00.00.311020002">63798.2</definedName>
    <definedName name="SLD.105.C.0.03.2002.00.00.311020003">374418.2</definedName>
    <definedName name="SLD.105.C.0.03.2002.00.00.32101">-1154900.14</definedName>
    <definedName name="SLD.105.C.0.03.2002.00.00.32102">-17597.82</definedName>
    <definedName name="SLD.105.C.0.03.2002.00.00.331010001">-3401400.24</definedName>
    <definedName name="SLD.105.C.0.03.2002.00.00.331010002">-1266189.38</definedName>
    <definedName name="SLD.105.C.0.03.2002.00.00.331010003">-89126.4</definedName>
    <definedName name="SLD.105.C.0.03.2002.00.00.331010004">0</definedName>
    <definedName name="SLD.105.C.0.03.2002.00.00.33102">-9055.12</definedName>
    <definedName name="SLD.105.C.0.03.2002.00.00.341">-2464409.7</definedName>
    <definedName name="SLD.105.C.0.03.2002.00.00.342">-3506745.95</definedName>
    <definedName name="SLD.105.C.0.03.2002.00.00.343">-88743.62</definedName>
    <definedName name="SLD.105.C.0.03.2002.00.00.344">-603241.63</definedName>
    <definedName name="SLD.105.C.0.03.2002.00.00.34501">-309080.77</definedName>
    <definedName name="SLD.105.C.0.03.2002.00.00.34502">-594363</definedName>
    <definedName name="SLD.105.C.0.03.2002.00.00.346">-973506.6</definedName>
    <definedName name="SLD.105.C.0.03.2002.00.00.346080063">-57730.62</definedName>
    <definedName name="SLD.105.C.0.03.2002.00.00.347010058">-293574.87</definedName>
    <definedName name="SLD.105.C.0.03.2002.00.00.34702">-259652</definedName>
    <definedName name="SLD.105.C.0.03.2002.00.00.34703">0</definedName>
    <definedName name="SLD.105.C.0.03.2002.00.00.34704">-21000</definedName>
    <definedName name="SLD.105.C.0.03.2002.00.00.34705">0</definedName>
    <definedName name="SLD.105.C.0.03.2002.00.00.349">5578458.02</definedName>
    <definedName name="SLD.105.C.0.03.2002.00.00.351010001">0</definedName>
    <definedName name="SLD.105.C.0.03.2002.00.00.351010002">0</definedName>
    <definedName name="SLD.105.C.0.03.2002.00.00.351010003">0</definedName>
    <definedName name="SLD.105.C.0.03.2002.00.00.351010004">-1635.92</definedName>
    <definedName name="SLD.105.C.0.03.2002.00.00.351010005">-7550.41</definedName>
    <definedName name="SLD.105.C.0.03.2002.00.00.351010006">200666.01</definedName>
    <definedName name="SLD.105.C.0.03.2002.00.00.351010007">49967.64</definedName>
    <definedName name="SLD.105.C.0.03.2002.00.00.351010008">0</definedName>
    <definedName name="SLD.105.C.0.03.2002.00.00.352010001">-2049202.15</definedName>
    <definedName name="SLD.105.C.0.03.2002.00.00.361010002">27.36</definedName>
    <definedName name="SLD.105.C.0.03.2002.00.00.361020001">-320365.75</definedName>
    <definedName name="SLD.105.C.0.03.2002.00.00.361020002">-329.71</definedName>
    <definedName name="SLD.105.C.0.03.2002.00.00.37102">-1460</definedName>
    <definedName name="SLD.105.C.0.03.2002.00.00.371030001">0</definedName>
    <definedName name="SLD.105.C.0.03.2002.00.00.371030002">0</definedName>
    <definedName name="SLD.105.C.0.03.2002.00.00.381010001">-74714.84</definedName>
    <definedName name="SLD.105.C.0.03.2002.00.00.381020001">-207541.22</definedName>
    <definedName name="SLD.105.C.0.03.2002.00.00.391010001">0</definedName>
    <definedName name="SLD.105.C.0.03.2002.00.00.DA0009">6785268.05</definedName>
    <definedName name="SLD.105.C.0.03.2002.00.00.DA0011">164818.33</definedName>
    <definedName name="SLD.105.C.0.03.2002.00.00.DA0012">3373629.47</definedName>
    <definedName name="SLD.105.C.0.03.2002.00.00.DA0013">1107736.06</definedName>
    <definedName name="SLD.105.C.0.03.2002.00.00.DA0030">2598559.93</definedName>
    <definedName name="SLD.105.C.0.03.2002.00.00.DAA0050">997746.94</definedName>
    <definedName name="SLD.105.C.0.03.2002.00.00.DAAAMORT">-11608621.27</definedName>
    <definedName name="SLD.105.C.0.03.2002.00.00.DAADEPR">-26110799.23</definedName>
    <definedName name="SLD.105.C.0.03.2002.00.00.DAADIFER">15308049.67</definedName>
    <definedName name="SLD.105.C.0.03.2002.00.00.DAAIMOB">78705564.91</definedName>
    <definedName name="SLD.105.C.0.03.2002.00.00.DBB010">57984803.18</definedName>
    <definedName name="SLD.105.C.0.03.2002.00.00.DBB011">1519080.53</definedName>
    <definedName name="SLD.105.C.0.03.2002.00.00.DBB013">1456351.02</definedName>
    <definedName name="SLD.105.C.0.03.2002.00.00.DBB020">986925.82</definedName>
    <definedName name="SLD.105.C.0.03.2002.00.00.DBB060">409307.92</definedName>
    <definedName name="SLD.105.C.0.03.2002.00.00.DBB081">0</definedName>
    <definedName name="SLD.105.C.0.03.2002.00.00.DBB160">17327098.82</definedName>
    <definedName name="SLD.105.C.0.03.2002.00.00.DBB171">-11668858.88</definedName>
    <definedName name="SLD.105.C.0.03.2002.00.00.DBB180">1736975.33</definedName>
    <definedName name="SLD.105.C.0.03.2002.00.00.DGAAPR20">-12833.96</definedName>
    <definedName name="SLD.105.C.0.04.2002.00.00.3">2480482.07</definedName>
    <definedName name="SLD.105.C.0.05.2002.00.00.3">2464993.83</definedName>
    <definedName name="SLD.105.C.0.06.1998.00.00.11501">144032.74</definedName>
    <definedName name="SLD.105.C.0.06.1998.00.00.11806">2502888.53</definedName>
    <definedName name="SLD.105.C.0.06.1998.00.00.121010001">655852.2</definedName>
    <definedName name="SLD.105.C.0.06.1998.00.00.12502">0</definedName>
    <definedName name="SLD.105.C.0.06.1998.00.00.12806">40358.67</definedName>
    <definedName name="SLD.105.C.0.06.1998.00.00.128060004">9190.3</definedName>
    <definedName name="SLD.105.C.0.06.1998.00.00.211030001">28819.65</definedName>
    <definedName name="SLD.105.C.0.06.1998.00.00.213">1306740.54</definedName>
    <definedName name="SLD.105.C.0.06.1998.00.00.213020003">244601.35</definedName>
    <definedName name="SLD.105.C.0.06.1998.00.00.21401">3098685.09</definedName>
    <definedName name="SLD.105.C.0.06.1998.00.00.214010001">30871.17</definedName>
    <definedName name="SLD.105.C.0.06.1998.00.00.21402">199644.46</definedName>
    <definedName name="SLD.105.C.0.06.1998.00.00.21404">0</definedName>
    <definedName name="SLD.105.C.0.06.1998.00.00.215">44291.65</definedName>
    <definedName name="SLD.105.C.0.06.1998.00.00.21801">103679.77</definedName>
    <definedName name="SLD.105.C.0.06.1998.00.00.218020001">286553.4</definedName>
    <definedName name="SLD.105.C.0.06.1998.00.00.218020002">694151.62</definedName>
    <definedName name="SLD.105.C.0.06.1998.00.00.218020003">0</definedName>
    <definedName name="SLD.105.C.0.06.1998.00.00.21803">147850.02</definedName>
    <definedName name="SLD.105.C.0.06.1998.00.00.241">12327098.82</definedName>
    <definedName name="SLD.105.C.0.06.1998.00.00.DA0009">4308328.77</definedName>
    <definedName name="SLD.105.C.0.06.1998.00.00.DA0011">204658.53</definedName>
    <definedName name="SLD.105.C.0.06.1998.00.00.DA0012">768438.04</definedName>
    <definedName name="SLD.105.C.0.06.1998.00.00.DA0013">261797.91</definedName>
    <definedName name="SLD.105.C.0.06.1998.00.00.DA0030">1440102.24</definedName>
    <definedName name="SLD.105.C.0.06.1998.00.00.DAA0050">683283.69</definedName>
    <definedName name="SLD.105.C.0.06.1998.00.00.DAAAMORT">-5102699.8</definedName>
    <definedName name="SLD.105.C.0.06.1998.00.00.DAADEPR">-3579754.27</definedName>
    <definedName name="SLD.105.C.0.06.1998.00.00.DAADIFER">15308049.67</definedName>
    <definedName name="SLD.105.C.0.06.1998.00.00.DAAIMOB">34303782.93</definedName>
    <definedName name="SLD.105.C.0.06.1998.00.00.DBB010">36628821.85</definedName>
    <definedName name="SLD.105.C.0.06.1998.00.00.DBB020">1168713.52</definedName>
    <definedName name="SLD.105.C.0.06.1998.00.00.DBB171">-2280240.87</definedName>
    <definedName name="SLD.105.C.0.06.1998.00.00.DBB180">-1786870.02</definedName>
    <definedName name="SLD.105.C.0.06.1999.00.00.11501">144133.71</definedName>
    <definedName name="SLD.105.C.0.06.1999.00.00.11806">1575951.24</definedName>
    <definedName name="SLD.105.C.0.06.1999.00.00.121010001">851026.89</definedName>
    <definedName name="SLD.105.C.0.06.1999.00.00.12502">0</definedName>
    <definedName name="SLD.105.C.0.06.1999.00.00.12806">36146</definedName>
    <definedName name="SLD.105.C.0.06.1999.00.00.128060004">21866.36</definedName>
    <definedName name="SLD.105.C.0.06.1999.00.00.211030001">28819.65</definedName>
    <definedName name="SLD.105.C.0.06.1999.00.00.213">1715432.11</definedName>
    <definedName name="SLD.105.C.0.06.1999.00.00.213020003">338850.14</definedName>
    <definedName name="SLD.105.C.0.06.1999.00.00.21401">2179048.13</definedName>
    <definedName name="SLD.105.C.0.06.1999.00.00.214010001">25641.92</definedName>
    <definedName name="SLD.105.C.0.06.1999.00.00.21402">165562.37</definedName>
    <definedName name="SLD.105.C.0.06.1999.00.00.21404">34853.67</definedName>
    <definedName name="SLD.105.C.0.06.1999.00.00.215">0</definedName>
    <definedName name="SLD.105.C.0.06.1999.00.00.21801">58668.21</definedName>
    <definedName name="SLD.105.C.0.06.1999.00.00.218020001">1176592</definedName>
    <definedName name="SLD.105.C.0.06.1999.00.00.218020002">0</definedName>
    <definedName name="SLD.105.C.0.06.1999.00.00.218020003">0</definedName>
    <definedName name="SLD.105.C.0.06.1999.00.00.21803">520443.97</definedName>
    <definedName name="SLD.105.C.0.06.1999.00.00.218030002">520443.97</definedName>
    <definedName name="SLD.105.C.0.06.1999.00.00.241">12327098.82</definedName>
    <definedName name="SLD.105.C.0.06.1999.00.00.331">-7493777.8</definedName>
    <definedName name="SLD.105.C.0.06.1999.00.00.391">-634428.8</definedName>
    <definedName name="SLD.105.C.0.06.1999.00.00.DA0009">2999815.5</definedName>
    <definedName name="SLD.105.C.0.06.1999.00.00.DA0011">201849.85</definedName>
    <definedName name="SLD.105.C.0.06.1999.00.00.DA0012">768438.04</definedName>
    <definedName name="SLD.105.C.0.06.1999.00.00.DA0013">261797.91</definedName>
    <definedName name="SLD.105.C.0.06.1999.00.00.DA0015">1756230.95</definedName>
    <definedName name="SLD.105.C.0.06.1999.00.00.DA0016">1734364.59</definedName>
    <definedName name="SLD.105.C.0.06.1999.00.00.DA0030">2943268.98</definedName>
    <definedName name="SLD.105.C.0.06.1999.00.00.DAA0050">700705.49</definedName>
    <definedName name="SLD.105.C.0.06.1999.00.00.DAAAMORT">-7398907.3</definedName>
    <definedName name="SLD.105.C.0.06.1999.00.00.DAADEPR">-6525025.14</definedName>
    <definedName name="SLD.105.C.0.06.1999.00.00.DAADIFER">15308049.67</definedName>
    <definedName name="SLD.105.C.0.06.1999.00.00.DAAIMOB">40355781.06</definedName>
    <definedName name="SLD.105.C.0.06.1999.00.00.DAAMORTOUT">0</definedName>
    <definedName name="SLD.105.C.0.06.1999.00.00.DAAOUT">0</definedName>
    <definedName name="SLD.105.C.0.06.1999.00.00.DBB010">47078894.7899999</definedName>
    <definedName name="SLD.105.C.0.06.1999.00.00.DBB011">1602639.93</definedName>
    <definedName name="SLD.105.C.0.06.1999.00.00.DBB012">579112.18</definedName>
    <definedName name="SLD.105.C.0.06.1999.00.00.DBB020">989881.26</definedName>
    <definedName name="SLD.105.C.0.06.1999.00.00.DBB040">1176592</definedName>
    <definedName name="SLD.105.C.0.06.1999.00.00.DBB060">577454.97</definedName>
    <definedName name="SLD.105.C.0.06.1999.00.00.DBB081">0</definedName>
    <definedName name="SLD.105.C.0.06.1999.00.00.DBB171">-4293542.25</definedName>
    <definedName name="SLD.105.C.0.06.1999.00.00.DBB180">-9729901.18</definedName>
    <definedName name="SLD.105.C.0.06.1999.00.00.DGAAPR01">17821438.85</definedName>
    <definedName name="SLD.105.C.0.06.1999.00.00.DGAAPR02">1301557.48</definedName>
    <definedName name="SLD.105.C.0.06.1999.00.00.DGAAPR03">-1608657.52</definedName>
    <definedName name="SLD.105.C.0.06.1999.00.00.DGAAPR16">-3223348.71</definedName>
    <definedName name="SLD.105.C.0.06.1999.00.00.DGAAPR17">-8649397.84</definedName>
    <definedName name="SLD.105.C.0.06.1999.00.00.DGAAPR18">-10410.04</definedName>
    <definedName name="SLD.105.C.0.06.1999.00.00.DGAAPR19">0</definedName>
    <definedName name="SLD.105.C.0.06.1999.00.00.DGAAPR20">-29921.23</definedName>
    <definedName name="SLD.105.C.0.06.1999.00.00.DGAAPR21">0</definedName>
    <definedName name="SLD.105.C.0.06.1999.00.00.DGAAPR22">0</definedName>
    <definedName name="SLD.105.C.0.06.1999.00.00.DGAAPR23">-733334.22</definedName>
    <definedName name="SLD.105.C.0.06.1999.00.00.DGAAPR24">288654.53</definedName>
    <definedName name="SLD.105.C.0.06.1999.00.00.DGAAPR25">0</definedName>
    <definedName name="SLD.105.C.0.06.2000.00.00.11501">249520.46</definedName>
    <definedName name="SLD.105.C.0.06.2000.00.00.11806">427884.87</definedName>
    <definedName name="SLD.105.C.0.06.2000.00.00.121010001">1065447.37</definedName>
    <definedName name="SLD.105.C.0.06.2000.00.00.12502">0</definedName>
    <definedName name="SLD.105.C.0.06.2000.00.00.12806">460315.82</definedName>
    <definedName name="SLD.105.C.0.06.2000.00.00.128060004">21866.36</definedName>
    <definedName name="SLD.105.C.0.06.2000.00.00.132030098">0</definedName>
    <definedName name="SLD.105.C.0.06.2000.00.00.211030001">28819.65</definedName>
    <definedName name="SLD.105.C.0.06.2000.00.00.213">1673616.56</definedName>
    <definedName name="SLD.105.C.0.06.2000.00.00.213020003">463974.13</definedName>
    <definedName name="SLD.105.C.0.06.2000.00.00.21401">1732242.27</definedName>
    <definedName name="SLD.105.C.0.06.2000.00.00.214010001">35400.88</definedName>
    <definedName name="SLD.105.C.0.06.2000.00.00.21402">194895.24</definedName>
    <definedName name="SLD.105.C.0.06.2000.00.00.21404">21046.82</definedName>
    <definedName name="SLD.105.C.0.06.2000.00.00.215">0</definedName>
    <definedName name="SLD.105.C.0.06.2000.00.00.21801">4092370.64</definedName>
    <definedName name="SLD.105.C.0.06.2000.00.00.218020001">1539026.8</definedName>
    <definedName name="SLD.105.C.0.06.2000.00.00.218020002">91416.11</definedName>
    <definedName name="SLD.105.C.0.06.2000.00.00.218020003">0</definedName>
    <definedName name="SLD.105.C.0.06.2000.00.00.21803">282819.99</definedName>
    <definedName name="SLD.105.C.0.06.2000.00.00.218030002">282819.99</definedName>
    <definedName name="SLD.105.C.0.06.2000.00.00.241">12327098.82</definedName>
    <definedName name="SLD.105.C.0.06.2000.00.00.331">-10416987.34</definedName>
    <definedName name="SLD.105.C.0.06.2000.00.00.346080063">-175128.17</definedName>
    <definedName name="SLD.105.C.0.06.2000.00.00.346080064">0</definedName>
    <definedName name="SLD.105.C.0.06.2000.00.00.351010001">146399.98</definedName>
    <definedName name="SLD.105.C.0.06.2000.00.00.351010004">-954.1</definedName>
    <definedName name="SLD.105.C.0.06.2000.00.00.351010005">-4403.53</definedName>
    <definedName name="SLD.105.C.0.06.2000.00.00.391">-658144.72</definedName>
    <definedName name="SLD.105.C.0.06.2000.00.00.DA0009">4343618.54000001</definedName>
    <definedName name="SLD.105.C.0.06.2000.00.00.DA0011">909006.75</definedName>
    <definedName name="SLD.105.C.0.06.2000.00.00.DA0012">3486028.62</definedName>
    <definedName name="SLD.105.C.0.06.2000.00.00.DA0013">1139564.63</definedName>
    <definedName name="SLD.105.C.0.06.2000.00.00.DA0016">1115854.79</definedName>
    <definedName name="SLD.105.C.0.06.2000.00.00.DA0030">2413560.12999999</definedName>
    <definedName name="SLD.105.C.0.06.2000.00.00.DAA0050">787951.52</definedName>
    <definedName name="SLD.105.C.0.06.2000.00.00.DAAAMORT">-8929712.38</definedName>
    <definedName name="SLD.105.C.0.06.2000.00.00.DAADEPR">-12786209.48</definedName>
    <definedName name="SLD.105.C.0.06.2000.00.00.DAADIFER">15308049.67</definedName>
    <definedName name="SLD.105.C.0.06.2000.00.00.DAAIMOB">51325371.24</definedName>
    <definedName name="SLD.105.C.0.06.2000.00.00.DAAMORTOUT">0</definedName>
    <definedName name="SLD.105.C.0.06.2000.00.00.DAAOUT">0</definedName>
    <definedName name="SLD.105.C.0.06.2000.00.00.DBB010">46745416.62</definedName>
    <definedName name="SLD.105.C.0.06.2000.00.00.DBB011">1460985.37</definedName>
    <definedName name="SLD.105.C.0.06.2000.00.00.DBB012">4466606.74</definedName>
    <definedName name="SLD.105.C.0.06.2000.00.00.DBB020">3081105.73</definedName>
    <definedName name="SLD.105.C.0.06.2000.00.00.DBB040">1539026.8</definedName>
    <definedName name="SLD.105.C.0.06.2000.00.00.DBB060">1268956.52</definedName>
    <definedName name="SLD.105.C.0.06.2000.00.00.DBB081">0</definedName>
    <definedName name="SLD.105.C.0.06.2000.00.00.DBB171">-11307336.53</definedName>
    <definedName name="SLD.105.C.0.06.2000.00.00.DBB180">-273321.31</definedName>
    <definedName name="SLD.105.C.0.06.2000.00.00.DGAAPR01">19373919.4</definedName>
    <definedName name="SLD.105.C.0.06.2000.00.00.DGAAPR02">3436198.71</definedName>
    <definedName name="SLD.105.C.0.06.2000.00.00.DGAAPR03">-1894084.43</definedName>
    <definedName name="SLD.105.C.0.06.2000.00.00.DGAAPR16">-2873624.19</definedName>
    <definedName name="SLD.105.C.0.06.2000.00.00.DGAAPR17">-217558.15</definedName>
    <definedName name="SLD.105.C.0.06.2000.00.00.DGAAPR18">-175128.17</definedName>
    <definedName name="SLD.105.C.0.06.2000.00.00.DGAAPR19">0</definedName>
    <definedName name="SLD.105.C.0.06.2000.00.00.DGAAPR20">-7312.74</definedName>
    <definedName name="SLD.105.C.0.06.2000.00.00.DGAAPR21">103528.5</definedName>
    <definedName name="SLD.105.C.0.06.2000.00.00.DGAAPR22">37273.39</definedName>
    <definedName name="SLD.105.C.0.06.2000.00.00.DGAAPR23">-674717.89</definedName>
    <definedName name="SLD.105.C.0.06.2000.00.00.DGAAPR24">141042.35</definedName>
    <definedName name="SLD.105.C.0.06.2000.00.00.DGAAPR25">0</definedName>
    <definedName name="SLD.105.C.0.06.2001.00.00.111020016">0</definedName>
    <definedName name="SLD.105.C.0.06.2001.00.00.115">0</definedName>
    <definedName name="SLD.105.C.0.06.2001.00.00.11501">0</definedName>
    <definedName name="SLD.105.C.0.06.2001.00.00.11806">463581.81</definedName>
    <definedName name="SLD.105.C.0.06.2001.00.00.118060002">457588.32</definedName>
    <definedName name="SLD.105.C.0.06.2001.00.00.121010001">1208156.24</definedName>
    <definedName name="SLD.105.C.0.06.2001.00.00.12502">928737.61</definedName>
    <definedName name="SLD.105.C.0.06.2001.00.00.12806">2193.64</definedName>
    <definedName name="SLD.105.C.0.06.2001.00.00.128060001">1191.61</definedName>
    <definedName name="SLD.105.C.0.06.2001.00.00.128060002">284.73</definedName>
    <definedName name="SLD.105.C.0.06.2001.00.00.128060003">0</definedName>
    <definedName name="SLD.105.C.0.06.2001.00.00.128060004">0</definedName>
    <definedName name="SLD.105.C.0.06.2001.00.00.128060005">330</definedName>
    <definedName name="SLD.105.C.0.06.2001.00.00.128060007">387.3</definedName>
    <definedName name="SLD.105.C.0.06.2001.00.00.132030098">0</definedName>
    <definedName name="SLD.105.C.0.06.2001.00.00.211030001">28819.65</definedName>
    <definedName name="SLD.105.C.0.06.2001.00.00.213">1941031.16</definedName>
    <definedName name="SLD.105.C.0.06.2001.00.00.213020003">593972.69</definedName>
    <definedName name="SLD.105.C.0.06.2001.00.00.214">1081527.16</definedName>
    <definedName name="SLD.105.C.0.06.2001.00.00.21401">822329.93</definedName>
    <definedName name="SLD.105.C.0.06.2001.00.00.214010001">37195.74</definedName>
    <definedName name="SLD.105.C.0.06.2001.00.00.21402">217351.5</definedName>
    <definedName name="SLD.105.C.0.06.2001.00.00.21404">41845.73</definedName>
    <definedName name="SLD.105.C.0.06.2001.00.00.215">119006.6</definedName>
    <definedName name="SLD.105.C.0.06.2001.00.00.218">0</definedName>
    <definedName name="SLD.105.C.0.06.2001.00.00.218.01">0</definedName>
    <definedName name="SLD.105.C.0.06.2001.00.00.21801">5113730.18</definedName>
    <definedName name="SLD.105.C.0.06.2001.00.00.218010001">0</definedName>
    <definedName name="SLD.105.C.0.06.2001.00.00.218010002">27194.85</definedName>
    <definedName name="SLD.105.C.0.06.2001.00.00.218010004">5069471.88</definedName>
    <definedName name="SLD.105.C.0.06.2001.00.00.218010005">17063.45</definedName>
    <definedName name="SLD.105.C.0.06.2001.00.00.218010007">0</definedName>
    <definedName name="SLD.105.C.0.06.2001.00.00.218010008">0</definedName>
    <definedName name="SLD.105.C.0.06.2001.00.00.21802">1439664.58</definedName>
    <definedName name="SLD.105.C.0.06.2001.00.00.218020001">851569.98</definedName>
    <definedName name="SLD.105.C.0.06.2001.00.00.218020002">498112.4</definedName>
    <definedName name="SLD.105.C.0.06.2001.00.00.218020003">89982.2</definedName>
    <definedName name="SLD.105.C.0.06.2001.00.00.21803">701735.89</definedName>
    <definedName name="SLD.105.C.0.06.2001.00.00.218030002">701735.89</definedName>
    <definedName name="SLD.105.C.0.06.2001.00.00.241">12327098.82</definedName>
    <definedName name="SLD.105.C.0.06.2001.00.00.311010001">14795868.4</definedName>
    <definedName name="SLD.105.C.0.06.2001.00.00.311010002">6438992.05</definedName>
    <definedName name="SLD.105.C.0.06.2001.00.00.311010003">1715517.05</definedName>
    <definedName name="SLD.105.C.0.06.2001.00.00.311020001">122218.58</definedName>
    <definedName name="SLD.105.C.0.06.2001.00.00.311020002">90448.98</definedName>
    <definedName name="SLD.105.C.0.06.2001.00.00.311020003">91000</definedName>
    <definedName name="SLD.105.C.0.06.2001.00.00.32101">-1975180.45</definedName>
    <definedName name="SLD.105.C.0.06.2001.00.00.32102">-11083.86</definedName>
    <definedName name="SLD.105.C.0.06.2001.00.00.331">-10826410.8</definedName>
    <definedName name="SLD.105.C.0.06.2001.00.00.331010001">-6622165.3</definedName>
    <definedName name="SLD.105.C.0.06.2001.00.00.331010002">-4013645.06</definedName>
    <definedName name="SLD.105.C.0.06.2001.00.00.331010003">-178252.8</definedName>
    <definedName name="SLD.105.C.0.06.2001.00.00.331010004">0</definedName>
    <definedName name="SLD.105.C.0.06.2001.00.00.33102">-12347.64</definedName>
    <definedName name="SLD.105.C.0.06.2001.00.00.341">-4674885.48</definedName>
    <definedName name="SLD.105.C.0.06.2001.00.00.342">-7805088.42</definedName>
    <definedName name="SLD.105.C.0.06.2001.00.00.343">-179777.22</definedName>
    <definedName name="SLD.105.C.0.06.2001.00.00.344">-1269866.89</definedName>
    <definedName name="SLD.105.C.0.06.2001.00.00.345">-1696279.66</definedName>
    <definedName name="SLD.105.C.0.06.2001.00.00.34501">-584309.26</definedName>
    <definedName name="SLD.105.C.0.06.2001.00.00.34502">-1111970.4</definedName>
    <definedName name="SLD.105.C.0.06.2001.00.00.346">-1995961.44</definedName>
    <definedName name="SLD.105.C.0.06.2001.00.00.346080063">-126806.31</definedName>
    <definedName name="SLD.105.C.0.06.2001.00.00.346080064">0</definedName>
    <definedName name="SLD.105.C.0.06.2001.00.00.347010058">-587149.74</definedName>
    <definedName name="SLD.105.C.0.06.2001.00.00.34702">-424697.2</definedName>
    <definedName name="SLD.105.C.0.06.2001.00.00.34703">0</definedName>
    <definedName name="SLD.105.C.0.06.2001.00.00.34704">-43200</definedName>
    <definedName name="SLD.105.C.0.06.2001.00.00.34705">794199.6</definedName>
    <definedName name="SLD.105.C.0.06.2001.00.00.347060001">-58082</definedName>
    <definedName name="SLD.105.C.0.06.2001.00.00.349">11590903.67</definedName>
    <definedName name="SLD.105.C.0.06.2001.00.00.351010001">391496.48</definedName>
    <definedName name="SLD.105.C.0.06.2001.00.00.351010002">0</definedName>
    <definedName name="SLD.105.C.0.06.2001.00.00.351010003">0</definedName>
    <definedName name="SLD.105.C.0.06.2001.00.00.351010004">-19730.94</definedName>
    <definedName name="SLD.105.C.0.06.2001.00.00.351010005">-91065.91</definedName>
    <definedName name="SLD.105.C.0.06.2001.00.00.351010006">0</definedName>
    <definedName name="SLD.105.C.0.06.2001.00.00.351010007">0</definedName>
    <definedName name="SLD.105.C.0.06.2001.00.00.351010008">0</definedName>
    <definedName name="SLD.105.C.0.06.2001.00.00.352010001">-3544445.45</definedName>
    <definedName name="SLD.105.C.0.06.2001.00.00.361010002">2988.02</definedName>
    <definedName name="SLD.105.C.0.06.2001.00.00.361020001">-545401.76</definedName>
    <definedName name="SLD.105.C.0.06.2001.00.00.361020002">-52439.62</definedName>
    <definedName name="SLD.105.C.0.06.2001.00.00.361020003">0</definedName>
    <definedName name="SLD.105.C.0.06.2001.00.00.37102">38500</definedName>
    <definedName name="SLD.105.C.0.06.2001.00.00.371030001">0</definedName>
    <definedName name="SLD.105.C.0.06.2001.00.00.371030002">0</definedName>
    <definedName name="SLD.105.C.0.06.2001.00.00.381010001">56521.58</definedName>
    <definedName name="SLD.105.C.0.06.2001.00.00.381020001">157010.81</definedName>
    <definedName name="SLD.105.C.0.06.2001.00.00.391">-893916.24</definedName>
    <definedName name="SLD.105.C.0.06.2001.00.00.391010001">-893916.24</definedName>
    <definedName name="SLD.105.C.0.06.2001.00.00.DA0009">4751088.23</definedName>
    <definedName name="SLD.105.C.0.06.2001.00.00.DA0010">1257568.17</definedName>
    <definedName name="SLD.105.C.0.06.2001.00.00.DA0011">204697.52</definedName>
    <definedName name="SLD.105.C.0.06.2001.00.00.DA0012">3805150.08</definedName>
    <definedName name="SLD.105.C.0.06.2001.00.00.DA0013">1254443.49</definedName>
    <definedName name="SLD.105.C.0.06.2001.00.00.DA0016">1394513.06</definedName>
    <definedName name="SLD.105.C.0.06.2001.00.00.DA0030">1448298.18</definedName>
    <definedName name="SLD.105.C.0.06.2001.00.00.DAA0050">809971.58</definedName>
    <definedName name="SLD.105.C.0.06.2001.00.00.DAAAMORT">-10460517.46</definedName>
    <definedName name="SLD.105.C.0.06.2001.00.00.DAADEPR">-21622105.0999999</definedName>
    <definedName name="SLD.105.C.0.06.2001.00.00.DAADIFER">15308049.67</definedName>
    <definedName name="SLD.105.C.0.06.2001.00.00.DAAIMOB">70253299.8699999</definedName>
    <definedName name="SLD.105.C.0.06.2001.00.00.DAAMORTOUT">0</definedName>
    <definedName name="SLD.105.C.0.06.2001.00.00.DAAOUT">0</definedName>
    <definedName name="SLD.105.C.0.06.2001.00.00.DBB010">56962290.58</definedName>
    <definedName name="SLD.105.C.0.06.2001.00.00.DBB011">1643451.44</definedName>
    <definedName name="SLD.105.C.0.06.2001.00.00.DBB012">6522567.27</definedName>
    <definedName name="SLD.105.C.0.06.2001.00.00.DBB013">1208156.24</definedName>
    <definedName name="SLD.105.C.0.06.2001.00.00.DBB020">1092089.42</definedName>
    <definedName name="SLD.105.C.0.06.2001.00.00.DBB040">851569.98</definedName>
    <definedName name="SLD.105.C.0.06.2001.00.00.DBB060">321552.38</definedName>
    <definedName name="SLD.105.C.0.06.2001.00.00.DBB081">0</definedName>
    <definedName name="SLD.105.C.0.06.2001.00.00.DBB160">12327098.82</definedName>
    <definedName name="SLD.105.C.0.06.2001.00.00.DBB171">-12008624.98</definedName>
    <definedName name="SLD.105.C.0.06.2001.00.00.DBB180">-414504.05</definedName>
    <definedName name="SLD.105.C.0.06.2001.00.00.DGAAPR01">21234860.45</definedName>
    <definedName name="SLD.105.C.0.06.2001.00.00.DGAAPR02">2019184.61</definedName>
    <definedName name="SLD.105.C.0.06.2001.00.00.DGAAPR03">-1986264.31</definedName>
    <definedName name="SLD.105.C.0.06.2001.00.00.DGAAPR16">-3544445.45</definedName>
    <definedName name="SLD.105.C.0.06.2001.00.00.DGAAPR17">-49451.6</definedName>
    <definedName name="SLD.105.C.0.06.2001.00.00.DGAAPR18">-126806.31</definedName>
    <definedName name="SLD.105.C.0.06.2001.00.00.DGAAPR19">0</definedName>
    <definedName name="SLD.105.C.0.06.2001.00.00.DGAAPR20">-5506.19</definedName>
    <definedName name="SLD.105.C.0.06.2001.00.00.DGAAPR21">157010.81</definedName>
    <definedName name="SLD.105.C.0.06.2001.00.00.DGAAPR22">56521.58</definedName>
    <definedName name="SLD.105.C.0.06.2001.00.00.DGAAPR23">-545401.76</definedName>
    <definedName name="SLD.105.C.0.06.2001.00.00.DGAAPR24">280699.63</definedName>
    <definedName name="SLD.105.C.0.06.2001.00.00.DGAAPR25">38500</definedName>
    <definedName name="SLD.105.C.0.06.2002.00.00.115">0</definedName>
    <definedName name="SLD.105.C.0.06.2002.00.00.11501">0</definedName>
    <definedName name="SLD.105.C.0.06.2002.00.00.11806">518441.41</definedName>
    <definedName name="SLD.105.C.0.06.2002.00.00.118060001">4483.49</definedName>
    <definedName name="SLD.105.C.0.06.2002.00.00.118060002">513957.92</definedName>
    <definedName name="SLD.105.C.0.06.2002.00.00.121010001">1671623.09</definedName>
    <definedName name="SLD.105.C.0.06.2002.00.00.12502">1956976.79</definedName>
    <definedName name="SLD.105.C.0.06.2002.00.00.12806">0</definedName>
    <definedName name="SLD.105.C.0.06.2002.00.00.128060001">0</definedName>
    <definedName name="SLD.105.C.0.06.2002.00.00.128060002">0</definedName>
    <definedName name="SLD.105.C.0.06.2002.00.00.128060003">0</definedName>
    <definedName name="SLD.105.C.0.06.2002.00.00.128060004">0</definedName>
    <definedName name="SLD.105.C.0.06.2002.00.00.128060005">0</definedName>
    <definedName name="SLD.105.C.0.06.2002.00.00.128060007">0</definedName>
    <definedName name="SLD.105.C.0.06.2002.00.00.211030001">28819.65</definedName>
    <definedName name="SLD.105.C.0.06.2002.00.00.213">2097435.38</definedName>
    <definedName name="SLD.105.C.0.06.2002.00.00.213020003">624657.4</definedName>
    <definedName name="SLD.105.C.0.06.2002.00.00.21401">944954.36</definedName>
    <definedName name="SLD.105.C.0.06.2002.00.00.214010001">45249.93</definedName>
    <definedName name="SLD.105.C.0.06.2002.00.00.21402">216358.92</definedName>
    <definedName name="SLD.105.C.0.06.2002.00.00.21403">1035733.22</definedName>
    <definedName name="SLD.105.C.0.06.2002.00.00.21404">37959.06</definedName>
    <definedName name="SLD.105.C.0.06.2002.00.00.215">26331.2</definedName>
    <definedName name="SLD.105.C.0.06.2002.00.00.21801">3023391.51</definedName>
    <definedName name="SLD.105.C.0.06.2002.00.00.218010001">0</definedName>
    <definedName name="SLD.105.C.0.06.2002.00.00.218010002">27194.85</definedName>
    <definedName name="SLD.105.C.0.06.2002.00.00.218010004">127797.5</definedName>
    <definedName name="SLD.105.C.0.06.2002.00.00.218010005">18399.92</definedName>
    <definedName name="SLD.105.C.0.06.2002.00.00.218010006">2849999.24</definedName>
    <definedName name="SLD.105.C.0.06.2002.00.00.21802">1079200.57</definedName>
    <definedName name="SLD.105.C.0.06.2002.00.00.218020001">0</definedName>
    <definedName name="SLD.105.C.0.06.2002.00.00.218020002">631789.2</definedName>
    <definedName name="SLD.105.C.0.06.2002.00.00.218020003">211372.26</definedName>
    <definedName name="SLD.105.C.0.06.2002.00.00.218020004">236039.11</definedName>
    <definedName name="SLD.105.C.0.06.2002.00.00.21803">406892.59</definedName>
    <definedName name="SLD.105.C.0.06.2002.00.00.218030002">406892.59</definedName>
    <definedName name="SLD.105.C.0.06.2002.00.00.241">17327098.82</definedName>
    <definedName name="SLD.105.C.0.06.2002.00.00.3">0</definedName>
    <definedName name="SLD.105.C.0.06.2002.00.00.311010001">18309385</definedName>
    <definedName name="SLD.105.C.0.06.2002.00.00.311010002">7671482</definedName>
    <definedName name="SLD.105.C.0.06.2002.00.00.311010003">1744776.44</definedName>
    <definedName name="SLD.105.C.0.06.2002.00.00.311020001">100367.83</definedName>
    <definedName name="SLD.105.C.0.06.2002.00.00.311020002">172879.7</definedName>
    <definedName name="SLD.105.C.0.06.2002.00.00.311020003">938701.07</definedName>
    <definedName name="SLD.105.C.0.06.2002.00.00.32101">-2311028.98</definedName>
    <definedName name="SLD.105.C.0.06.2002.00.00.32102">-44296.38</definedName>
    <definedName name="SLD.105.C.0.06.2002.00.00.331010001">-7083906.91</definedName>
    <definedName name="SLD.105.C.0.06.2002.00.00.331010002">-2566643.53</definedName>
    <definedName name="SLD.105.C.0.06.2002.00.00.331010003">-178252.8</definedName>
    <definedName name="SLD.105.C.0.06.2002.00.00.331010004">0</definedName>
    <definedName name="SLD.105.C.0.06.2002.00.00.33102">-40222.53</definedName>
    <definedName name="SLD.105.C.0.06.2002.00.00.341">-5068489.13</definedName>
    <definedName name="SLD.105.C.0.06.2002.00.00.342">-7578277.62</definedName>
    <definedName name="SLD.105.C.0.06.2002.00.00.343">-266494.27</definedName>
    <definedName name="SLD.105.C.0.06.2002.00.00.344">-1521664.48</definedName>
    <definedName name="SLD.105.C.0.06.2002.00.00.34501">-580936.11</definedName>
    <definedName name="SLD.105.C.0.06.2002.00.00.34502">-1188726</definedName>
    <definedName name="SLD.105.C.0.06.2002.00.00.346">-1916681.84</definedName>
    <definedName name="SLD.105.C.0.06.2002.00.00.346080063">-140693.58</definedName>
    <definedName name="SLD.105.C.0.06.2002.00.00.347010058">-587149.74</definedName>
    <definedName name="SLD.105.C.0.06.2002.00.00.34702">-519617.38</definedName>
    <definedName name="SLD.105.C.0.06.2002.00.00.34703">0</definedName>
    <definedName name="SLD.105.C.0.06.2002.00.00.34704">-42000</definedName>
    <definedName name="SLD.105.C.0.06.2002.00.00.34705">0</definedName>
    <definedName name="SLD.105.C.0.06.2002.00.00.349">12192784.46</definedName>
    <definedName name="SLD.105.C.0.06.2002.00.00.351010001">0</definedName>
    <definedName name="SLD.105.C.0.06.2002.00.00.351010002">0</definedName>
    <definedName name="SLD.105.C.0.06.2002.00.00.351010003">18108.81</definedName>
    <definedName name="SLD.105.C.0.06.2002.00.00.351010004">0</definedName>
    <definedName name="SLD.105.C.0.06.2002.00.00.351010005">0</definedName>
    <definedName name="SLD.105.C.0.06.2002.00.00.351010006">484307.31</definedName>
    <definedName name="SLD.105.C.0.06.2002.00.00.351010007">73421.06</definedName>
    <definedName name="SLD.105.C.0.06.2002.00.00.351010008">0</definedName>
    <definedName name="SLD.105.C.0.06.2002.00.00.352010001">-4101422.46</definedName>
    <definedName name="SLD.105.C.0.06.2002.00.00.361010002">4530.85</definedName>
    <definedName name="SLD.105.C.0.06.2002.00.00.361020001">-589901.34</definedName>
    <definedName name="SLD.105.C.0.06.2002.00.00.361020002">-29140.51</definedName>
    <definedName name="SLD.105.C.0.06.2002.00.00.37102">27703.65</definedName>
    <definedName name="SLD.105.C.0.06.2002.00.00.371030001">0</definedName>
    <definedName name="SLD.105.C.0.06.2002.00.00.371030002">0</definedName>
    <definedName name="SLD.105.C.0.06.2002.00.00.381010001">-118860.5</definedName>
    <definedName name="SLD.105.C.0.06.2002.00.00.381020001">-330168.04</definedName>
    <definedName name="SLD.105.C.0.06.2002.00.00.391010001">-1082404.86</definedName>
    <definedName name="SLD.105.C.0.06.2002.00.00.DA0009">6090661.82</definedName>
    <definedName name="SLD.105.C.0.06.2002.00.00.DA0011">208946.4</definedName>
    <definedName name="SLD.105.C.0.06.2002.00.00.DA0012">3251002.65</definedName>
    <definedName name="SLD.105.C.0.06.2002.00.00.DA0013">1063590.4</definedName>
    <definedName name="SLD.105.C.0.06.2002.00.00.DA0030">2289865.01999999</definedName>
    <definedName name="SLD.105.C.0.06.2002.00.00.DAA0050">731393.05</definedName>
    <definedName name="SLD.105.C.0.06.2002.00.00.DAAAMORT">-11991322.54</definedName>
    <definedName name="SLD.105.C.0.06.2002.00.00.DAADEPR">-27461117.28</definedName>
    <definedName name="SLD.105.C.0.06.2002.00.00.DAADIFER">15308049.67</definedName>
    <definedName name="SLD.105.C.0.06.2002.00.00.DAAIMOB">81621524.2499999</definedName>
    <definedName name="SLD.105.C.0.06.2002.00.00.DBB010">56941763.29</definedName>
    <definedName name="SLD.105.C.0.06.2002.00.00.DBB011">1772345.89</definedName>
    <definedName name="SLD.105.C.0.06.2002.00.00.DBB013">1671623.09</definedName>
    <definedName name="SLD.105.C.0.06.2002.00.00.DBB020">970745.98</definedName>
    <definedName name="SLD.105.C.0.06.2002.00.00.DBB060">381263.02</definedName>
    <definedName name="SLD.105.C.0.06.2002.00.00.DBB160">17327098.82</definedName>
    <definedName name="SLD.105.C.0.06.2002.00.00.DBB171">-11668858.88</definedName>
    <definedName name="SLD.105.C.0.06.2002.00.00.DBB180">2820628.71</definedName>
    <definedName name="SLD.105.C.0.06.2002.00.00.DGAAPR20">-11370.34</definedName>
    <definedName name="SLD.105.C.0.08.1999.00.00.DGAAPR21">0</definedName>
    <definedName name="SLD.105.C.0.08.1999.00.00.DGAAPR22">0</definedName>
    <definedName name="SLD.105.C.0.09.1999.00.00.DGAAPR21">3247000</definedName>
    <definedName name="SLD.105.C.0.09.1999.00.00.DGAAPR22">1029000</definedName>
    <definedName name="SLD.105.C.0.09.2000.00.00.11501">271557.84</definedName>
    <definedName name="SLD.105.C.0.09.2000.00.00.11806">440889.83</definedName>
    <definedName name="SLD.105.C.0.09.2000.00.00.118060002">439207.83</definedName>
    <definedName name="SLD.105.C.0.09.2000.00.00.121010001">1108523.73</definedName>
    <definedName name="SLD.105.C.0.09.2000.00.00.12502">0</definedName>
    <definedName name="SLD.105.C.0.09.2000.00.00.12806">367137.89</definedName>
    <definedName name="SLD.105.C.0.09.2000.00.00.128060004">0</definedName>
    <definedName name="SLD.105.C.0.09.2000.00.00.211030001">28819.65</definedName>
    <definedName name="SLD.105.C.0.09.2000.00.00.213">1939705.13</definedName>
    <definedName name="SLD.105.C.0.09.2000.00.00.213020003">498319.67</definedName>
    <definedName name="SLD.105.C.0.09.2000.00.00.21401">1701769.04</definedName>
    <definedName name="SLD.105.C.0.09.2000.00.00.214010001">38569.32</definedName>
    <definedName name="SLD.105.C.0.09.2000.00.00.21402">216343.15</definedName>
    <definedName name="SLD.105.C.0.09.2000.00.00.21404">30284.86</definedName>
    <definedName name="SLD.105.C.0.09.2000.00.00.215">286.8</definedName>
    <definedName name="SLD.105.C.0.09.2000.00.00.21801">4092465.69</definedName>
    <definedName name="SLD.105.C.0.09.2000.00.00.218020001">1809166.66</definedName>
    <definedName name="SLD.105.C.0.09.2000.00.00.218020002">0</definedName>
    <definedName name="SLD.105.C.0.09.2000.00.00.218020003">15454.75</definedName>
    <definedName name="SLD.105.C.0.09.2000.00.00.21803">270806.19</definedName>
    <definedName name="SLD.105.C.0.09.2000.00.00.218030002">270806.19</definedName>
    <definedName name="SLD.105.C.0.09.2000.00.00.241">12327098.82</definedName>
    <definedName name="SLD.105.C.0.09.2000.00.00.3">-402904.28</definedName>
    <definedName name="SLD.105.C.0.09.2000.00.00.311010001">20519837.15</definedName>
    <definedName name="SLD.105.C.0.09.2000.00.00.311010002">8833227.5</definedName>
    <definedName name="SLD.105.C.0.09.2000.00.00.311010003">2529401.79</definedName>
    <definedName name="SLD.105.C.0.09.2000.00.00.311020001">221288.57</definedName>
    <definedName name="SLD.105.C.0.09.2000.00.00.311020002">123476.4</definedName>
    <definedName name="SLD.105.C.0.09.2000.00.00.311020003">2268902.62</definedName>
    <definedName name="SLD.105.C.0.09.2000.00.00.32101">-2757833.28</definedName>
    <definedName name="SLD.105.C.0.09.2000.00.00.32102">-102662.5</definedName>
    <definedName name="SLD.105.C.0.09.2000.00.00.331">-16019957.37</definedName>
    <definedName name="SLD.105.C.0.09.2000.00.00.331010001">-8881894.73</definedName>
    <definedName name="SLD.105.C.0.09.2000.00.00.331010002">-6851130.22</definedName>
    <definedName name="SLD.105.C.0.09.2000.00.00.331010003">-267379.2</definedName>
    <definedName name="SLD.105.C.0.09.2000.00.00.331010004">0</definedName>
    <definedName name="SLD.105.C.0.09.2000.00.00.33102">-19553.22</definedName>
    <definedName name="SLD.105.C.0.09.2000.00.00.341">-6513019.12</definedName>
    <definedName name="SLD.105.C.0.09.2000.00.00.342">-15270558.7</definedName>
    <definedName name="SLD.105.C.0.09.2000.00.00.343">-994281.98</definedName>
    <definedName name="SLD.105.C.0.09.2000.00.00.344">-1365551.51</definedName>
    <definedName name="SLD.105.C.0.09.2000.00.00.345">-2356292.41</definedName>
    <definedName name="SLD.105.C.0.09.2000.00.00.34501">-820065.61</definedName>
    <definedName name="SLD.105.C.0.09.2000.00.00.34502">-1536226.8</definedName>
    <definedName name="SLD.105.C.0.09.2000.00.00.346">-2605413.64</definedName>
    <definedName name="SLD.105.C.0.09.2000.00.00.346080063">-244867.45</definedName>
    <definedName name="SLD.105.C.0.09.2000.00.00.346080064">0</definedName>
    <definedName name="SLD.105.C.0.09.2000.00.00.347010058">-880724.61</definedName>
    <definedName name="SLD.105.C.0.09.2000.00.00.34702">-587106.31</definedName>
    <definedName name="SLD.105.C.0.09.2000.00.00.34703">0</definedName>
    <definedName name="SLD.105.C.0.09.2000.00.00.34704">-51775</definedName>
    <definedName name="SLD.105.C.0.09.2000.00.00.34705">0</definedName>
    <definedName name="SLD.105.C.0.09.2000.00.00.347060001">0</definedName>
    <definedName name="SLD.105.C.0.09.2000.00.00.349">20386025.75</definedName>
    <definedName name="SLD.105.C.0.09.2000.00.00.351010001">299706.77</definedName>
    <definedName name="SLD.105.C.0.09.2000.00.00.351010002">0</definedName>
    <definedName name="SLD.105.C.0.09.2000.00.00.351010003">13057.36</definedName>
    <definedName name="SLD.105.C.0.09.2000.00.00.351010004">-2036.81</definedName>
    <definedName name="SLD.105.C.0.09.2000.00.00.351010005">-9400.64</definedName>
    <definedName name="SLD.105.C.0.09.2000.00.00.351010006">0</definedName>
    <definedName name="SLD.105.C.0.09.2000.00.00.351010007">0</definedName>
    <definedName name="SLD.105.C.0.09.2000.00.00.351010008">0</definedName>
    <definedName name="SLD.105.C.0.09.2000.00.00.352010001">-4422694.17</definedName>
    <definedName name="SLD.105.C.0.09.2000.00.00.361010002">-231.09</definedName>
    <definedName name="SLD.105.C.0.09.2000.00.00.361020001">-960643.7</definedName>
    <definedName name="SLD.105.C.0.09.2000.00.00.361020002">-257013.32</definedName>
    <definedName name="SLD.105.C.0.09.2000.00.00.361020003">0</definedName>
    <definedName name="SLD.105.C.0.09.2000.00.00.37102">21000</definedName>
    <definedName name="SLD.105.C.0.09.2000.00.00.371030001">0</definedName>
    <definedName name="SLD.105.C.0.09.2000.00.00.371030002">0</definedName>
    <definedName name="SLD.105.C.0.09.2000.00.00.381010001">54942.69</definedName>
    <definedName name="SLD.105.C.0.09.2000.00.00.381020001">152614.07</definedName>
    <definedName name="SLD.105.C.0.09.2000.00.00.391">-658917.28</definedName>
    <definedName name="SLD.105.C.0.09.2000.00.00.391010001">-658917.28</definedName>
    <definedName name="SLD.105.C.0.09.2000.00.00.DA0009">6102226.04000001</definedName>
    <definedName name="SLD.105.C.0.09.2000.00.00.DA0011">190609.23</definedName>
    <definedName name="SLD.105.C.0.09.2000.00.00.DA0012">3535114.19</definedName>
    <definedName name="SLD.105.C.0.09.2000.00.00.DA0013">1157233.93</definedName>
    <definedName name="SLD.105.C.0.09.2000.00.00.DA0016">1079585.56</definedName>
    <definedName name="SLD.105.C.0.09.2000.00.00.DA0030">2430651.39999999</definedName>
    <definedName name="SLD.105.C.0.09.2000.00.00.DAA0050">529147.7</definedName>
    <definedName name="SLD.105.C.0.09.2000.00.00.DAAAMORT">-9312413.65</definedName>
    <definedName name="SLD.105.C.0.09.2000.00.00.DAADEPR">-15341583.96</definedName>
    <definedName name="SLD.105.C.0.09.2000.00.00.DAADIFER">15308049.67</definedName>
    <definedName name="SLD.105.C.0.09.2000.00.00.DAAIMOB">56871002.73</definedName>
    <definedName name="SLD.105.C.0.09.2000.00.00.DAAMORTOUT">0</definedName>
    <definedName name="SLD.105.C.0.09.2000.00.00.DAAOUT">0</definedName>
    <definedName name="SLD.105.C.0.09.2000.00.00.DBB010">51015332.48</definedName>
    <definedName name="SLD.105.C.0.09.2000.00.00.DBB011">1726582.79</definedName>
    <definedName name="SLD.105.C.0.09.2000.00.00.DBB020">1949673.81</definedName>
    <definedName name="SLD.105.C.0.09.2000.00.00.DBB040">1809166.66</definedName>
    <definedName name="SLD.105.C.0.09.2000.00.00.DBB060">1222309.89</definedName>
    <definedName name="SLD.105.C.0.09.2000.00.00.DBB081">0</definedName>
    <definedName name="SLD.105.C.0.09.2000.00.00.DBB171">-11307336.53</definedName>
    <definedName name="SLD.105.C.0.09.2000.00.00.DBB180">-402904.28</definedName>
    <definedName name="SLD.105.C.0.09.2000.00.00.DGAAPR01">29353064.65</definedName>
    <definedName name="SLD.105.C.0.09.2000.00.00.DGAAPR02">5143069.38</definedName>
    <definedName name="SLD.105.C.0.09.2000.00.00.DGAAPR03">-2860495.78</definedName>
    <definedName name="SLD.105.C.0.09.2000.00.00.DGAAPR16">-4422694.17</definedName>
    <definedName name="SLD.105.C.0.09.2000.00.00.DGAAPR17">-257244.41</definedName>
    <definedName name="SLD.105.C.0.09.2000.00.00.DGAAPR20">-10271.51</definedName>
    <definedName name="SLD.105.C.0.09.2000.00.00.DGAAPR21">152614.07</definedName>
    <definedName name="SLD.105.C.0.09.2000.00.00.DGAAPR22">54942.69</definedName>
    <definedName name="SLD.105.C.0.09.2000.00.00.DGAAPR23">-960643.7</definedName>
    <definedName name="SLD.105.C.0.09.2000.00.00.DGAAPR25">21000</definedName>
    <definedName name="SLD.105.C.0.09.2001.00.00.111020016">0</definedName>
    <definedName name="SLD.105.C.0.09.2001.00.00.115">0</definedName>
    <definedName name="SLD.105.C.0.09.2001.00.00.11501">0</definedName>
    <definedName name="SLD.105.C.0.09.2001.00.00.11806">486504.22</definedName>
    <definedName name="SLD.105.C.0.09.2001.00.00.118060001">5993.49</definedName>
    <definedName name="SLD.105.C.0.09.2001.00.00.118060002">480510.73</definedName>
    <definedName name="SLD.105.C.0.09.2001.00.00.121010001">1250740.08</definedName>
    <definedName name="SLD.105.C.0.09.2001.00.00.12502">1645216.62</definedName>
    <definedName name="SLD.105.C.0.09.2001.00.00.12806">2193.64</definedName>
    <definedName name="SLD.105.C.0.09.2001.00.00.128060001">1191.61</definedName>
    <definedName name="SLD.105.C.0.09.2001.00.00.128060002">284.73</definedName>
    <definedName name="SLD.105.C.0.09.2001.00.00.128060003">0</definedName>
    <definedName name="SLD.105.C.0.09.2001.00.00.128060004">0</definedName>
    <definedName name="SLD.105.C.0.09.2001.00.00.128060005">330</definedName>
    <definedName name="SLD.105.C.0.09.2001.00.00.128060007">387.3</definedName>
    <definedName name="SLD.105.C.0.09.2001.00.00.13202">-222965.48</definedName>
    <definedName name="SLD.105.C.0.09.2001.00.00.211030001">28819.65</definedName>
    <definedName name="SLD.105.C.0.09.2001.00.00.213">2122672.13</definedName>
    <definedName name="SLD.105.C.0.09.2001.00.00.213020003">621335.56</definedName>
    <definedName name="SLD.105.C.0.09.2001.00.00.21401">964651.59</definedName>
    <definedName name="SLD.105.C.0.09.2001.00.00.214010001">37506.72</definedName>
    <definedName name="SLD.105.C.0.09.2001.00.00.21402">214485.67</definedName>
    <definedName name="SLD.105.C.0.09.2001.00.00.21404">37079.21</definedName>
    <definedName name="SLD.105.C.0.09.2001.00.00.215">163668.9</definedName>
    <definedName name="SLD.105.C.0.09.2001.00.00.21801">7967915.42</definedName>
    <definedName name="SLD.105.C.0.09.2001.00.00.218010001">0</definedName>
    <definedName name="SLD.105.C.0.09.2001.00.00.218010002">27194.85</definedName>
    <definedName name="SLD.105.C.0.09.2001.00.00.218010004">68845.08</definedName>
    <definedName name="SLD.105.C.0.09.2001.00.00.218010005">21876.25</definedName>
    <definedName name="SLD.105.C.0.09.2001.00.00.218010006">7849999.24</definedName>
    <definedName name="SLD.105.C.0.09.2001.00.00.218010007">0</definedName>
    <definedName name="SLD.105.C.0.09.2001.00.00.218010008">0</definedName>
    <definedName name="SLD.105.C.0.09.2001.00.00.21802">605945.74</definedName>
    <definedName name="SLD.105.C.0.09.2001.00.00.218020001">354951.32</definedName>
    <definedName name="SLD.105.C.0.09.2001.00.00.218020002">5664.07</definedName>
    <definedName name="SLD.105.C.0.09.2001.00.00.218020003">245330.35</definedName>
    <definedName name="SLD.105.C.0.09.2001.00.00.21803">443799.89</definedName>
    <definedName name="SLD.105.C.0.09.2001.00.00.218030002">443799.89</definedName>
    <definedName name="SLD.105.C.0.09.2001.00.00.241">12327098.82</definedName>
    <definedName name="SLD.105.C.0.09.2001.00.00.3">-429428.19</definedName>
    <definedName name="SLD.105.C.0.09.2001.00.00.311010001">22354654.05</definedName>
    <definedName name="SLD.105.C.0.09.2001.00.00.311010002">9801346.4</definedName>
    <definedName name="SLD.105.C.0.09.2001.00.00.311010003">2551847.49</definedName>
    <definedName name="SLD.105.C.0.09.2001.00.00.311020001">167383.73</definedName>
    <definedName name="SLD.105.C.0.09.2001.00.00.311020002">135673.47</definedName>
    <definedName name="SLD.105.C.0.09.2001.00.00.311020003">137337.7</definedName>
    <definedName name="SLD.105.C.0.09.2001.00.00.32101">-2951638.34</definedName>
    <definedName name="SLD.105.C.0.09.2001.00.00.32102">-16270.58</definedName>
    <definedName name="SLD.105.C.0.09.2001.00.00.331">-16065750.09</definedName>
    <definedName name="SLD.105.C.0.09.2001.00.00.331010001">-10011450.53</definedName>
    <definedName name="SLD.105.C.0.09.2001.00.00.331010002">-5768398.9</definedName>
    <definedName name="SLD.105.C.0.09.2001.00.00.331010003">-267379.2</definedName>
    <definedName name="SLD.105.C.0.09.2001.00.00.331010004">0</definedName>
    <definedName name="SLD.105.C.0.09.2001.00.00.33102">-18521.46</definedName>
    <definedName name="SLD.105.C.0.09.2001.00.00.341">-7064396.7</definedName>
    <definedName name="SLD.105.C.0.09.2001.00.00.342">-12183704.31</definedName>
    <definedName name="SLD.105.C.0.09.2001.00.00.343">-287462.35</definedName>
    <definedName name="SLD.105.C.0.09.2001.00.00.344">-1744007.26</definedName>
    <definedName name="SLD.105.C.0.09.2001.00.00.345">-2547858.58</definedName>
    <definedName name="SLD.105.C.0.09.2001.00.00.34501">-879902.98</definedName>
    <definedName name="SLD.105.C.0.09.2001.00.00.34502">-1667955.6</definedName>
    <definedName name="SLD.105.C.0.09.2001.00.00.346">-2929199.31</definedName>
    <definedName name="SLD.105.C.0.09.2001.00.00.346080063">-286195.14</definedName>
    <definedName name="SLD.105.C.0.09.2001.00.00.346080064">0</definedName>
    <definedName name="SLD.105.C.0.09.2001.00.00.347010058">-880724.61</definedName>
    <definedName name="SLD.105.C.0.09.2001.00.00.34702">-643409.77</definedName>
    <definedName name="SLD.105.C.0.09.2001.00.00.34703">0</definedName>
    <definedName name="SLD.105.C.0.09.2001.00.00.34704">-62400</definedName>
    <definedName name="SLD.105.C.0.09.2001.00.00.34705">1290818.26</definedName>
    <definedName name="SLD.105.C.0.09.2001.00.00.347060001">-92506.69</definedName>
    <definedName name="SLD.105.C.0.09.2001.00.00.349">17445499.74</definedName>
    <definedName name="SLD.105.C.0.09.2001.00.00.351010001">0</definedName>
    <definedName name="SLD.105.C.0.09.2001.00.00.351010002">0</definedName>
    <definedName name="SLD.105.C.0.09.2001.00.00.351010003">421.76</definedName>
    <definedName name="SLD.105.C.0.09.2001.00.00.351010004">-44448.19</definedName>
    <definedName name="SLD.105.C.0.09.2001.00.00.351010005">-205145.48</definedName>
    <definedName name="SLD.105.C.0.09.2001.00.00.351010006">455000.03</definedName>
    <definedName name="SLD.105.C.0.09.2001.00.00.351010007">137606.08</definedName>
    <definedName name="SLD.105.C.0.09.2001.00.00.351010008">0</definedName>
    <definedName name="SLD.105.C.0.09.2001.00.00.352010001">-5604583.48</definedName>
    <definedName name="SLD.105.C.0.09.2001.00.00.361010002">6120.53</definedName>
    <definedName name="SLD.105.C.0.09.2001.00.00.361020001">-843775.95</definedName>
    <definedName name="SLD.105.C.0.09.2001.00.00.361020002">-85816.63</definedName>
    <definedName name="SLD.105.C.0.09.2001.00.00.361020003">0</definedName>
    <definedName name="SLD.105.C.0.09.2001.00.00.37102">25816</definedName>
    <definedName name="SLD.105.C.0.09.2001.00.00.371030001">0</definedName>
    <definedName name="SLD.105.C.0.09.2001.00.00.371030002">0</definedName>
    <definedName name="SLD.105.C.0.09.2001.00.00.381010001">58556.69</definedName>
    <definedName name="SLD.105.C.0.09.2001.00.00.381020001">162663.89</definedName>
    <definedName name="SLD.105.C.0.09.2001.00.00.391">-893916.24</definedName>
    <definedName name="SLD.105.C.0.09.2001.00.00.391010001">-893916.24</definedName>
    <definedName name="SLD.105.C.0.09.2001.00.00.DA0009">7947774.01</definedName>
    <definedName name="SLD.105.C.0.09.2001.00.00.DA0010">1014533.59</definedName>
    <definedName name="SLD.105.C.0.09.2001.00.00.DA0011">247823.64</definedName>
    <definedName name="SLD.105.C.0.09.2001.00.00.DA0012">3810803.16</definedName>
    <definedName name="SLD.105.C.0.09.2001.00.00.DA0013">1256478.6</definedName>
    <definedName name="SLD.105.C.0.09.2001.00.00.DA0016">2133914.48</definedName>
    <definedName name="SLD.105.C.0.09.2001.00.00.DA0030">1836425.65</definedName>
    <definedName name="SLD.105.C.0.09.2001.00.00.DAA0050">522979.91</definedName>
    <definedName name="SLD.105.C.0.09.2001.00.00.DAAAMORT">-10843218.73</definedName>
    <definedName name="SLD.105.C.0.09.2001.00.00.DAADEPR">-23403267.63</definedName>
    <definedName name="SLD.105.C.0.09.2001.00.00.DAADIFER">15308049.67</definedName>
    <definedName name="SLD.105.C.0.09.2001.00.00.DAAIMOB">72686610.7099999</definedName>
    <definedName name="SLD.105.C.0.09.2001.00.00.DAAMORTOUT">0</definedName>
    <definedName name="SLD.105.C.0.09.2001.00.00.DAAOUT">0</definedName>
    <definedName name="SLD.105.C.0.09.2001.00.00.DBB010">59408542.82</definedName>
    <definedName name="SLD.105.C.0.09.2001.00.00.DBB011">1790408.17</definedName>
    <definedName name="SLD.105.C.0.09.2001.00.00.DBB013">1250740.08</definedName>
    <definedName name="SLD.105.C.0.09.2001.00.00.DBB020">937306.53</definedName>
    <definedName name="SLD.105.C.0.09.2001.00.00.DBB040">354951.32</definedName>
    <definedName name="SLD.105.C.0.09.2001.00.00.DBB060">440640.65</definedName>
    <definedName name="SLD.105.C.0.09.2001.00.00.DBB081">0</definedName>
    <definedName name="SLD.105.C.0.09.2001.00.00.DBB160">12327098.82</definedName>
    <definedName name="SLD.105.C.0.09.2001.00.00.DBB171">-12008624.98</definedName>
    <definedName name="SLD.105.C.0.09.2001.00.00.DBB180">-429428.19</definedName>
    <definedName name="SLD.105.C.0.09.2001.00.00.DGAAPR01">32156000.45</definedName>
    <definedName name="SLD.105.C.0.09.2001.00.00.DGAAPR02">2992242.39</definedName>
    <definedName name="SLD.105.C.0.09.2001.00.00.DGAAPR03">-2967908.92</definedName>
    <definedName name="SLD.105.C.0.09.2001.00.00.DGAAPR16">-5604583.48</definedName>
    <definedName name="SLD.105.C.0.09.2001.00.00.DGAAPR17">-79696.1</definedName>
    <definedName name="SLD.105.C.0.09.2001.00.00.DGAAPR20">-13159.45</definedName>
    <definedName name="SLD.105.C.0.09.2001.00.00.DGAAPR21">162663.89</definedName>
    <definedName name="SLD.105.C.0.09.2001.00.00.DGAAPR22">58556.69</definedName>
    <definedName name="SLD.105.C.0.09.2001.00.00.DGAAPR23">-843775.95</definedName>
    <definedName name="SLD.105.C.0.09.2001.00.00.DGAAPR25">25816</definedName>
    <definedName name="SLD.105.C.0.10.1999.00.00.DGAAPR21">4125000</definedName>
    <definedName name="SLD.105.C.0.10.1999.00.00.DGAAPR22">1326000</definedName>
    <definedName name="SLD.105.C.0.11.1999.00.00.DGAAPR21">4125000</definedName>
    <definedName name="SLD.105.C.0.11.1999.00.00.DGAAPR22">1326000</definedName>
    <definedName name="SLD.105.C.0.12.1997.00.00.3">-1483460.75</definedName>
    <definedName name="SLD.105.C.0.12.1998.00.00.11501">144133.71</definedName>
    <definedName name="SLD.105.C.0.12.1998.00.00.11806">3420371.84</definedName>
    <definedName name="SLD.105.C.0.12.1998.00.00.121010001">724559.96</definedName>
    <definedName name="SLD.105.C.0.12.1998.00.00.12502">0</definedName>
    <definedName name="SLD.105.C.0.12.1998.00.00.12806">152190.7</definedName>
    <definedName name="SLD.105.C.0.12.1998.00.00.128060004">21866.36</definedName>
    <definedName name="SLD.105.C.0.12.1998.00.00.211030001">28819.65</definedName>
    <definedName name="SLD.105.C.0.12.1998.00.00.213">1359032.99</definedName>
    <definedName name="SLD.105.C.0.12.1998.00.00.213020003">304504.99</definedName>
    <definedName name="SLD.105.C.0.12.1998.00.00.21401">3538879.18</definedName>
    <definedName name="SLD.105.C.0.12.1998.00.00.214010001">29273.53</definedName>
    <definedName name="SLD.105.C.0.12.1998.00.00.21402">170601.55</definedName>
    <definedName name="SLD.105.C.0.12.1998.00.00.21404">0</definedName>
    <definedName name="SLD.105.C.0.12.1998.00.00.215">0</definedName>
    <definedName name="SLD.105.C.0.12.1998.00.00.21801">65208.73</definedName>
    <definedName name="SLD.105.C.0.12.1998.00.00.218020001">293810</definedName>
    <definedName name="SLD.105.C.0.12.1998.00.00.218020002">4646.43</definedName>
    <definedName name="SLD.105.C.0.12.1998.00.00.218020003">0</definedName>
    <definedName name="SLD.105.C.0.12.1998.00.00.21803">-35463.18</definedName>
    <definedName name="SLD.105.C.0.12.1998.00.00.241">12327098.82</definedName>
    <definedName name="SLD.105.C.0.12.1998.00.00.DA0009">4122249.73</definedName>
    <definedName name="SLD.105.C.0.12.1998.00.00.DA0011">251610.29</definedName>
    <definedName name="SLD.105.C.0.12.1998.00.00.DA0012">768438.04</definedName>
    <definedName name="SLD.105.C.0.12.1998.00.00.DA0013">261797.91</definedName>
    <definedName name="SLD.105.C.0.12.1998.00.00.DA0030">1874925.54</definedName>
    <definedName name="SLD.105.C.0.12.1998.00.00.DAA0050">277549.3</definedName>
    <definedName name="SLD.105.C.0.12.1998.00.00.DAAAMORT">-6633504.76</definedName>
    <definedName name="SLD.105.C.0.12.1998.00.00.DAADEPR">-4642916.31</definedName>
    <definedName name="SLD.105.C.0.12.1998.00.00.DAADIFER">15308049.67</definedName>
    <definedName name="SLD.105.C.0.12.1998.00.00.DAAIMOB">38129406.68</definedName>
    <definedName name="SLD.105.C.0.12.1998.00.00.DBB010">39731288.74</definedName>
    <definedName name="SLD.105.C.0.12.1998.00.00.DBB020">997301.29</definedName>
    <definedName name="SLD.105.C.0.12.1998.00.00.DBB171">-2280240.87</definedName>
    <definedName name="SLD.105.C.0.12.1998.00.00.DBB180">-2013301.38</definedName>
    <definedName name="SLD.105.C.0.12.1999.00.00.11501">234607.11</definedName>
    <definedName name="SLD.105.C.0.12.1999.00.00.11806">409481.04</definedName>
    <definedName name="SLD.105.C.0.12.1999.00.00.121010001">993028.81</definedName>
    <definedName name="SLD.105.C.0.12.1999.00.00.12502">0</definedName>
    <definedName name="SLD.105.C.0.12.1999.00.00.12806">235764.5</definedName>
    <definedName name="SLD.105.C.0.12.1999.00.00.128060004">21866.36</definedName>
    <definedName name="SLD.105.C.0.12.1999.00.00.211030001">28819.65</definedName>
    <definedName name="SLD.105.C.0.12.1999.00.00.213">1389520.67</definedName>
    <definedName name="SLD.105.C.0.12.1999.00.00.213020003">391614.72</definedName>
    <definedName name="SLD.105.C.0.12.1999.00.00.21401">1501930.17</definedName>
    <definedName name="SLD.105.C.0.12.1999.00.00.214010001">48015.95</definedName>
    <definedName name="SLD.105.C.0.12.1999.00.00.21402">221077.1</definedName>
    <definedName name="SLD.105.C.0.12.1999.00.00.21403">0</definedName>
    <definedName name="SLD.105.C.0.12.1999.00.00.21404">2647.31</definedName>
    <definedName name="SLD.105.C.0.12.1999.00.00.215">0</definedName>
    <definedName name="SLD.105.C.0.12.1999.00.00.21801">88678.17</definedName>
    <definedName name="SLD.105.C.0.12.1999.00.00.218020001">1206006.8</definedName>
    <definedName name="SLD.105.C.0.12.1999.00.00.218020002">2498.67</definedName>
    <definedName name="SLD.105.C.0.12.1999.00.00.218020003">0</definedName>
    <definedName name="SLD.105.C.0.12.1999.00.00.21803">238343.54</definedName>
    <definedName name="SLD.105.C.0.12.1999.00.00.241">12327098.82</definedName>
    <definedName name="SLD.105.C.0.12.1999.00.00.3">-7013794.28</definedName>
    <definedName name="SLD.105.C.0.12.1999.00.00.331">-15286865.97</definedName>
    <definedName name="SLD.105.C.0.12.1999.00.00.391">-644328.63</definedName>
    <definedName name="SLD.105.C.0.12.1999.00.00.DA0009">3459954.84000001</definedName>
    <definedName name="SLD.105.C.0.12.1999.00.00.DA0011">217578.1</definedName>
    <definedName name="SLD.105.C.0.12.1999.00.00.DA0012">3382500.12</definedName>
    <definedName name="SLD.105.C.0.12.1999.00.00.DA0013">1102291.24</definedName>
    <definedName name="SLD.105.C.0.12.1999.00.00.DA0015">879852.65</definedName>
    <definedName name="SLD.105.C.0.12.1999.00.00.DA0030">2627283.51</definedName>
    <definedName name="SLD.105.C.0.12.1999.00.00.DAA0050">244802.04</definedName>
    <definedName name="SLD.105.C.0.12.1999.00.00.DAAAMORT">-8164309.84</definedName>
    <definedName name="SLD.105.C.0.12.1999.00.00.DAADEPR">-8439579.08</definedName>
    <definedName name="SLD.105.C.0.12.1999.00.00.DAADIFER">15308049.67</definedName>
    <definedName name="SLD.105.C.0.12.1999.00.00.DAAIMOB">45317301.34</definedName>
    <definedName name="SLD.105.C.0.12.1999.00.00.DAAMORTOUT">0</definedName>
    <definedName name="SLD.105.C.0.12.1999.00.00.DAAOUT">0</definedName>
    <definedName name="SLD.105.C.0.12.1999.00.00.DBB010">50134285.35</definedName>
    <definedName name="SLD.105.C.0.12.1999.00.00.DBB011">1269646.31</definedName>
    <definedName name="SLD.105.C.0.12.1999.00.00.DBB012">329520.38</definedName>
    <definedName name="SLD.105.C.0.12.1999.00.00.DBB020">1124003.33</definedName>
    <definedName name="SLD.105.C.0.12.1999.00.00.DBB040">1206006.8</definedName>
    <definedName name="SLD.105.C.0.12.1999.00.00.DBB060">1044433.18</definedName>
    <definedName name="SLD.105.C.0.12.1999.00.00.DBB081">0</definedName>
    <definedName name="SLD.105.C.0.12.1999.00.00.DBB171">-4293542.25</definedName>
    <definedName name="SLD.105.C.0.12.1999.00.00.DBB180">-7013794.28</definedName>
    <definedName name="SLD.105.C.0.12.1999.00.00.DGAAPR01">35379797.95</definedName>
    <definedName name="SLD.105.C.0.12.1999.00.00.DGAAPR02">2794490.61</definedName>
    <definedName name="SLD.105.C.0.12.1999.00.00.DGAAPR03">-2575335.09</definedName>
    <definedName name="SLD.105.C.0.12.1999.00.00.DGAAPR16">-6021048.36</definedName>
    <definedName name="SLD.105.C.0.12.1999.00.00.DGAAPR17">-8920443.74</definedName>
    <definedName name="SLD.105.C.0.12.1999.00.00.DGAAPR18">-192663.13</definedName>
    <definedName name="SLD.105.C.0.12.1999.00.00.DGAAPR19">0</definedName>
    <definedName name="SLD.105.C.0.12.1999.00.00.DGAAPR20">-41567.19</definedName>
    <definedName name="SLD.105.C.0.12.1999.00.00.DGAAPR21">2614062.08</definedName>
    <definedName name="SLD.105.C.0.12.1999.00.00.DGAAPR22">840493.33</definedName>
    <definedName name="SLD.105.C.0.12.1999.00.00.DGAAPR23">-1519487.99</definedName>
    <definedName name="SLD.105.C.0.12.1999.00.00.DGAAPR24">637086.59</definedName>
    <definedName name="SLD.105.C.0.12.1999.00.00.DGAAPR25">0</definedName>
    <definedName name="SLD.105.C.0.12.2000.00.00.115">183.99</definedName>
    <definedName name="SLD.105.C.0.12.2000.00.00.11501">183.99</definedName>
    <definedName name="SLD.105.C.0.12.2000.00.00.11806">455315.79</definedName>
    <definedName name="SLD.105.C.0.12.2000.00.00.118060002">449322.3</definedName>
    <definedName name="SLD.105.C.0.12.2000.00.00.121010001">1139970.29</definedName>
    <definedName name="SLD.105.C.0.12.2000.00.00.12502">334524.99</definedName>
    <definedName name="SLD.105.C.0.12.2000.00.00.12806">8874.64</definedName>
    <definedName name="SLD.105.C.0.12.2000.00.00.128060001">1191.61</definedName>
    <definedName name="SLD.105.C.0.12.2000.00.00.128060002">284.73</definedName>
    <definedName name="SLD.105.C.0.12.2000.00.00.128060003">6681</definedName>
    <definedName name="SLD.105.C.0.12.2000.00.00.128060004">0</definedName>
    <definedName name="SLD.105.C.0.12.2000.00.00.128060005">330</definedName>
    <definedName name="SLD.105.C.0.12.2000.00.00.128060007">387.3</definedName>
    <definedName name="SLD.105.C.0.12.2000.00.00.132030098">0</definedName>
    <definedName name="SLD.105.C.0.12.2000.00.00.211030001">28819.65</definedName>
    <definedName name="SLD.105.C.0.12.2000.00.00.213">1723156.23</definedName>
    <definedName name="SLD.105.C.0.12.2000.00.00.213020003">536652.42</definedName>
    <definedName name="SLD.105.C.0.12.2000.00.00.21401">868241.47</definedName>
    <definedName name="SLD.105.C.0.12.2000.00.00.214010001">53083.17</definedName>
    <definedName name="SLD.105.C.0.12.2000.00.00.21402">226305.02</definedName>
    <definedName name="SLD.105.C.0.12.2000.00.00.21403">0</definedName>
    <definedName name="SLD.105.C.0.12.2000.00.00.21404">52969.31</definedName>
    <definedName name="SLD.105.C.0.12.2000.00.00.215">15736.8</definedName>
    <definedName name="SLD.105.C.0.12.2000.00.00.21801">4101876.49</definedName>
    <definedName name="SLD.105.C.0.12.2000.00.00.218010001">0</definedName>
    <definedName name="SLD.105.C.0.12.2000.00.00.218010002">27194.85</definedName>
    <definedName name="SLD.105.C.0.12.2000.00.00.218010004">4074681.64</definedName>
    <definedName name="SLD.105.C.0.12.2000.00.00.218010005">0</definedName>
    <definedName name="SLD.105.C.0.12.2000.00.00.218020001">1645769.58</definedName>
    <definedName name="SLD.105.C.0.12.2000.00.00.218020002">0</definedName>
    <definedName name="SLD.105.C.0.12.2000.00.00.218020003">29476.95</definedName>
    <definedName name="SLD.105.C.0.12.2000.00.00.21803">1099099.59</definedName>
    <definedName name="SLD.105.C.0.12.2000.00.00.218030002">1099099.59</definedName>
    <definedName name="SLD.105.C.0.12.2000.00.00.241">12327098.82</definedName>
    <definedName name="SLD.105.C.0.12.2000.00.00.3">-701288.45</definedName>
    <definedName name="SLD.105.C.0.12.2000.00.00.311010001">27996991.35</definedName>
    <definedName name="SLD.105.C.0.12.2000.00.00.311010002">12064516.95</definedName>
    <definedName name="SLD.105.C.0.12.2000.00.00.311010003">3391889.25</definedName>
    <definedName name="SLD.105.C.0.12.2000.00.00.311020001">331164.54</definedName>
    <definedName name="SLD.105.C.0.12.2000.00.00.311020002">166145.27</definedName>
    <definedName name="SLD.105.C.0.12.2000.00.00.311020003">2569750.62</definedName>
    <definedName name="SLD.105.C.0.12.2000.00.00.32101">-3758718.8</definedName>
    <definedName name="SLD.105.C.0.12.2000.00.00.32102">-119211.34</definedName>
    <definedName name="SLD.105.C.0.12.2000.00.00.331">-22029127.12</definedName>
    <definedName name="SLD.105.C.0.12.2000.00.00.331010001">-12607565.46</definedName>
    <definedName name="SLD.105.C.0.12.2000.00.00.331010002">-9039329.02</definedName>
    <definedName name="SLD.105.C.0.12.2000.00.00.331010003">-356505.6</definedName>
    <definedName name="SLD.105.C.0.12.2000.00.00.331010004">0</definedName>
    <definedName name="SLD.105.C.0.12.2000.00.00.33102">-25727.04</definedName>
    <definedName name="SLD.105.C.0.12.2000.00.00.341">-8961166.12</definedName>
    <definedName name="SLD.105.C.0.12.2000.00.00.342">-25523325.05</definedName>
    <definedName name="SLD.105.C.0.12.2000.00.00.343">-1503196.12</definedName>
    <definedName name="SLD.105.C.0.12.2000.00.00.344">-2064101.13</definedName>
    <definedName name="SLD.105.C.0.12.2000.00.00.34501">-1132736.5</definedName>
    <definedName name="SLD.105.C.0.12.2000.00.00.34502">-2092212</definedName>
    <definedName name="SLD.105.C.0.12.2000.00.00.346">-3553232.64</definedName>
    <definedName name="SLD.105.C.0.12.2000.00.00.346080063">-317570.85</definedName>
    <definedName name="SLD.105.C.0.12.2000.00.00.347010058">-1174299.48</definedName>
    <definedName name="SLD.105.C.0.12.2000.00.00.34702">-801230.18</definedName>
    <definedName name="SLD.105.C.0.12.2000.00.00.34703">-642197.3</definedName>
    <definedName name="SLD.105.C.0.12.2000.00.00.34704">-74575</definedName>
    <definedName name="SLD.105.C.0.12.2000.00.00.34705">904977.23</definedName>
    <definedName name="SLD.105.C.0.12.2000.00.00.349">32825785.55</definedName>
    <definedName name="SLD.105.C.0.12.2000.00.00.351010001">536502.93</definedName>
    <definedName name="SLD.105.C.0.12.2000.00.00.351010002">0</definedName>
    <definedName name="SLD.105.C.0.12.2000.00.00.351010003">13620.8</definedName>
    <definedName name="SLD.105.C.0.12.2000.00.00.351010004">-3586.89</definedName>
    <definedName name="SLD.105.C.0.12.2000.00.00.351010005">-16554.8</definedName>
    <definedName name="SLD.105.C.0.12.2000.00.00.351010006">0</definedName>
    <definedName name="SLD.105.C.0.12.2000.00.00.351010007">0</definedName>
    <definedName name="SLD.105.C.0.12.2000.00.00.351010008">0</definedName>
    <definedName name="SLD.105.C.0.12.2000.00.00.352010001">-6115950.37</definedName>
    <definedName name="SLD.105.C.0.12.2000.00.00.361010002">845.6</definedName>
    <definedName name="SLD.105.C.0.12.2000.00.00.361020001">-1256242.01</definedName>
    <definedName name="SLD.105.C.0.12.2000.00.00.361020002">-385996.08</definedName>
    <definedName name="SLD.105.C.0.12.2000.00.00.37102">21000</definedName>
    <definedName name="SLD.105.C.0.12.2000.00.00.371030001">0</definedName>
    <definedName name="SLD.105.C.0.12.2000.00.00.371030002">0</definedName>
    <definedName name="SLD.105.C.0.12.2000.00.00.381010001">95630.67</definedName>
    <definedName name="SLD.105.C.0.12.2000.00.00.381020001">265639.15</definedName>
    <definedName name="SLD.105.C.0.12.2000.00.00.391">-659967.28</definedName>
    <definedName name="SLD.105.C.0.12.2000.00.00.391010001">-659967.28</definedName>
    <definedName name="SLD.105.C.0.12.2000.00.00.DA0009">6095216.48000001</definedName>
    <definedName name="SLD.105.C.0.12.2000.00.00.DA0011">359432.8</definedName>
    <definedName name="SLD.105.C.0.12.2000.00.00.DA0012">3648139.27</definedName>
    <definedName name="SLD.105.C.0.12.2000.00.00.DA0013">1197921.91</definedName>
    <definedName name="SLD.105.C.0.12.2000.00.00.DA0016">798899.41</definedName>
    <definedName name="SLD.105.C.0.12.2000.00.00.DA0030">1906324.54</definedName>
    <definedName name="SLD.105.C.0.12.2000.00.00.DAA0050">248674.63</definedName>
    <definedName name="SLD.105.C.0.12.2000.00.00.DAAAMORT">-9695114.92</definedName>
    <definedName name="SLD.105.C.0.12.2000.00.00.DAADEPR">-17550378.04</definedName>
    <definedName name="SLD.105.C.0.12.2000.00.00.DAADIFER">15308049.67</definedName>
    <definedName name="SLD.105.C.0.12.2000.00.00.DAAIMOB">65687577.24</definedName>
    <definedName name="SLD.105.C.0.12.2000.00.00.DAAMORTOUT">0</definedName>
    <definedName name="SLD.105.C.0.12.2000.00.00.DAAOUT">0</definedName>
    <definedName name="SLD.105.C.0.12.2000.00.00.DBB010">57251365.3899999</definedName>
    <definedName name="SLD.105.C.0.12.2000.00.00.DBB011">1518861.31</definedName>
    <definedName name="SLD.105.C.0.12.2000.00.00.DBB012">5246189.83</definedName>
    <definedName name="SLD.105.C.0.12.2000.00.00.DBB013">1139970.29</definedName>
    <definedName name="SLD.105.C.0.12.2000.00.00.DBB020">1812242.61</definedName>
    <definedName name="SLD.105.C.0.12.2000.00.00.DBB040">1645769.58</definedName>
    <definedName name="SLD.105.C.0.12.2000.00.00.DBB060">359842.51</definedName>
    <definedName name="SLD.105.C.0.12.2000.00.00.DBB081">0</definedName>
    <definedName name="SLD.105.C.0.12.2000.00.00.DBB160">12327098.82</definedName>
    <definedName name="SLD.105.C.0.12.2000.00.00.DBB171">-11307336.53</definedName>
    <definedName name="SLD.105.C.0.12.2000.00.00.DBB180">-701288.45</definedName>
    <definedName name="SLD.105.C.0.12.2000.00.00.DGAAPR01">40061508.3</definedName>
    <definedName name="SLD.105.C.0.12.2000.00.00.DGAAPR02">6458949.68</definedName>
    <definedName name="SLD.105.C.0.12.2000.00.00.DGAAPR03">-3877930.14</definedName>
    <definedName name="SLD.105.C.0.12.2000.00.00.DGAAPR16">-6115950.37</definedName>
    <definedName name="SLD.105.C.0.12.2000.00.00.DGAAPR17">-385150.48</definedName>
    <definedName name="SLD.105.C.0.12.2000.00.00.DGAAPR18">-317570.85</definedName>
    <definedName name="SLD.105.C.0.12.2000.00.00.DGAAPR19">0</definedName>
    <definedName name="SLD.105.C.0.12.2000.00.00.DGAAPR20">-18122.15</definedName>
    <definedName name="SLD.105.C.0.12.2000.00.00.DGAAPR21">265639.15</definedName>
    <definedName name="SLD.105.C.0.12.2000.00.00.DGAAPR22">95630.67</definedName>
    <definedName name="SLD.105.C.0.12.2000.00.00.DGAAPR23">-1256242.01</definedName>
    <definedName name="SLD.105.C.0.12.2000.00.00.DGAAPR24">529982.04</definedName>
    <definedName name="SLD.105.C.0.12.2000.00.00.DGAAPR25">21000</definedName>
    <definedName name="SLD.105.C.0.12.2001.00.00.115">0</definedName>
    <definedName name="SLD.105.C.0.12.2001.00.00.11501">0</definedName>
    <definedName name="SLD.105.C.0.12.2001.00.00.11806">499184.07</definedName>
    <definedName name="SLD.105.C.0.12.2001.00.00.118060001">5993.49</definedName>
    <definedName name="SLD.105.C.0.12.2001.00.00.118060002">493190.58</definedName>
    <definedName name="SLD.105.C.0.12.2001.00.00.121010001">1413771.6</definedName>
    <definedName name="SLD.105.C.0.12.2001.00.00.12502">1676249.03</definedName>
    <definedName name="SLD.105.C.0.12.2001.00.00.12806">0</definedName>
    <definedName name="SLD.105.C.0.12.2001.00.00.128060001">0</definedName>
    <definedName name="SLD.105.C.0.12.2001.00.00.128060002">0</definedName>
    <definedName name="SLD.105.C.0.12.2001.00.00.128060003">0</definedName>
    <definedName name="SLD.105.C.0.12.2001.00.00.128060004">0</definedName>
    <definedName name="SLD.105.C.0.12.2001.00.00.128060005">0</definedName>
    <definedName name="SLD.105.C.0.12.2001.00.00.128060007">0</definedName>
    <definedName name="SLD.105.C.0.12.2001.00.00.211030001">28819.65</definedName>
    <definedName name="SLD.105.C.0.12.2001.00.00.213">1828777.1</definedName>
    <definedName name="SLD.105.C.0.12.2001.00.00.213020003">598256.9</definedName>
    <definedName name="SLD.105.C.0.12.2001.00.00.21401">916150.98</definedName>
    <definedName name="SLD.105.C.0.12.2001.00.00.214010001">39085.16</definedName>
    <definedName name="SLD.105.C.0.12.2001.00.00.21402">239263.74</definedName>
    <definedName name="SLD.105.C.0.12.2001.00.00.21403">30862.44</definedName>
    <definedName name="SLD.105.C.0.12.2001.00.00.21404">34882.23</definedName>
    <definedName name="SLD.105.C.0.12.2001.00.00.215">119006.6</definedName>
    <definedName name="SLD.105.C.0.12.2001.00.00.21501">119006.6</definedName>
    <definedName name="SLD.105.C.0.12.2001.00.00.21801">2975766.13</definedName>
    <definedName name="SLD.105.C.0.12.2001.00.00.218010001">0</definedName>
    <definedName name="SLD.105.C.0.12.2001.00.00.218010002">27194.85</definedName>
    <definedName name="SLD.105.C.0.12.2001.00.00.218010004">81647.58</definedName>
    <definedName name="SLD.105.C.0.12.2001.00.00.218010005">16924.46</definedName>
    <definedName name="SLD.105.C.0.12.2001.00.00.218010006">2849999.24</definedName>
    <definedName name="SLD.105.C.0.12.2001.00.00.218020001">236498.8</definedName>
    <definedName name="SLD.105.C.0.12.2001.00.00.218020002">0</definedName>
    <definedName name="SLD.105.C.0.12.2001.00.00.218020003">104974.58</definedName>
    <definedName name="SLD.105.C.0.12.2001.00.00.21803">508193.09</definedName>
    <definedName name="SLD.105.C.0.12.2001.00.00.218030002">508193.09</definedName>
    <definedName name="SLD.105.C.0.12.2001.00.00.241">17327098.82</definedName>
    <definedName name="SLD.105.C.0.12.2001.00.00.3">339766.1</definedName>
    <definedName name="SLD.105.C.0.12.2001.00.00.311010001">31066716.35</definedName>
    <definedName name="SLD.105.C.0.12.2001.00.00.311010002">13431456.35</definedName>
    <definedName name="SLD.105.C.0.12.2001.00.00.311010003">3421650.67</definedName>
    <definedName name="SLD.105.C.0.12.2001.00.00.311020001">206773.88</definedName>
    <definedName name="SLD.105.C.0.12.2001.00.00.311020002">182844.87</definedName>
    <definedName name="SLD.105.C.0.12.2001.00.00.311020003">456672.61</definedName>
    <definedName name="SLD.105.C.0.12.2001.00.00.32101">-4050984.03</definedName>
    <definedName name="SLD.105.C.0.12.2001.00.00.32102">-31085.79</definedName>
    <definedName name="SLD.105.C.0.12.2001.00.00.331">0</definedName>
    <definedName name="SLD.105.C.0.12.2001.00.00.331010001">-13609141.3</definedName>
    <definedName name="SLD.105.C.0.12.2001.00.00.331010002">-7129102.85</definedName>
    <definedName name="SLD.105.C.0.12.2001.00.00.331010003">-356505.6</definedName>
    <definedName name="SLD.105.C.0.12.2001.00.00.331010004">0</definedName>
    <definedName name="SLD.105.C.0.12.2001.00.00.33102">-24695.28</definedName>
    <definedName name="SLD.105.C.0.12.2001.00.00.341">-9655285.9</definedName>
    <definedName name="SLD.105.C.0.12.2001.00.00.342">-18126193.05</definedName>
    <definedName name="SLD.105.C.0.12.2001.00.00.343">-377024.73</definedName>
    <definedName name="SLD.105.C.0.12.2001.00.00.344">-2616112.22</definedName>
    <definedName name="SLD.105.C.0.12.2001.00.00.34501">-1150678.8</definedName>
    <definedName name="SLD.105.C.0.12.2001.00.00.34502">-2287903.8</definedName>
    <definedName name="SLD.105.C.0.12.2001.00.00.346">-3980382.07</definedName>
    <definedName name="SLD.105.C.0.12.2001.00.00.346080063">-351422.91</definedName>
    <definedName name="SLD.105.C.0.12.2001.00.00.347010058">-1174299.48</definedName>
    <definedName name="SLD.105.C.0.12.2001.00.00.34702">-890253.17</definedName>
    <definedName name="SLD.105.C.0.12.2001.00.00.34703">0</definedName>
    <definedName name="SLD.105.C.0.12.2001.00.00.34704">-78415</definedName>
    <definedName name="SLD.105.C.0.12.2001.00.00.34705">1460441.18</definedName>
    <definedName name="SLD.105.C.0.12.2001.00.00.349">25170801.25</definedName>
    <definedName name="SLD.105.C.0.12.2001.00.00.351010001">0</definedName>
    <definedName name="SLD.105.C.0.12.2001.00.00.351010002">0</definedName>
    <definedName name="SLD.105.C.0.12.2001.00.00.351010003">421.76</definedName>
    <definedName name="SLD.105.C.0.12.2001.00.00.351010004">-46427.25</definedName>
    <definedName name="SLD.105.C.0.12.2001.00.00.351010005">-214279.61</definedName>
    <definedName name="SLD.105.C.0.12.2001.00.00.351010006">694122.07</definedName>
    <definedName name="SLD.105.C.0.12.2001.00.00.351010007">194598.43</definedName>
    <definedName name="SLD.105.C.0.12.2001.00.00.351010008">0</definedName>
    <definedName name="SLD.105.C.0.12.2001.00.00.352010001">-7708306.76</definedName>
    <definedName name="SLD.105.C.0.12.2001.00.00.361010002">3120.53</definedName>
    <definedName name="SLD.105.C.0.12.2001.00.00.361020001">-1188295.84</definedName>
    <definedName name="SLD.105.C.0.12.2001.00.00.361020002">-61984.92</definedName>
    <definedName name="SLD.105.C.0.12.2001.00.00.37102">28026</definedName>
    <definedName name="SLD.105.C.0.12.2001.00.00.371030001">0</definedName>
    <definedName name="SLD.105.C.0.12.2001.00.00.371030002">0</definedName>
    <definedName name="SLD.105.C.0.12.2001.00.00.381010001">-46333.45</definedName>
    <definedName name="SLD.105.C.0.12.2001.00.00.381020001">-128697.58</definedName>
    <definedName name="SLD.105.C.0.12.2001.00.00.391">0</definedName>
    <definedName name="SLD.105.C.0.12.2001.00.00.391010001">-893916.24</definedName>
    <definedName name="SLD.105.C.0.12.2001.00.00.DA0009">5885586.28</definedName>
    <definedName name="SLD.105.C.0.12.2001.00.00.DA0011">227291.57</definedName>
    <definedName name="SLD.105.C.0.12.2001.00.00.DA0012">3519441.69</definedName>
    <definedName name="SLD.105.C.0.12.2001.00.00.DA0013">1151588.46</definedName>
    <definedName name="SLD.105.C.0.12.2001.00.00.DA0016">0</definedName>
    <definedName name="SLD.105.C.0.12.2001.00.00.DA0030">2132988.27</definedName>
    <definedName name="SLD.105.C.0.12.2001.00.00.DAA0050">279645.47</definedName>
    <definedName name="SLD.105.C.0.12.2001.00.00.DAAAMORT">-11225920</definedName>
    <definedName name="SLD.105.C.0.12.2001.00.00.DAADEPR">-24805774.23</definedName>
    <definedName name="SLD.105.C.0.12.2001.00.00.DAADIFER">15308049.67</definedName>
    <definedName name="SLD.105.C.0.12.2001.00.00.DAAIMOB">76814221.45</definedName>
    <definedName name="SLD.105.C.0.12.2001.00.00.DAAMORTOUT">0</definedName>
    <definedName name="SLD.105.C.0.12.2001.00.00.DAAOUT">0</definedName>
    <definedName name="SLD.105.C.0.12.2001.00.00.DBB010">58693719.88</definedName>
    <definedName name="SLD.105.C.0.12.2001.00.00.DBB011">1543751.33</definedName>
    <definedName name="SLD.105.C.0.12.2001.00.00.DBB012">0</definedName>
    <definedName name="SLD.105.C.0.12.2001.00.00.DBB013">1413771.6</definedName>
    <definedName name="SLD.105.C.0.12.2001.00.00.DBB020">1560850.26</definedName>
    <definedName name="SLD.105.C.0.12.2001.00.00.DBB040">0</definedName>
    <definedName name="SLD.105.C.0.12.2001.00.00.DBB060">377881.75</definedName>
    <definedName name="SLD.105.C.0.12.2001.00.00.DBB081">0</definedName>
    <definedName name="SLD.105.C.0.12.2001.00.00.DBB160">17327098.82</definedName>
    <definedName name="SLD.105.C.0.12.2001.00.00.DBB171">-12008624.98</definedName>
    <definedName name="SLD.105.C.0.12.2001.00.00.DBB180">339766.1</definedName>
    <definedName name="SLD.105.C.0.12.2001.00.00.DGAAPR01">0</definedName>
    <definedName name="SLD.105.C.0.12.2001.00.00.DGAAPR02">0</definedName>
    <definedName name="SLD.105.C.0.12.2001.00.00.DGAAPR03">0</definedName>
    <definedName name="SLD.105.C.0.12.2001.00.00.DGAAPR16">0</definedName>
    <definedName name="SLD.105.C.0.12.2001.00.00.DGAAPR17">0</definedName>
    <definedName name="SLD.105.C.0.12.2001.00.00.DGAAPR18">0</definedName>
    <definedName name="SLD.105.C.0.12.2001.00.00.DGAAPR19">0</definedName>
    <definedName name="SLD.105.C.0.12.2001.00.00.DGAAPR20">-17265.79</definedName>
    <definedName name="SLD.105.C.0.12.2001.00.00.DGAAPR21">0</definedName>
    <definedName name="SLD.105.C.0.12.2001.00.00.DGAAPR22">0</definedName>
    <definedName name="SLD.105.C.0.12.2001.00.00.DGAAPR23">0</definedName>
    <definedName name="SLD.105.C.0.12.2001.00.00.DGAAPR24">0</definedName>
    <definedName name="SLD.105.C.0.12.2001.00.00.DGAAPR25">0</definedName>
    <definedName name="SLD.105.C.0.12.2002.00.00.11501">0</definedName>
    <definedName name="SLD.105.C.0.12.2002.00.00.11806">0</definedName>
    <definedName name="SLD.105.C.0.12.2002.00.00.118060002">0</definedName>
    <definedName name="SLD.105.C.0.12.2002.00.00.121010001">0</definedName>
    <definedName name="SLD.105.C.0.12.2002.00.00.12502">0</definedName>
    <definedName name="SLD.105.C.0.12.2002.00.00.12806">0</definedName>
    <definedName name="SLD.105.C.0.12.2002.00.00.128060004">0</definedName>
    <definedName name="SLD.105.C.0.12.2002.00.00.211030001">0</definedName>
    <definedName name="SLD.105.C.0.12.2002.00.00.213">0</definedName>
    <definedName name="SLD.105.C.0.12.2002.00.00.213020003">0</definedName>
    <definedName name="SLD.105.C.0.12.2002.00.00.21401">0</definedName>
    <definedName name="SLD.105.C.0.12.2002.00.00.214010001">0</definedName>
    <definedName name="SLD.105.C.0.12.2002.00.00.21402">0</definedName>
    <definedName name="SLD.105.C.0.12.2002.00.00.21404">0</definedName>
    <definedName name="SLD.105.C.0.12.2002.00.00.215">0</definedName>
    <definedName name="SLD.105.C.0.12.2002.00.00.21801">0</definedName>
    <definedName name="SLD.105.C.0.12.2002.00.00.218020001">0</definedName>
    <definedName name="SLD.105.C.0.12.2002.00.00.218020002">0</definedName>
    <definedName name="SLD.105.C.0.12.2002.00.00.218020003">0</definedName>
    <definedName name="SLD.105.C.0.12.2002.00.00.21803">0</definedName>
    <definedName name="SLD.105.C.0.12.2002.00.00.241">0</definedName>
    <definedName name="SLD.105.C.0.12.2002.00.00.DA0009">0</definedName>
    <definedName name="SLD.105.C.0.12.2002.00.00.DA0011">0</definedName>
    <definedName name="SLD.105.C.0.12.2002.00.00.DA0012">0</definedName>
    <definedName name="SLD.105.C.0.12.2002.00.00.DA0013">0</definedName>
    <definedName name="SLD.105.C.0.12.2002.00.00.DA0030">0</definedName>
    <definedName name="SLD.105.C.0.12.2002.00.00.DAA0050">0</definedName>
    <definedName name="SLD.105.C.0.12.2002.00.00.DAAAMORT">0</definedName>
    <definedName name="SLD.105.C.0.12.2002.00.00.DAADEPR">0</definedName>
    <definedName name="SLD.105.C.0.12.2002.00.00.DAADIFER">0</definedName>
    <definedName name="SLD.105.C.0.12.2002.00.00.DAAIMOB">0</definedName>
    <definedName name="SLD.105.C.0.12.2002.00.00.DBB010">0</definedName>
    <definedName name="SLD.105.C.0.12.2002.00.00.DBB020">0</definedName>
    <definedName name="SLD.105.C.0.12.2002.00.00.DBB171">0</definedName>
    <definedName name="SLD.105.C.0.12.2002.00.00.DBB180">0</definedName>
    <definedName name="SLD.105.C.1.01.1998.00.00.249">-286.3472311</definedName>
    <definedName name="SLD.105.C.1.01.1999.00.00.249">-2980522.98075461</definedName>
    <definedName name="SLD.105.C.1.06.2001.00.00.11501">0</definedName>
    <definedName name="SLD.105.C.1.06.2001.00.00.121010001">1208156.2399899</definedName>
    <definedName name="SLD.105.C.1.06.2001.00.00.213020003">0</definedName>
    <definedName name="SLD.105.C.1.06.2001.00.00.241">0</definedName>
    <definedName name="SLD.105.C.1.06.2001.00.00.DA0009">4751088.2300016</definedName>
    <definedName name="SLD.105.C.1.06.2001.00.00.DA0012">-823494.0739801</definedName>
    <definedName name="SLD.105.C.1.06.2001.00.00.DA0013">-411868.4054699</definedName>
    <definedName name="SLD.105.C.1.06.2001.00.00.DA0016">0</definedName>
    <definedName name="SLD.105.C.1.06.2001.00.00.DA0030">1448298.1798459</definedName>
    <definedName name="SLD.105.C.1.06.2001.00.00.DAA0050">809971.5799784</definedName>
    <definedName name="SLD.105.C.1.06.2001.00.00.DAAAMORT">0</definedName>
    <definedName name="SLD.105.C.1.06.2001.00.00.DAADEPR">0</definedName>
    <definedName name="SLD.105.C.1.06.2001.00.00.DAADIFER">0</definedName>
    <definedName name="SLD.105.C.1.06.2001.00.00.DAAIMOB">0</definedName>
    <definedName name="SLD.105.C.1.06.2001.00.00.DAAMORTOUT">0</definedName>
    <definedName name="SLD.105.C.1.06.2001.00.00.DAAOUT">0</definedName>
    <definedName name="SLD.105.C.1.06.2001.00.00.DBB010">0</definedName>
    <definedName name="SLD.105.C.1.06.2001.00.00.DBB011">0</definedName>
    <definedName name="SLD.105.C.1.06.2001.00.00.DBB012">0</definedName>
    <definedName name="SLD.105.C.1.06.2001.00.00.DBB020">0</definedName>
    <definedName name="SLD.105.C.1.06.2001.00.00.DBB040">0</definedName>
    <definedName name="SLD.105.C.1.06.2001.00.00.DBB060">0</definedName>
    <definedName name="SLD.105.C.1.06.2001.00.00.DBB081">0</definedName>
    <definedName name="SLD.105.C.1.06.2001.00.00.DBB171">0</definedName>
    <definedName name="SLD.105.C.1.06.2001.00.00.DBB180">0</definedName>
    <definedName name="SLD.105.C.1.12.1997.00.00.121010001">0</definedName>
    <definedName name="SLD.105.C.1.12.1997.00.00.213020003">271531.1403984</definedName>
    <definedName name="SLD.105.C.1.12.1997.00.00.241">13916842.0310516</definedName>
    <definedName name="SLD.105.C.1.12.1997.00.00.249">1769202.8329347</definedName>
    <definedName name="SLD.105.C.1.12.1997.00.00.3">-1769531.2745062</definedName>
    <definedName name="SLD.105.C.1.12.1997.00.00.DA0009">9667125.6827341</definedName>
    <definedName name="SLD.105.C.1.12.1997.00.00.DA0011">134245.7659823</definedName>
    <definedName name="SLD.105.C.1.12.1997.00.00.DA0012">-517482.7068143</definedName>
    <definedName name="SLD.105.C.1.12.1997.00.00.DA0013">-207102.0473073</definedName>
    <definedName name="SLD.105.C.1.12.1997.00.00.DA0015">2559336.6614703</definedName>
    <definedName name="SLD.105.C.1.12.1997.00.00.DA0016">2559336.6614703</definedName>
    <definedName name="SLD.105.C.1.12.1997.00.00.DA0030">1956477.0556798</definedName>
    <definedName name="SLD.105.C.1.12.1997.00.00.DAA0050">349532.8276311</definedName>
    <definedName name="SLD.105.C.1.12.1997.00.00.DAAAMORT">-5810109.205223</definedName>
    <definedName name="SLD.105.C.1.12.1997.00.00.DAADEPR">-3426261.303949</definedName>
    <definedName name="SLD.105.C.1.12.1997.00.00.DAADIFER">24900352.4140421</definedName>
    <definedName name="SLD.105.C.1.12.1997.00.00.DAAIMOB">46832109.5287308</definedName>
    <definedName name="SLD.105.C.1.12.1997.00.00.DAAMORTOUT">0</definedName>
    <definedName name="SLD.105.C.1.12.1997.00.00.DAAOUT">0</definedName>
    <definedName name="SLD.105.C.1.12.1997.00.00.DBB010">52922039.6967204</definedName>
    <definedName name="SLD.105.C.1.12.1997.00.00.DBB011">1399178.4702536</definedName>
    <definedName name="SLD.105.C.1.12.1997.00.00.DBB012">489581.2976853</definedName>
    <definedName name="SLD.105.C.1.12.1997.00.00.DBB020">1838658.4540593</definedName>
    <definedName name="SLD.105.C.1.12.1997.00.00.DBB040">401775.7285483</definedName>
    <definedName name="SLD.105.C.1.12.1997.00.00.DBB060">838174.5145856</definedName>
    <definedName name="SLD.105.C.1.12.1997.00.00.DBB081">0</definedName>
    <definedName name="SLD.105.C.1.12.1997.00.00.DBB171">1769202.8329347</definedName>
    <definedName name="SLD.105.C.1.12.1997.00.00.DBB180">-1769531.2745062</definedName>
    <definedName name="SLD.105.C.1.12.1998.00.00.121010001">998159.2918614</definedName>
    <definedName name="SLD.105.C.1.12.1998.00.00.213020003">419488.3818442</definedName>
    <definedName name="SLD.105.C.1.12.1998.00.00.241">15924058.7718048</definedName>
    <definedName name="SLD.105.C.1.12.1998.00.00.249">-328.4415715</definedName>
    <definedName name="SLD.105.C.1.12.1998.00.00.3">-2598241.2961235</definedName>
    <definedName name="SLD.105.C.1.12.1998.00.00.331">-18439181.0757446</definedName>
    <definedName name="SLD.105.C.1.12.1998.00.00.34703">0</definedName>
    <definedName name="SLD.105.C.1.12.1998.00.00.34705">746898.8730892</definedName>
    <definedName name="SLD.105.C.1.12.1998.00.00.391">-634604.6773901</definedName>
    <definedName name="SLD.105.C.1.12.1998.00.00.DA0009">5678842.4681126</definedName>
    <definedName name="SLD.105.C.1.12.1998.00.00.DA0011">346620.242341</definedName>
    <definedName name="SLD.105.C.1.12.1998.00.00.DA0012">-538877.3275854</definedName>
    <definedName name="SLD.105.C.1.12.1998.00.00.DA0013">-214439.2373128</definedName>
    <definedName name="SLD.105.C.1.12.1998.00.00.DA0015">5120148.920428</definedName>
    <definedName name="SLD.105.C.1.12.1998.00.00.DA0016">5120148.920428</definedName>
    <definedName name="SLD.105.C.1.12.1998.00.00.DA0030">2582911.6327512</definedName>
    <definedName name="SLD.105.C.1.12.1998.00.00.DAA0050">382354.0191811</definedName>
    <definedName name="SLD.105.C.1.12.1998.00.00.DAAAMORT">-10790179.6652572</definedName>
    <definedName name="SLD.105.C.1.12.1998.00.00.DAADEPR">-6984674.4650687</definedName>
    <definedName name="SLD.105.C.1.12.1998.00.00.DAADIFER">24900352.4140421</definedName>
    <definedName name="SLD.105.C.1.12.1998.00.00.DAAIMOB">57345797.0088203</definedName>
    <definedName name="SLD.105.C.1.12.1998.00.00.DAAMORTOUT">0</definedName>
    <definedName name="SLD.105.C.1.12.1998.00.00.DAAOUT">0</definedName>
    <definedName name="SLD.105.C.1.12.1998.00.00.DBB010">54734124.4658268</definedName>
    <definedName name="SLD.105.C.1.12.1998.00.00.DBB011">1728075.1893248</definedName>
    <definedName name="SLD.105.C.1.12.1998.00.00.DBB012">47378.6523244</definedName>
    <definedName name="SLD.105.C.1.12.1998.00.00.DBB013">998159.2918614</definedName>
    <definedName name="SLD.105.C.1.12.1998.00.00.DBB020">1373889.8150596</definedName>
    <definedName name="SLD.105.C.1.12.1998.00.00.DBB040">404754.8826374</definedName>
    <definedName name="SLD.105.C.1.12.1998.00.00.DBB060">122929.172814</definedName>
    <definedName name="SLD.105.C.1.12.1998.00.00.DBB081">0</definedName>
    <definedName name="SLD.105.C.1.12.1998.00.00.DBB160">18264967.5625618</definedName>
    <definedName name="SLD.105.C.1.12.1998.00.00.DBB171">-328.4415715</definedName>
    <definedName name="SLD.105.C.1.12.1998.00.00.DBB180">-2980194.53918317</definedName>
    <definedName name="SLD.105.C.1.12.1998.00.00.DGAAPR01">40647753.0675048</definedName>
    <definedName name="SLD.105.C.1.12.1998.00.00.DGAAPR02">2788339.61219406</definedName>
    <definedName name="SLD.105.C.1.12.1998.00.00.DGAAPR03">-3304440.87957001</definedName>
    <definedName name="SLD.105.C.1.12.1998.00.00.DGAAPR04.CG1_GRUPODESP_2">-1422411.6540787</definedName>
    <definedName name="SLD.105.C.1.12.1998.00.00.DGAAPR05.CG1_GRUPODESP_2">-4703638.55259443</definedName>
    <definedName name="SLD.105.C.1.12.1998.00.00.DGAAPR06.CG1_GRUPODESP_2">-24628.1332337</definedName>
    <definedName name="SLD.105.C.1.12.1998.00.00.DGAAPR07.CG1_GRUPODESP_2">-3258874.5697114</definedName>
    <definedName name="SLD.105.C.1.12.1998.00.00.DGAAPR10.CG1_GRUPODESP_2.CG4_NAOK_3">-156665.2165376</definedName>
    <definedName name="SLD.105.C.1.12.1998.00.00.DGAAPR12.CG1_GRUPODESP_2">-9334764.42738011</definedName>
    <definedName name="SLD.105.C.1.12.1998.00.00.DGAAPR13">662220.531991</definedName>
    <definedName name="SLD.105.C.1.12.1998.00.00.DGAAPR16">-5885136.50967407</definedName>
    <definedName name="SLD.105.C.1.12.1998.00.00.DGAAPR17">-1564096.42198753</definedName>
    <definedName name="SLD.105.C.1.12.1998.00.00.DGAAPR18">-159440.72793889</definedName>
    <definedName name="SLD.105.C.1.12.1998.00.00.DGAAPR19">0</definedName>
    <definedName name="SLD.105.C.1.12.1998.00.00.DGAAPR20">-38607.24297243</definedName>
    <definedName name="SLD.105.C.1.12.1998.00.00.DGAAPR21">-18652.60353693</definedName>
    <definedName name="SLD.105.C.1.12.1998.00.00.DGAAPR22">-6396.8273947</definedName>
    <definedName name="SLD.105.C.1.12.1999.00.00.121010001">1139008.5445008</definedName>
    <definedName name="SLD.105.C.1.12.1999.00.00.213020003">449183.8581772</definedName>
    <definedName name="SLD.105.C.1.12.1999.00.00.241">15924058.7718048</definedName>
    <definedName name="SLD.105.C.1.12.1999.00.00.3">-3743285.06320572</definedName>
    <definedName name="SLD.105.C.1.12.1999.00.00.31">41130292.199646</definedName>
    <definedName name="SLD.105.C.1.12.1999.00.00.331">-17524849.0274963</definedName>
    <definedName name="SLD.105.C.1.12.1999.00.00.34703">-536337.4948984</definedName>
    <definedName name="SLD.105.C.1.12.1999.00.00.34705">0</definedName>
    <definedName name="SLD.105.C.1.12.1999.00.00.391">-716570.71964836</definedName>
    <definedName name="SLD.105.C.1.12.1999.00.00.DA0009">3968583.8784903</definedName>
    <definedName name="SLD.105.C.1.12.1999.00.00.DA0011">249563.0665448</definedName>
    <definedName name="SLD.105.C.1.12.1999.00.00.DA0012">159588.5379723</definedName>
    <definedName name="SLD.105.C.1.12.1999.00.00.DA0013">-74922.5465259</definedName>
    <definedName name="SLD.105.C.1.12.1999.00.00.DA0015">1009194.9760987</definedName>
    <definedName name="SLD.105.C.1.12.1999.00.00.DA0016">1009194.9760987</definedName>
    <definedName name="SLD.105.C.1.12.1999.00.00.DA0030">3013506.0901738</definedName>
    <definedName name="SLD.105.C.1.12.1999.00.00.DAA0050">280789.049201</definedName>
    <definedName name="SLD.105.C.1.12.1999.00.00.DAAAMORT">-13280215.0904819</definedName>
    <definedName name="SLD.105.C.1.12.1999.00.00.DAADEPR">-12307545.1463653</definedName>
    <definedName name="SLD.105.C.1.12.1999.00.00.DAADIFER">24900352.4140421</definedName>
    <definedName name="SLD.105.C.1.12.1999.00.00.DAAIMOB">66060842.0023461</definedName>
    <definedName name="SLD.105.C.1.12.1999.00.00.DAAMORTOUT">0</definedName>
    <definedName name="SLD.105.C.1.12.1999.00.00.DAAOUT">0</definedName>
    <definedName name="SLD.105.C.1.12.1999.00.00.DBB010">57504252.4527957</definedName>
    <definedName name="SLD.105.C.1.12.1999.00.00.DBB011">1456290.0704422</definedName>
    <definedName name="SLD.105.C.1.12.1999.00.00.DBB012">377961.3689109</definedName>
    <definedName name="SLD.105.C.1.12.1999.00.00.DBB013">1139008.5445008</definedName>
    <definedName name="SLD.105.C.1.12.1999.00.00.DBB020">1289236.9125015</definedName>
    <definedName name="SLD.105.C.1.12.1999.00.00.DBB040">1383295.2640355</definedName>
    <definedName name="SLD.105.C.1.12.1999.00.00.DBB060">1197969.5897469</definedName>
    <definedName name="SLD.105.C.1.12.1999.00.00.DBB081">0</definedName>
    <definedName name="SLD.105.C.1.12.1999.00.00.DBB160">18264967.5625618</definedName>
    <definedName name="SLD.105.C.1.12.1999.00.00.DBB171">-2980522.98075461</definedName>
    <definedName name="SLD.105.C.1.12.1999.00.00.DBB180">-4293564.9281764</definedName>
    <definedName name="SLD.105.C.1.12.1999.00.00.DGAAPR01">38100511.9720459</definedName>
    <definedName name="SLD.105.C.1.12.1999.00.00.DGAAPR02">3029780.22760391</definedName>
    <definedName name="SLD.105.C.1.12.1999.00.00.DGAAPR03">-2710972.57358551</definedName>
    <definedName name="SLD.105.C.1.12.1999.00.00.DGAAPR04.CG1_GRUPODESP_2">-1456350.7648321</definedName>
    <definedName name="SLD.105.C.1.12.1999.00.00.DGAAPR05.CG1_GRUPODESP_2">-4260386.1504782</definedName>
    <definedName name="SLD.105.C.1.12.1999.00.00.DGAAPR06.CG1_GRUPODESP_2">-58245.9645387</definedName>
    <definedName name="SLD.105.C.1.12.1999.00.00.DGAAPR07.CG1_GRUPODESP_2">-1514882.0431859</definedName>
    <definedName name="SLD.105.C.1.12.1999.00.00.DGAAPR10.CG1_GRUPODESP_2.CG4_NAOK_3">-285946.8395819</definedName>
    <definedName name="SLD.105.C.1.12.1999.00.00.DGAAPR12.CG1_GRUPODESP_2">-8318702.5169311</definedName>
    <definedName name="SLD.105.C.1.12.1999.00.00.DGAAPR13">854518.07934284</definedName>
    <definedName name="SLD.105.C.1.12.1999.00.00.DGAAPR16">-3388794.91635132</definedName>
    <definedName name="SLD.105.C.1.12.1999.00.00.DGAAPR17">-6360389.22940063</definedName>
    <definedName name="SLD.105.C.1.12.1999.00.00.DGAAPR18">-59968.02847219</definedName>
    <definedName name="SLD.105.C.1.12.1999.00.00.DGAAPR19">0</definedName>
    <definedName name="SLD.105.C.1.12.1999.00.00.DGAAPR20">-45589.01009762</definedName>
    <definedName name="SLD.105.C.1.12.1999.00.00.DGAAPR21">608947.78242302</definedName>
    <definedName name="SLD.105.C.1.12.1999.00.00.DGAAPR22">121635.69281638</definedName>
    <definedName name="SLD.105.C.1.12.1999.00.00.DGAAPR23">3136895.4706462</definedName>
    <definedName name="SLD.105.C.1.12.1999.00.00.DGAAPR24">100200.6071965</definedName>
    <definedName name="SLD.105.C.1.12.1999.00.00.DGAAPR25">0</definedName>
    <definedName name="SLD.105.C.1.12.2000.00.00.121010001">1189208.9334825</definedName>
    <definedName name="SLD.105.C.1.12.2000.00.00.213020003">559832.0040125</definedName>
    <definedName name="SLD.105.C.1.12.2000.00.00.241">18264967.5625618</definedName>
    <definedName name="SLD.105.C.1.12.2000.00.00.3">569842.2833687</definedName>
    <definedName name="SLD.105.C.1.12.2000.00.00.331">-26024819.3356938</definedName>
    <definedName name="SLD.105.C.1.12.2000.00.00.391">-739788.067716</definedName>
    <definedName name="SLD.105.C.1.12.2000.00.00.DA0009">6358486.6669026</definedName>
    <definedName name="SLD.105.C.1.12.2000.00.00.DA0011">374957.7516733</definedName>
    <definedName name="SLD.105.C.1.12.2000.00.00.DA0012">-576338.2923848</definedName>
    <definedName name="SLD.105.C.1.12.2000.00.00.DA0013">-327874.8306609</definedName>
    <definedName name="SLD.105.C.1.12.2000.00.00.DA0015">484432.1062812</definedName>
    <definedName name="SLD.105.C.1.12.2000.00.00.DA0016">833406.2068373</definedName>
    <definedName name="SLD.105.C.1.12.2000.00.00.DA0030">1988664.2598331</definedName>
    <definedName name="SLD.105.C.1.12.2000.00.00.DAA0050">259415.6129656</definedName>
    <definedName name="SLD.105.C.1.12.2000.00.00.DAAAMORT">-15770250.5157066</definedName>
    <definedName name="SLD.105.C.1.12.2000.00.00.DAADEPR">-23513570.0247323</definedName>
    <definedName name="SLD.105.C.1.12.2000.00.00.DAADIFER">24900352.4140421</definedName>
    <definedName name="SLD.105.C.1.12.2000.00.00.DAAIMOB">87983432.5886281</definedName>
    <definedName name="SLD.105.C.1.12.2000.00.00.DAAMORTOUT">0</definedName>
    <definedName name="SLD.105.C.1.12.2000.00.00.DAAOUT">0</definedName>
    <definedName name="SLD.105.C.1.12.2000.00.00.DBB010">59724218.931811</definedName>
    <definedName name="SLD.105.C.1.12.2000.00.00.DBB011">1584465.3620687</definedName>
    <definedName name="SLD.105.C.1.12.2000.00.00.DBB012">5812911.3144943</definedName>
    <definedName name="SLD.105.C.1.12.2000.00.00.DBB020">1890518.6567649</definedName>
    <definedName name="SLD.105.C.1.12.2000.00.00.DBB040">1716855.1708789</definedName>
    <definedName name="SLD.105.C.1.12.2000.00.00.DBB060">375385.1581667</definedName>
    <definedName name="SLD.105.C.1.12.2000.00.00.DBB081">0</definedName>
    <definedName name="SLD.105.C.1.12.2000.00.00.DBB171">-7274087.90975119</definedName>
    <definedName name="SLD.105.C.1.12.2000.00.00.DBB180">569842.2833687</definedName>
    <definedName name="SLD.105.C.1.12.2000.00.00.DGAAPR01">43505256.2601419</definedName>
    <definedName name="SLD.105.C.1.12.2000.00.00.DGAAPR02">7163463.3296289</definedName>
    <definedName name="SLD.105.C.1.12.2000.00.00.DGAAPR03">-4107570.0998693</definedName>
    <definedName name="SLD.105.C.1.12.2000.00.00.DGAAPR13">114584.7785755</definedName>
    <definedName name="SLD.105.C.1.12.2000.00.00.DGAAPR16">-6668134.9401657</definedName>
    <definedName name="SLD.105.C.1.12.2000.00.00.DGAAPR17">1740055.0919031</definedName>
    <definedName name="SLD.105.C.1.12.2000.00.00.DGAAPR18">-347963.6446402</definedName>
    <definedName name="SLD.105.C.1.12.2000.00.00.DGAAPR19">0</definedName>
    <definedName name="SLD.105.C.1.12.2000.00.00.DGAAPR20">-19635.3888281</definedName>
    <definedName name="SLD.105.C.1.12.2000.00.00.DGAAPR21">-735926.8303571</definedName>
    <definedName name="SLD.105.C.1.12.2000.00.00.DGAAPR22">-252952.284135</definedName>
    <definedName name="SLD.105.C.1.12.2000.00.00.DGAAPR23">1501231.8033076</definedName>
    <definedName name="SLD.105.C.1.12.2000.00.00.DGAAPR24">113701.1180611</definedName>
    <definedName name="SLD.105.C.1.12.2000.00.00.DGAAPR25">22450.1446265</definedName>
    <definedName name="SLD.105.C.1.12.2001.00.00.11501">0</definedName>
    <definedName name="SLD.105.C.1.12.2001.00.00.121010001">0</definedName>
    <definedName name="SLD.105.C.1.12.2001.00.00.213020003">0</definedName>
    <definedName name="SLD.105.C.1.12.2001.00.00.241">0</definedName>
    <definedName name="SLD.105.C.1.12.2001.00.00.DA0009">0</definedName>
    <definedName name="SLD.105.C.1.12.2001.00.00.DA0012">0</definedName>
    <definedName name="SLD.105.C.1.12.2001.00.00.DA0013">0</definedName>
    <definedName name="SLD.105.C.1.12.2001.00.00.DA0016">0</definedName>
    <definedName name="SLD.105.C.1.12.2001.00.00.DA0030">0</definedName>
    <definedName name="SLD.105.C.1.12.2001.00.00.DAA0050">0</definedName>
    <definedName name="SLD.105.C.1.12.2001.00.00.DAAAMORT">0</definedName>
    <definedName name="SLD.105.C.1.12.2001.00.00.DAADEPR">0</definedName>
    <definedName name="SLD.105.C.1.12.2001.00.00.DAADIFER">0</definedName>
    <definedName name="SLD.105.C.1.12.2001.00.00.DAAIMOB">0</definedName>
    <definedName name="SLD.105.C.1.12.2001.00.00.DAAMORTOUT">0</definedName>
    <definedName name="SLD.105.C.1.12.2001.00.00.DAAOUT">0</definedName>
    <definedName name="SLD.105.C.1.12.2001.00.00.DBB010">0</definedName>
    <definedName name="SLD.105.C.1.12.2001.00.00.DBB011">0</definedName>
    <definedName name="SLD.105.C.1.12.2001.00.00.DBB012">0</definedName>
    <definedName name="SLD.105.C.1.12.2001.00.00.DBB020">0</definedName>
    <definedName name="SLD.105.C.1.12.2001.00.00.DBB040">0</definedName>
    <definedName name="SLD.105.C.1.12.2001.00.00.DBB060">0</definedName>
    <definedName name="SLD.105.C.1.12.2001.00.00.DBB081">0</definedName>
    <definedName name="SLD.105.C.1.12.2001.00.00.DBB171">0</definedName>
    <definedName name="SLD.105.C.1.12.2001.00.00.DBB180">0</definedName>
    <definedName name="SLD.105.O.0.03.2001.00.00.34706">-28088.47</definedName>
    <definedName name="SLD.105.O.0.03.2002.00.00.34706">-50175.62</definedName>
    <definedName name="SLD.105.O.0.03.2002.00.00.381010002">-174334.63</definedName>
    <definedName name="SLD.105.O.0.03.2002.00.00.381020002">-478262.84</definedName>
    <definedName name="SLD.105.O.0.03.2002.00.00.DBB010">57984803.18</definedName>
    <definedName name="SLD.105.O.0.03.2002.00.00.DBB081">0</definedName>
    <definedName name="SLD.105.O.0.06.2001.00.00.34706">-58082</definedName>
    <definedName name="SLD.105.O.0.06.2002.00.00.218020004">37918.11</definedName>
    <definedName name="SLD.105.O.0.06.2002.00.00.34706">-103211.6</definedName>
    <definedName name="SLD.105.O.0.06.2002.00.00.381010002">-277341.15</definedName>
    <definedName name="SLD.105.O.0.06.2002.00.00.381020002">-758392.07</definedName>
    <definedName name="SLD.105.O.0.06.2002.00.00.DBB010">56941763.29</definedName>
    <definedName name="SLD.105.O.0.12.2001.00.00.118060002">493190.58</definedName>
    <definedName name="sofitex" localSheetId="0">#REF!</definedName>
    <definedName name="sofitex">#REF!</definedName>
    <definedName name="sogsafra" localSheetId="0" hidden="1">#REF!</definedName>
    <definedName name="sogsafra" hidden="1">#REF!</definedName>
    <definedName name="Sold" localSheetId="0">#REF!</definedName>
    <definedName name="Sold">#REF!</definedName>
    <definedName name="SORT" localSheetId="0">#REF!</definedName>
    <definedName name="SORT">#REF!</definedName>
    <definedName name="SPO" hidden="1">#REF!</definedName>
    <definedName name="spread" localSheetId="0">#REF!</definedName>
    <definedName name="spread">#REF!</definedName>
    <definedName name="SS" localSheetId="0">#REF!</definedName>
    <definedName name="SS">#REF!</definedName>
    <definedName name="SSA.000.C.0.00.0000.00.00.DRR140">3000</definedName>
    <definedName name="SSA.000.C.0.01.0000.00.00.DRR140">3000</definedName>
    <definedName name="SSA.000.C.0.01.2002.00.00.DRR140">3000</definedName>
    <definedName name="sssss" localSheetId="0" hidden="1">{"PARTE1",#N/A,FALSE,"Plan1"}</definedName>
    <definedName name="sssss" hidden="1">{"PARTE1",#N/A,FALSE,"Plan1"}</definedName>
    <definedName name="stlsertel" localSheetId="0">#REF!</definedName>
    <definedName name="stlsertel">#REF!</definedName>
    <definedName name="SU_D_PI" localSheetId="0">#REF!</definedName>
    <definedName name="SU_D_PI">#REF!</definedName>
    <definedName name="SU_T_PI" localSheetId="0">#REF!</definedName>
    <definedName name="SU_T_PI">#REF!</definedName>
    <definedName name="Summary" localSheetId="0" hidden="1">#REF!</definedName>
    <definedName name="Summary" hidden="1">#REF!</definedName>
    <definedName name="sw" localSheetId="0" hidden="1">{#N/A,#N/A,FALSE,"Aging Summary";#N/A,#N/A,FALSE,"Ratio Analysis";#N/A,#N/A,FALSE,"Test 120 Day Accts";#N/A,#N/A,FALSE,"Tickmarks"}</definedName>
    <definedName name="sw" hidden="1">{#N/A,#N/A,FALSE,"Aging Summary";#N/A,#N/A,FALSE,"Ratio Analysis";#N/A,#N/A,FALSE,"Test 120 Day Accts";#N/A,#N/A,FALSE,"Tickmarks"}</definedName>
    <definedName name="Swvu.ACC." localSheetId="0" hidden="1">#REF!</definedName>
    <definedName name="Swvu.ACC." hidden="1">#REF!</definedName>
    <definedName name="Swvu.AFAC." localSheetId="0" hidden="1">#REF!</definedName>
    <definedName name="Swvu.AFAC." hidden="1">#REF!</definedName>
    <definedName name="Swvu.ELIMLUCRO." localSheetId="0" hidden="1">#REF!</definedName>
    <definedName name="Swvu.ELIMLUCRO." hidden="1">#REF!</definedName>
    <definedName name="Swvu.ESTOQUES." localSheetId="0" hidden="1">#REF!</definedName>
    <definedName name="Swvu.ESTOQUES." hidden="1">#REF!</definedName>
    <definedName name="Swvu.Fabio." localSheetId="0" hidden="1">#REF!</definedName>
    <definedName name="Swvu.Fabio." hidden="1">#REF!</definedName>
    <definedName name="Swvu.LPERDAS." localSheetId="0" hidden="1">#REF!</definedName>
    <definedName name="Swvu.LPERDAS." hidden="1">#REF!</definedName>
    <definedName name="Swvu.RES432." localSheetId="0" hidden="1">#REF!</definedName>
    <definedName name="Swvu.RES432." hidden="1">#REF!</definedName>
    <definedName name="Swvu.VERLUCRO." localSheetId="0" hidden="1">#REF!</definedName>
    <definedName name="Swvu.VERLUCRO." hidden="1">#REF!</definedName>
    <definedName name="sxa" localSheetId="0">#REF!</definedName>
    <definedName name="sxa">#REF!</definedName>
    <definedName name="t">#REF!</definedName>
    <definedName name="TAB">#N/A</definedName>
    <definedName name="TAB_DRE">#REF!</definedName>
    <definedName name="TabC" localSheetId="0">#REF!</definedName>
    <definedName name="TabC">#REF!</definedName>
    <definedName name="TabD" localSheetId="0">#REF!</definedName>
    <definedName name="TabD">#REF!</definedName>
    <definedName name="tabela" localSheetId="0">#REF!</definedName>
    <definedName name="tabela">#REF!</definedName>
    <definedName name="TABELA_1" localSheetId="0">#REF!</definedName>
    <definedName name="TABELA_1">#REF!</definedName>
    <definedName name="TABELA1" localSheetId="0">#REF!</definedName>
    <definedName name="TABELA1">#REF!</definedName>
    <definedName name="TABLE_1">#REF!</definedName>
    <definedName name="TABLE_10_1">#REF!</definedName>
    <definedName name="TABLE_11_1">#REF!</definedName>
    <definedName name="TABLE_12_1">#REF!</definedName>
    <definedName name="TABLE_13_1">#REF!</definedName>
    <definedName name="TABLE_14_1">#REF!</definedName>
    <definedName name="TABLE_2_1">#REF!</definedName>
    <definedName name="TABLE_3_1">#REF!</definedName>
    <definedName name="TABLE_4_1">#REF!</definedName>
    <definedName name="TABLE_5_1">#REF!</definedName>
    <definedName name="TABLE_6_1">#REF!</definedName>
    <definedName name="TABLE_7_1">#REF!</definedName>
    <definedName name="TABLE_8_1">#REF!</definedName>
    <definedName name="TABLE_9_1">#REF!</definedName>
    <definedName name="tabta" localSheetId="0" hidden="1">{#N/A,#N/A,FALSE,"Aging Summary";#N/A,#N/A,FALSE,"Ratio Analysis";#N/A,#N/A,FALSE,"Test 120 Day Accts";#N/A,#N/A,FALSE,"Tickmarks"}</definedName>
    <definedName name="tabta" hidden="1">{#N/A,#N/A,FALSE,"Aging Summary";#N/A,#N/A,FALSE,"Ratio Analysis";#N/A,#N/A,FALSE,"Test 120 Day Accts";#N/A,#N/A,FALSE,"Tickmarks"}</definedName>
    <definedName name="TACOVE">#N/A</definedName>
    <definedName name="TAX" localSheetId="0">#REF!</definedName>
    <definedName name="TAX">#REF!</definedName>
    <definedName name="TAXA" localSheetId="0">#REF!</definedName>
    <definedName name="TAXA">#REF!</definedName>
    <definedName name="Taxa_de_Juros">#REF!</definedName>
    <definedName name="TAXAS" localSheetId="0">#REF!</definedName>
    <definedName name="TAXAS">#REF!</definedName>
    <definedName name="TBdbName" hidden="1">"88D5BF544BE111D2B8C5006097494125.mdb"</definedName>
    <definedName name="Tea" localSheetId="0">#REF!</definedName>
    <definedName name="Tea">#REF!</definedName>
    <definedName name="TELA">#REF!</definedName>
    <definedName name="TempTotal" localSheetId="0">#REF!</definedName>
    <definedName name="TempTotal">#REF!</definedName>
    <definedName name="test" localSheetId="0">#REF!</definedName>
    <definedName name="test">#REF!</definedName>
    <definedName name="TEST0" localSheetId="0">#REF!</definedName>
    <definedName name="TEST0">#REF!</definedName>
    <definedName name="teste" localSheetId="0">#REF!</definedName>
    <definedName name="teste">#REF!</definedName>
    <definedName name="teste2" hidden="1">#REF!</definedName>
    <definedName name="TESTHKEY" localSheetId="0">#REF!</definedName>
    <definedName name="TESTHKEY">#REF!</definedName>
    <definedName name="TESTKEYS" localSheetId="0">#REF!</definedName>
    <definedName name="TESTKEYS">#REF!</definedName>
    <definedName name="TESTVKEY" localSheetId="0">#REF!</definedName>
    <definedName name="TESTVKEY">#REF!</definedName>
    <definedName name="TextRefCopy1" localSheetId="0">#REF!</definedName>
    <definedName name="TextRefCopy1">#REF!</definedName>
    <definedName name="TextRefCopy10" localSheetId="0">#REF!</definedName>
    <definedName name="TextRefCopy10">#REF!</definedName>
    <definedName name="TextRefCopy10___0" localSheetId="0">#REF!</definedName>
    <definedName name="TextRefCopy10___0">#REF!</definedName>
    <definedName name="TextRefCopy10___0___0" localSheetId="0">#REF!</definedName>
    <definedName name="TextRefCopy10___0___0">#REF!</definedName>
    <definedName name="TextRefCopy10___0___0___0" localSheetId="0">#REF!</definedName>
    <definedName name="TextRefCopy10___0___0___0">#REF!</definedName>
    <definedName name="TextRefCopy11" localSheetId="0">#REF!</definedName>
    <definedName name="TextRefCopy11">#REF!</definedName>
    <definedName name="TextRefCopy12" localSheetId="0">#REF!</definedName>
    <definedName name="TextRefCopy12">#REF!</definedName>
    <definedName name="TextRefCopy13" localSheetId="0">#REF!</definedName>
    <definedName name="TextRefCopy13">#REF!</definedName>
    <definedName name="TextRefCopy14" localSheetId="0">#REF!</definedName>
    <definedName name="TextRefCopy14">#REF!</definedName>
    <definedName name="TextRefCopy14___0" localSheetId="0">#REF!</definedName>
    <definedName name="TextRefCopy14___0">#REF!</definedName>
    <definedName name="TextRefCopy14___0___0" localSheetId="0">#REF!</definedName>
    <definedName name="TextRefCopy14___0___0">#REF!</definedName>
    <definedName name="TextRefCopy14___0___0___0" localSheetId="0">#REF!</definedName>
    <definedName name="TextRefCopy14___0___0___0">#REF!</definedName>
    <definedName name="TextRefCopy15" localSheetId="0">#REF!</definedName>
    <definedName name="TextRefCopy15">#REF!</definedName>
    <definedName name="TextRefCopy16" localSheetId="0">#REF!</definedName>
    <definedName name="TextRefCopy16">#REF!</definedName>
    <definedName name="TextRefCopy17" localSheetId="0">#REF!</definedName>
    <definedName name="TextRefCopy17">#REF!</definedName>
    <definedName name="TEXTREFCOPY18" localSheetId="0">#REF!</definedName>
    <definedName name="TEXTREFCOPY18">#REF!</definedName>
    <definedName name="TextRefCopy19" localSheetId="0">#REF!</definedName>
    <definedName name="TextRefCopy19">#REF!</definedName>
    <definedName name="TextRefCopy2" localSheetId="0">#REF!</definedName>
    <definedName name="TextRefCopy2">#REF!</definedName>
    <definedName name="TextRefCopy20" localSheetId="0">#REF!</definedName>
    <definedName name="TextRefCopy20">#REF!</definedName>
    <definedName name="TextRefCopy21" localSheetId="0">#REF!</definedName>
    <definedName name="TextRefCopy21">#REF!</definedName>
    <definedName name="TextRefCopy22" localSheetId="0">#REF!</definedName>
    <definedName name="TextRefCopy22">#REF!</definedName>
    <definedName name="TextRefCopy23" localSheetId="0">#REF!</definedName>
    <definedName name="TextRefCopy23">#REF!</definedName>
    <definedName name="TextRefCopy24" localSheetId="0">#REF!</definedName>
    <definedName name="TextRefCopy24">#REF!</definedName>
    <definedName name="TextRefCopy25" localSheetId="0">#REF!</definedName>
    <definedName name="TextRefCopy25">#REF!</definedName>
    <definedName name="TextRefCopy26" localSheetId="0">#REF!</definedName>
    <definedName name="TextRefCopy26">#REF!</definedName>
    <definedName name="TextRefCopy27" localSheetId="0">#REF!</definedName>
    <definedName name="TextRefCopy27">#REF!</definedName>
    <definedName name="TextRefCopy28" localSheetId="0">#REF!</definedName>
    <definedName name="TextRefCopy28">#REF!</definedName>
    <definedName name="TextRefCopy29" localSheetId="0">#REF!</definedName>
    <definedName name="TextRefCopy29">#REF!</definedName>
    <definedName name="TextRefCopy3" localSheetId="0">#REF!</definedName>
    <definedName name="TextRefCopy3">#REF!</definedName>
    <definedName name="TextRefCopy30" localSheetId="0">#REF!</definedName>
    <definedName name="TextRefCopy30">#REF!</definedName>
    <definedName name="TextRefCopy31" localSheetId="0">#REF!</definedName>
    <definedName name="TextRefCopy31">#REF!</definedName>
    <definedName name="TextRefCopy32" localSheetId="0">#REF!</definedName>
    <definedName name="TextRefCopy32">#REF!</definedName>
    <definedName name="TextRefCopy33" localSheetId="0">#REF!</definedName>
    <definedName name="TextRefCopy33">#REF!</definedName>
    <definedName name="TextRefCopy34" localSheetId="0">#REF!</definedName>
    <definedName name="TextRefCopy34">#REF!</definedName>
    <definedName name="TextRefCopy35" localSheetId="0">#REF!</definedName>
    <definedName name="TextRefCopy35">#REF!</definedName>
    <definedName name="TextRefCopy36" localSheetId="0">#REF!</definedName>
    <definedName name="TextRefCopy36">#REF!</definedName>
    <definedName name="TextRefCopy37" localSheetId="0">#REF!</definedName>
    <definedName name="TextRefCopy37">#REF!</definedName>
    <definedName name="TextRefCopy38" localSheetId="0">#REF!</definedName>
    <definedName name="TextRefCopy38">#REF!</definedName>
    <definedName name="TextRefCopy39" localSheetId="0">#REF!</definedName>
    <definedName name="TextRefCopy39">#REF!</definedName>
    <definedName name="TextRefCopy4" localSheetId="0">#REF!</definedName>
    <definedName name="TextRefCopy4">#REF!</definedName>
    <definedName name="TextRefCopy40" localSheetId="0">#REF!</definedName>
    <definedName name="TextRefCopy40">#REF!</definedName>
    <definedName name="TextRefCopy41" localSheetId="0">#REF!</definedName>
    <definedName name="TextRefCopy41">#REF!</definedName>
    <definedName name="TextRefCopy42" localSheetId="0">#REF!</definedName>
    <definedName name="TextRefCopy42">#REF!</definedName>
    <definedName name="TextRefCopy43" localSheetId="0">#REF!</definedName>
    <definedName name="TextRefCopy43">#REF!</definedName>
    <definedName name="TextRefCopy44" localSheetId="0">#REF!</definedName>
    <definedName name="TextRefCopy44">#REF!</definedName>
    <definedName name="TextRefCopy45" localSheetId="0">#REF!</definedName>
    <definedName name="TextRefCopy45">#REF!</definedName>
    <definedName name="TextRefCopy46" localSheetId="0">#REF!</definedName>
    <definedName name="TextRefCopy46">#REF!</definedName>
    <definedName name="TextRefCopy47" localSheetId="0">#REF!</definedName>
    <definedName name="TextRefCopy47">#REF!</definedName>
    <definedName name="TextRefCopy48" localSheetId="0">#REF!</definedName>
    <definedName name="TextRefCopy48">#REF!</definedName>
    <definedName name="TextRefCopy49" localSheetId="0">#REF!</definedName>
    <definedName name="TextRefCopy49">#REF!</definedName>
    <definedName name="TextRefCopy5" localSheetId="0">#REF!</definedName>
    <definedName name="TextRefCopy5">#REF!</definedName>
    <definedName name="TextRefCopy50" localSheetId="0">#REF!</definedName>
    <definedName name="TextRefCopy50">#REF!</definedName>
    <definedName name="TextRefCopy51" localSheetId="0">#REF!</definedName>
    <definedName name="TextRefCopy51">#REF!</definedName>
    <definedName name="TextRefCopy52" localSheetId="0">#REF!</definedName>
    <definedName name="TextRefCopy52">#REF!</definedName>
    <definedName name="TextRefCopy53" localSheetId="0">#REF!</definedName>
    <definedName name="TextRefCopy53">#REF!</definedName>
    <definedName name="TextRefCopy54" localSheetId="0">#REF!</definedName>
    <definedName name="TextRefCopy54">#REF!</definedName>
    <definedName name="TextRefCopy55" localSheetId="0">#REF!</definedName>
    <definedName name="TextRefCopy55">#REF!</definedName>
    <definedName name="TextRefCopy56" localSheetId="0">#REF!</definedName>
    <definedName name="TextRefCopy56">#REF!</definedName>
    <definedName name="TextRefCopy57" localSheetId="0">#REF!</definedName>
    <definedName name="TextRefCopy57">#REF!</definedName>
    <definedName name="TextRefCopy58" localSheetId="0">#REF!</definedName>
    <definedName name="TextRefCopy58">#REF!</definedName>
    <definedName name="TextRefCopy59" localSheetId="0">#REF!</definedName>
    <definedName name="TextRefCopy59">#REF!</definedName>
    <definedName name="TextRefCopy6" localSheetId="0">#REF!</definedName>
    <definedName name="TextRefCopy6">#REF!</definedName>
    <definedName name="TextRefCopy60" localSheetId="0">#REF!</definedName>
    <definedName name="TextRefCopy60">#REF!</definedName>
    <definedName name="TextRefCopy61" localSheetId="0">#REF!</definedName>
    <definedName name="TextRefCopy61">#REF!</definedName>
    <definedName name="TextRefCopy62" localSheetId="0">#REF!</definedName>
    <definedName name="TextRefCopy62">#REF!</definedName>
    <definedName name="TextRefCopy63" localSheetId="0">#REF!</definedName>
    <definedName name="TextRefCopy63">#REF!</definedName>
    <definedName name="TextRefCopy64" localSheetId="0">#REF!</definedName>
    <definedName name="TextRefCopy64">#REF!</definedName>
    <definedName name="TextRefCopy65" localSheetId="0">#REF!</definedName>
    <definedName name="TextRefCopy65">#REF!</definedName>
    <definedName name="TextRefCopy66" localSheetId="0">#REF!</definedName>
    <definedName name="TextRefCopy66">#REF!</definedName>
    <definedName name="TextRefCopy67" localSheetId="0">#REF!</definedName>
    <definedName name="TextRefCopy67">#REF!</definedName>
    <definedName name="TextRefCopy68" localSheetId="0">#REF!</definedName>
    <definedName name="TextRefCopy68">#REF!</definedName>
    <definedName name="TextRefCopy69">#REF!</definedName>
    <definedName name="TextRefCopy7" localSheetId="0">#REF!</definedName>
    <definedName name="TextRefCopy7">#REF!</definedName>
    <definedName name="TextRefCopy70" localSheetId="0">#REF!</definedName>
    <definedName name="TextRefCopy70">#REF!</definedName>
    <definedName name="TextRefCopy71">#REF!</definedName>
    <definedName name="TextRefCopy8" localSheetId="0">#REF!</definedName>
    <definedName name="TextRefCopy8">#REF!</definedName>
    <definedName name="TextRefCopy9" localSheetId="0">#REF!</definedName>
    <definedName name="TextRefCopy9">#REF!</definedName>
    <definedName name="TextRefCopyRangeCount" hidden="1">3</definedName>
    <definedName name="tg">#REF!</definedName>
    <definedName name="Threshold" localSheetId="0">#REF!</definedName>
    <definedName name="Threshold">#REF!</definedName>
    <definedName name="TIPO" localSheetId="0">#REF!</definedName>
    <definedName name="TIPO">#REF!</definedName>
    <definedName name="Titulos">#REF!</definedName>
    <definedName name="_xlnm.Print_Titles">#REF!</definedName>
    <definedName name="Títulos_impressão_IM" localSheetId="0">#REF!,#REF!</definedName>
    <definedName name="Títulos_impressão_IM">#REF!,#REF!</definedName>
    <definedName name="TLG" localSheetId="0">#REF!</definedName>
    <definedName name="TLG">#REF!</definedName>
    <definedName name="TODOS" localSheetId="0">#REF!</definedName>
    <definedName name="TODOS">#REF!</definedName>
    <definedName name="TOT" localSheetId="0">#REF!</definedName>
    <definedName name="TOT">#REF!</definedName>
    <definedName name="Total" localSheetId="0">#REF!</definedName>
    <definedName name="Total">#REF!</definedName>
    <definedName name="TOTAL_GERAL" localSheetId="0">#REF!</definedName>
    <definedName name="TOTAL_GERAL">#REF!</definedName>
    <definedName name="TotalAtivoConsAtual">#REF!</definedName>
    <definedName name="TP" localSheetId="0" hidden="1">#REF!</definedName>
    <definedName name="TP" hidden="1">#REF!</definedName>
    <definedName name="TR\" localSheetId="0" hidden="1">{#N/A,#N/A,FALSE,"Aging Summary";#N/A,#N/A,FALSE,"Ratio Analysis";#N/A,#N/A,FALSE,"Test 120 Day Accts";#N/A,#N/A,FALSE,"Tickmarks"}</definedName>
    <definedName name="TR\" hidden="1">{#N/A,#N/A,FALSE,"Aging Summary";#N/A,#N/A,FALSE,"Ratio Analysis";#N/A,#N/A,FALSE,"Test 120 Day Accts";#N/A,#N/A,FALSE,"Tickmarks"}</definedName>
    <definedName name="Training" localSheetId="0">#REF!</definedName>
    <definedName name="Training">#REF!</definedName>
    <definedName name="transf_cdbh">#REF!</definedName>
    <definedName name="transf_cdrj">#REF!</definedName>
    <definedName name="transf_cdsp">#REF!</definedName>
    <definedName name="transf_porto">#REF!</definedName>
    <definedName name="transf_uag">#REF!</definedName>
    <definedName name="TRANSPORTECV" localSheetId="0">#REF!</definedName>
    <definedName name="TRANSPORTECV">#REF!</definedName>
    <definedName name="trer" localSheetId="0">#REF!</definedName>
    <definedName name="trer">#REF!</definedName>
    <definedName name="Tributárias">#REF!</definedName>
    <definedName name="TRIBUTOS" localSheetId="0">#REF!</definedName>
    <definedName name="TRIBUTOS">#REF!</definedName>
    <definedName name="trtrtrt" localSheetId="0">#REF!</definedName>
    <definedName name="trtrtrt">#REF!</definedName>
    <definedName name="tt" localSheetId="0" hidden="1">#REF!</definedName>
    <definedName name="tt" hidden="1">#REF!</definedName>
    <definedName name="tttt" localSheetId="0">#REF!</definedName>
    <definedName name="tttt">#REF!</definedName>
    <definedName name="tttttttt" localSheetId="0">#REF!</definedName>
    <definedName name="tttttttt">#REF!</definedName>
    <definedName name="tu">#REF!</definedName>
    <definedName name="tvasistel" localSheetId="0">#REF!</definedName>
    <definedName name="tvasistel">#REF!</definedName>
    <definedName name="tvasitel" localSheetId="0">#REF!</definedName>
    <definedName name="tvasitel">#REF!</definedName>
    <definedName name="tvasitelanex" localSheetId="0">#REF!</definedName>
    <definedName name="tvasitelanex">#REF!</definedName>
    <definedName name="tvstbca" localSheetId="0">#REF!</definedName>
    <definedName name="tvstbca">#REF!</definedName>
    <definedName name="TX_CDIC" localSheetId="0">#REF!</definedName>
    <definedName name="TX_CDIC">#REF!</definedName>
    <definedName name="ty" localSheetId="0" hidden="1">#REF!</definedName>
    <definedName name="ty" hidden="1">#REF!</definedName>
    <definedName name="TYUJ" localSheetId="0" hidden="1">#REF!</definedName>
    <definedName name="TYUJ" hidden="1">#REF!</definedName>
    <definedName name="u">#REF!</definedName>
    <definedName name="uedwd" localSheetId="0">#REF!</definedName>
    <definedName name="uedwd">#REF!</definedName>
    <definedName name="UFIR" localSheetId="0">#REF!</definedName>
    <definedName name="UFIR">#REF!</definedName>
    <definedName name="UFIR94" localSheetId="0">#REF!</definedName>
    <definedName name="UFIR94">#REF!</definedName>
    <definedName name="uhuihiu">#REF!</definedName>
    <definedName name="Última_Linha" localSheetId="0">IF(LALUR!Valores_Inseridos,Linha_de_Título+LALUR!Número_de_Pagamentos,Linha_de_Título)</definedName>
    <definedName name="Última_Linha">IF([0]!Valores_Inseridos,Linha_de_Título+Número_de_Pagamentos,Linha_de_Título)</definedName>
    <definedName name="UN_D_PI" localSheetId="0">#REF!</definedName>
    <definedName name="UN_D_PI">#REF!</definedName>
    <definedName name="UN_D_PP" localSheetId="0">#REF!</definedName>
    <definedName name="UN_D_PP">#REF!</definedName>
    <definedName name="UN_T_PI" localSheetId="0">#REF!</definedName>
    <definedName name="UN_T_PI">#REF!</definedName>
    <definedName name="UN_T_PP" localSheetId="0">#REF!</definedName>
    <definedName name="UN_T_PP">#REF!</definedName>
    <definedName name="unibanco" localSheetId="0">#REF!</definedName>
    <definedName name="unibanco">#REF!</definedName>
    <definedName name="unitxqtde">#REF!</definedName>
    <definedName name="URTJLP0101" localSheetId="0">#REF!</definedName>
    <definedName name="URTJLP0101">#REF!</definedName>
    <definedName name="URTJLP0102" localSheetId="0">#REF!</definedName>
    <definedName name="URTJLP0102">#REF!</definedName>
    <definedName name="URTJLP0103" localSheetId="0">#REF!</definedName>
    <definedName name="URTJLP0103">#REF!</definedName>
    <definedName name="URTJLP0281" localSheetId="0">#REF!</definedName>
    <definedName name="URTJLP0281">#REF!</definedName>
    <definedName name="URTJLP0282" localSheetId="0">#REF!</definedName>
    <definedName name="URTJLP0282">#REF!</definedName>
    <definedName name="URTJLP0283" localSheetId="0">#REF!</definedName>
    <definedName name="URTJLP0283">#REF!</definedName>
    <definedName name="URTJLP044" localSheetId="0">#REF!</definedName>
    <definedName name="URTJLP044">#REF!</definedName>
    <definedName name="URV" localSheetId="0">#REF!</definedName>
    <definedName name="URV">#REF!</definedName>
    <definedName name="uu" localSheetId="0" hidden="1">#REF!</definedName>
    <definedName name="uu" hidden="1">#REF!</definedName>
    <definedName name="V" localSheetId="0" hidden="1">{#N/A,#N/A,FALSE,"Aging Summary";#N/A,#N/A,FALSE,"Ratio Analysis";#N/A,#N/A,FALSE,"Test 120 Day Accts";#N/A,#N/A,FALSE,"Tickmarks"}</definedName>
    <definedName name="V" hidden="1">{#N/A,#N/A,FALSE,"Aging Summary";#N/A,#N/A,FALSE,"Ratio Analysis";#N/A,#N/A,FALSE,"Test 120 Day Accts";#N/A,#N/A,FALSE,"Tickmarks"}</definedName>
    <definedName name="valor">#REF!</definedName>
    <definedName name="Valor_do_Empréstimo">#REF!</definedName>
    <definedName name="Valores_Inseridos" localSheetId="0">IF(Valor_do_Empréstimo*Taxa_de_Juros*Anos_do_Empréstimo*Início_do_Empréstimo&gt;0,1,0)</definedName>
    <definedName name="Valores_Inseridos">IF(Valor_do_Empréstimo*Taxa_de_Juros*Anos_do_Empréstimo*Início_do_Empréstimo&gt;0,1,0)</definedName>
    <definedName name="valorpago" localSheetId="0">#REF!</definedName>
    <definedName name="valorpago">#REF!</definedName>
    <definedName name="values" localSheetId="0">#REF!,#REF!,#REF!</definedName>
    <definedName name="values">#REF!,#REF!,#REF!</definedName>
    <definedName name="VAPOR">#N/A</definedName>
    <definedName name="Variação">#REF!,#REF!</definedName>
    <definedName name="VENC" localSheetId="0">#REF!</definedName>
    <definedName name="VENC">#REF!</definedName>
    <definedName name="vendas">#REF!</definedName>
    <definedName name="VERLUCRO" localSheetId="0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ERLUCRO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vfg">#REF!,#REF!</definedName>
    <definedName name="VGT" localSheetId="0" hidden="1">{#N/A,#N/A,FALSE,"Aging Summary";#N/A,#N/A,FALSE,"Ratio Analysis";#N/A,#N/A,FALSE,"Test 120 Day Accts";#N/A,#N/A,FALSE,"Tickmarks"}</definedName>
    <definedName name="VGT" hidden="1">{#N/A,#N/A,FALSE,"Aging Summary";#N/A,#N/A,FALSE,"Ratio Analysis";#N/A,#N/A,FALSE,"Test 120 Day Accts";#N/A,#N/A,FALSE,"Tickmarks"}</definedName>
    <definedName name="VICA" localSheetId="0">#REF!</definedName>
    <definedName name="VICA">#REF!</definedName>
    <definedName name="vital5">#REF!</definedName>
    <definedName name="VLR_CTB">#REF!</definedName>
    <definedName name="VLRBALRJ">#REF!</definedName>
    <definedName name="VLRBALSP">#REF!</definedName>
    <definedName name="VlrD" localSheetId="0">#REF!</definedName>
    <definedName name="VlrD">#REF!</definedName>
    <definedName name="vol_celular" localSheetId="0">#REF!</definedName>
    <definedName name="vol_celular">#REF!</definedName>
    <definedName name="VOLT_MENU" localSheetId="0">#REF!</definedName>
    <definedName name="VOLT_MENU">#REF!</definedName>
    <definedName name="volumes" localSheetId="0">#REF!</definedName>
    <definedName name="volumes">#REF!</definedName>
    <definedName name="VR.RESGATE" localSheetId="0">#REF!</definedName>
    <definedName name="VR.RESGATE">#REF!</definedName>
    <definedName name="vv" localSheetId="0">#REF!</definedName>
    <definedName name="vv">#REF!</definedName>
    <definedName name="vvv">#REF!</definedName>
    <definedName name="w">#REF!</definedName>
    <definedName name="wedwe" localSheetId="0">#REF!</definedName>
    <definedName name="wedwe">#REF!</definedName>
    <definedName name="WEHAERHTUY7J" localSheetId="0" hidden="1">#REF!</definedName>
    <definedName name="WEHAERHTUY7J" hidden="1">#REF!</definedName>
    <definedName name="WER" localSheetId="0">#REF!</definedName>
    <definedName name="WER">#REF!</definedName>
    <definedName name="WOCHF" localSheetId="0">#REF!</definedName>
    <definedName name="WOCHF">#REF!</definedName>
    <definedName name="WOCPC" localSheetId="0">#REF!</definedName>
    <definedName name="WOCPC">#REF!</definedName>
    <definedName name="WOINV" localSheetId="0">#REF!</definedName>
    <definedName name="WOINV">#REF!</definedName>
    <definedName name="WoodFiber" localSheetId="0">#REF!</definedName>
    <definedName name="WoodFiber">#REF!</definedName>
    <definedName name="WORPD" localSheetId="0">#REF!</definedName>
    <definedName name="WORPD">#REF!</definedName>
    <definedName name="WORVD" localSheetId="0">#REF!</definedName>
    <definedName name="WORVD">#REF!</definedName>
    <definedName name="WOTLG" localSheetId="0">#REF!</definedName>
    <definedName name="WOTLG">#REF!</definedName>
    <definedName name="wrn.Aging._.and._.Trend._.Analysis." localSheetId="0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BALANCETE." localSheetId="0" hidden="1">{#N/A,#N/A,FALSE,"BALANCE"}</definedName>
    <definedName name="wrn.BALANCETE." hidden="1">{#N/A,#N/A,FALSE,"BALANCE"}</definedName>
    <definedName name="wrn.DADOS." localSheetId="0" hidden="1">{#N/A,#N/A,FALSE,"DADOS"}</definedName>
    <definedName name="wrn.DADOS." hidden="1">{#N/A,#N/A,FALSE,"DADOS"}</definedName>
    <definedName name="wrn.DESPESAS." localSheetId="0" hidden="1">{#N/A,#N/A,FALSE,"DESPDPT"}</definedName>
    <definedName name="wrn.DESPESAS." hidden="1">{#N/A,#N/A,FALSE,"DESPDPT"}</definedName>
    <definedName name="wrn.DOAR." localSheetId="0" hidden="1">{#N/A,#N/A,FALSE,"DOAR"}</definedName>
    <definedName name="wrn.DOAR." hidden="1">{#N/A,#N/A,FALSE,"DOAR"}</definedName>
    <definedName name="wrn.ESTOQUE." localSheetId="0" hidden="1">{#N/A,#N/A,FALSE,"MATMES"}</definedName>
    <definedName name="wrn.ESTOQUE." hidden="1">{#N/A,#N/A,FALSE,"MATMES"}</definedName>
    <definedName name="wrn.INDICADORES." localSheetId="0" hidden="1">{"PARTE1",#N/A,FALSE,"Plan1"}</definedName>
    <definedName name="wrn.INDICADORES." hidden="1">{"PARTE1",#N/A,FALSE,"Plan1"}</definedName>
    <definedName name="wrn.MUTAÇÕES." localSheetId="0" hidden="1">{#N/A,#N/A,FALSE,"MUTACOES"}</definedName>
    <definedName name="wrn.MUTAÇÕES." hidden="1">{#N/A,#N/A,FALSE,"MUTACOES"}</definedName>
    <definedName name="wrn.PROVIR97." localSheetId="0" hidden="1">{#N/A,#N/A,FALSE,"IR E CS 1997";#N/A,#N/A,FALSE,"PR ND";#N/A,#N/A,FALSE,"8191";#N/A,#N/A,FALSE,"8383";#N/A,#N/A,FALSE,"MP 1024";#N/A,#N/A,FALSE,"AD_EX_97";#N/A,#N/A,FALSE,"BD 97"}</definedName>
    <definedName name="wrn.PROVIR97." hidden="1">{#N/A,#N/A,FALSE,"IR E CS 1997";#N/A,#N/A,FALSE,"PR ND";#N/A,#N/A,FALSE,"8191";#N/A,#N/A,FALSE,"8383";#N/A,#N/A,FALSE,"MP 1024";#N/A,#N/A,FALSE,"AD_EX_97";#N/A,#N/A,FALSE,"BD 97"}</definedName>
    <definedName name="wrn.RECONCILIAÇÃO." localSheetId="0" hidden="1">{#N/A,#N/A,FALSE,"RECON"}</definedName>
    <definedName name="wrn.RECONCILIAÇÃO." hidden="1">{#N/A,#N/A,FALSE,"RECON"}</definedName>
    <definedName name="wrn.REL_IR_97." localSheetId="0" hidden="1">{#N/A,#N/A,TRUE,"BD 97";#N/A,#N/A,TRUE,"IR E CS 1997";#N/A,#N/A,TRUE,"CONTINGÊNCIAS";#N/A,#N/A,TRUE,"AD_EX_97";#N/A,#N/A,TRUE,"PR ND";#N/A,#N/A,TRUE,"8191";#N/A,#N/A,TRUE,"8383";#N/A,#N/A,TRUE,"MP 1024"}</definedName>
    <definedName name="wrn.REL_IR_97." hidden="1">{#N/A,#N/A,TRUE,"BD 97";#N/A,#N/A,TRUE,"IR E CS 1997";#N/A,#N/A,TRUE,"CONTINGÊNCIAS";#N/A,#N/A,TRUE,"AD_EX_97";#N/A,#N/A,TRUE,"PR ND";#N/A,#N/A,TRUE,"8191";#N/A,#N/A,TRUE,"8383";#N/A,#N/A,TRUE,"MP 1024"}</definedName>
    <definedName name="wrn.RESULTADO." localSheetId="0" hidden="1">{#N/A,#N/A,FALSE,"RESULT"}</definedName>
    <definedName name="wrn.RESULTADO." hidden="1">{#N/A,#N/A,FALSE,"RESULT"}</definedName>
    <definedName name="wsd" localSheetId="0">#REF!</definedName>
    <definedName name="wsd">#REF!</definedName>
    <definedName name="wvu.ACC." localSheetId="0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CC." hidden="1">{TRUE,TRUE,-1.25,-15.5,484.5,278.25,FALSE,FALSE,TRUE,FALSE,0,1,#N/A,452,#N/A,5.92592592592593,22.5714285714286,1,FALSE,FALSE,3,TRUE,1,FALSE,100,"Swvu.ACC.","ACwvu.ACC.",#N/A,FALSE,FALSE,0,0,0,0,2,"","",FALSE,FALSE,FALSE,FALSE,1,90,#N/A,#N/A,"=R1C1:R650C11",FALSE,#N/A,#N/A,FALSE,FALSE,FALSE,1,65532,65532,FALSE,FALSE,TRUE,TRUE,TRUE}</definedName>
    <definedName name="wvu.AFAC." localSheetId="0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AFAC." hidden="1">{TRUE,TRUE,-1.25,-15.5,484.5,278.25,FALSE,FALSE,TRUE,FALSE,0,1,#N/A,551,#N/A,5.92592592592593,22.5714285714286,1,FALSE,FALSE,3,TRUE,1,FALSE,100,"Swvu.AFAC.","ACwvu.AFAC.",#N/A,FALSE,FALSE,0,0,0,0,2,"","",FALSE,FALSE,FALSE,FALSE,1,90,#N/A,#N/A,"=R1C1:R650C11",FALSE,#N/A,#N/A,FALSE,FALSE,FALSE,1,65532,65532,FALSE,FALSE,TRUE,TRUE,TRUE}</definedName>
    <definedName name="wvu.ELIMLUCRO." localSheetId="0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LIMLUCRO." hidden="1">{TRUE,TRUE,-1.25,-15.5,484.5,278.25,FALSE,FALSE,TRUE,FALSE,0,3,#N/A,574,#N/A,6.75,22.5714285714286,1,FALSE,FALSE,3,TRUE,1,FALSE,100,"Swvu.ELIMLUCRO.","ACwvu.ELIMLUCRO.",#N/A,FALSE,FALSE,0,0,0,0,2,"","",FALSE,FALSE,FALSE,FALSE,1,90,#N/A,#N/A,"=R1C1:R650C11",FALSE,#N/A,#N/A,FALSE,FALSE,FALSE,1,65532,65532,FALSE,FALSE,TRUE,TRUE,TRUE}</definedName>
    <definedName name="wvu.ESTOQUES." localSheetId="0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ESTOQUES." hidden="1">{TRUE,TRUE,-1.25,-15.5,484.5,278.25,FALSE,FALSE,TRUE,FALSE,0,1,#N/A,183,#N/A,5.92592592592593,22.5714285714286,1,FALSE,FALSE,3,TRUE,1,FALSE,100,"Swvu.ESTOQUES.","ACwvu.ESTOQUES.",#N/A,FALSE,FALSE,0,0,0,0,2,"","",FALSE,FALSE,FALSE,FALSE,1,90,#N/A,#N/A,"=R1C1:R650C11",FALSE,#N/A,#N/A,FALSE,FALSE,FALSE,1,65532,65532,FALSE,FALSE,TRUE,TRUE,TRUE}</definedName>
    <definedName name="wvu.Fabio." localSheetId="0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Fabio." hidden="1">{TRUE,TRUE,-1.25,-15.5,484.5,276.75,FALSE,FALSE,TRUE,TRUE,0,2,3,6,469,1,1,4,TRUE,TRUE,3,TRUE,1,TRUE,100,"Swvu.Fabio.","ACwvu.Fabio.",#N/A,FALSE,FALSE,0,0,0.393700787401575,0.393700787401575,2,"","&amp;C&amp;""Times New Roman,Bold Italic""&amp;P",TRUE,FALSE,FALSE,FALSE,1,67,#N/A,#N/A,"=R1C2:R497C25","=R1:R7",#N/A,#N/A,FALSE,FALSE,FALSE,1,65532,65532,FALSE,FALSE,TRUE,TRUE,TRUE}</definedName>
    <definedName name="wvu.LPERDAS." localSheetId="0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LPERDAS." hidden="1">{TRUE,TRUE,-1.25,-15.5,484.5,278.25,FALSE,FALSE,TRUE,FALSE,0,5,#N/A,63,#N/A,7.47457627118644,22.5714285714286,1,FALSE,FALSE,3,TRUE,1,FALSE,100,"Swvu.LPERDAS.","ACwvu.LPERDAS.",#N/A,FALSE,FALSE,0,0,0,0,2,"","",FALSE,FALSE,FALSE,FALSE,1,90,#N/A,#N/A,"=R1C1:R650C11",FALSE,#N/A,#N/A,FALSE,FALSE,FALSE,1,65532,65532,FALSE,FALSE,TRUE,TRUE,TRUE}</definedName>
    <definedName name="wvu.RES432." localSheetId="0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RES432." hidden="1">{TRUE,TRUE,-1.25,-15.5,484.5,278.25,FALSE,FALSE,TRUE,FALSE,0,5,#N/A,593,#N/A,7.47457627118644,22.5714285714286,1,FALSE,FALSE,3,TRUE,1,FALSE,100,"Swvu.RES432.","ACwvu.RES432.",#N/A,FALSE,FALSE,0,0,0,0,2,"","",FALSE,FALSE,FALSE,FALSE,1,90,#N/A,#N/A,"=R1C1:R650C11",FALSE,#N/A,#N/A,FALSE,FALSE,FALSE,1,65532,65532,FALSE,FALSE,TRUE,TRUE,TRUE}</definedName>
    <definedName name="wvu.VERLUCRO." localSheetId="0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vu.VERLUCRO." hidden="1">{FALSE,FALSE,-1.25,-15.5,484.5,278.25,FALSE,FALSE,TRUE,FALSE,0,1,#N/A,1106,#N/A,12.4059405940594,23.2666666666667,1,FALSE,FALSE,3,TRUE,1,FALSE,100,"Swvu.VERLUCRO.","ACwvu.VERLUCRO.",#N/A,FALSE,FALSE,0,0,0,0,1,"","",TRUE,FALSE,FALSE,FALSE,1,95,#N/A,#N/A,FALSE,FALSE,FALSE,FALSE,FALSE,FALSE,FALSE,1,65532,65532,FALSE,FALSE,TRUE,TRUE,TRUE}</definedName>
    <definedName name="ww" localSheetId="0" hidden="1">#REF!</definedName>
    <definedName name="ww" hidden="1">#REF!</definedName>
    <definedName name="x">#REF!</definedName>
    <definedName name="xdc" localSheetId="0">#REF!</definedName>
    <definedName name="xdc">#REF!</definedName>
    <definedName name="Xref" localSheetId="0" hidden="1">#REF!</definedName>
    <definedName name="Xref" hidden="1">#REF!</definedName>
    <definedName name="XREF_COLUMN_1" localSheetId="0" hidden="1">#REF!</definedName>
    <definedName name="XREF_COLUMN_1" hidden="1">#REF!</definedName>
    <definedName name="XREF_COLUMN_10" localSheetId="0" hidden="1">#REF!</definedName>
    <definedName name="XREF_COLUMN_10" hidden="1">#REF!</definedName>
    <definedName name="XREF_COLUMN_11" localSheetId="0" hidden="1">#REF!</definedName>
    <definedName name="XREF_COLUMN_11" hidden="1">#REF!</definedName>
    <definedName name="XREF_COLUMN_12" localSheetId="0" hidden="1">#REF!</definedName>
    <definedName name="XREF_COLUMN_12" hidden="1">#REF!</definedName>
    <definedName name="XREF_COLUMN_13" localSheetId="0" hidden="1">#REF!</definedName>
    <definedName name="XREF_COLUMN_13" hidden="1">#REF!</definedName>
    <definedName name="XREF_COLUMN_14" localSheetId="0" hidden="1">#REF!</definedName>
    <definedName name="XREF_COLUMN_14" hidden="1">#REF!</definedName>
    <definedName name="XREF_COLUMN_15" localSheetId="0" hidden="1">#REF!</definedName>
    <definedName name="XREF_COLUMN_15" hidden="1">#REF!</definedName>
    <definedName name="XREF_COLUMN_16" localSheetId="0" hidden="1">#REF!</definedName>
    <definedName name="XREF_COLUMN_16" hidden="1">#REF!</definedName>
    <definedName name="XREF_COLUMN_17" localSheetId="0" hidden="1">#REF!</definedName>
    <definedName name="XREF_COLUMN_17" hidden="1">#REF!</definedName>
    <definedName name="XREF_COLUMN_18" localSheetId="0" hidden="1">#REF!</definedName>
    <definedName name="XREF_COLUMN_18" hidden="1">#REF!</definedName>
    <definedName name="XREF_COLUMN_19" localSheetId="0" hidden="1">#REF!</definedName>
    <definedName name="XREF_COLUMN_19" hidden="1">#REF!</definedName>
    <definedName name="XREF_COLUMN_2" localSheetId="0" hidden="1">#REF!</definedName>
    <definedName name="XREF_COLUMN_2" hidden="1">#REF!</definedName>
    <definedName name="XREF_COLUMN_21" localSheetId="0" hidden="1">#REF!</definedName>
    <definedName name="XREF_COLUMN_21" hidden="1">#REF!</definedName>
    <definedName name="XREF_COLUMN_22" localSheetId="0" hidden="1">#REF!</definedName>
    <definedName name="XREF_COLUMN_22" hidden="1">#REF!</definedName>
    <definedName name="XREF_COLUMN_23" localSheetId="0" hidden="1">#REF!</definedName>
    <definedName name="XREF_COLUMN_23" hidden="1">#REF!</definedName>
    <definedName name="XREF_COLUMN_24" localSheetId="0" hidden="1">#REF!</definedName>
    <definedName name="XREF_COLUMN_24" hidden="1">#REF!</definedName>
    <definedName name="XREF_COLUMN_25" localSheetId="0" hidden="1">#REF!</definedName>
    <definedName name="XREF_COLUMN_25" hidden="1">#REF!</definedName>
    <definedName name="XREF_COLUMN_26" localSheetId="0" hidden="1">#REF!</definedName>
    <definedName name="XREF_COLUMN_26" hidden="1">#REF!</definedName>
    <definedName name="XREF_COLUMN_27" localSheetId="0" hidden="1">#REF!</definedName>
    <definedName name="XREF_COLUMN_27" hidden="1">#REF!</definedName>
    <definedName name="XREF_COLUMN_28" localSheetId="0" hidden="1">#REF!</definedName>
    <definedName name="XREF_COLUMN_28" hidden="1">#REF!</definedName>
    <definedName name="XREF_COLUMN_29" localSheetId="0" hidden="1">#REF!</definedName>
    <definedName name="XREF_COLUMN_29" hidden="1">#REF!</definedName>
    <definedName name="XREF_COLUMN_3" localSheetId="0" hidden="1">#REF!</definedName>
    <definedName name="XREF_COLUMN_3" hidden="1">#REF!</definedName>
    <definedName name="XREF_COLUMN_30" localSheetId="0" hidden="1">#REF!</definedName>
    <definedName name="XREF_COLUMN_30" hidden="1">#REF!</definedName>
    <definedName name="XREF_COLUMN_31" localSheetId="0" hidden="1">#REF!</definedName>
    <definedName name="XREF_COLUMN_31" hidden="1">#REF!</definedName>
    <definedName name="XREF_COLUMN_32" localSheetId="0" hidden="1">#REF!</definedName>
    <definedName name="XREF_COLUMN_32" hidden="1">#REF!</definedName>
    <definedName name="XREF_COLUMN_33" localSheetId="0" hidden="1">#REF!</definedName>
    <definedName name="XREF_COLUMN_33" hidden="1">#REF!</definedName>
    <definedName name="XREF_COLUMN_34" localSheetId="0" hidden="1">#REF!</definedName>
    <definedName name="XREF_COLUMN_34" hidden="1">#REF!</definedName>
    <definedName name="XREF_COLUMN_35" localSheetId="0" hidden="1">#REF!</definedName>
    <definedName name="XREF_COLUMN_35" hidden="1">#REF!</definedName>
    <definedName name="XREF_COLUMN_36" localSheetId="0" hidden="1">#REF!</definedName>
    <definedName name="XREF_COLUMN_36" hidden="1">#REF!</definedName>
    <definedName name="XREF_COLUMN_37" localSheetId="0" hidden="1">#REF!</definedName>
    <definedName name="XREF_COLUMN_37" hidden="1">#REF!</definedName>
    <definedName name="XREF_COLUMN_38" localSheetId="0" hidden="1">#REF!</definedName>
    <definedName name="XREF_COLUMN_38" hidden="1">#REF!</definedName>
    <definedName name="XREF_COLUMN_39" localSheetId="0" hidden="1">#REF!</definedName>
    <definedName name="XREF_COLUMN_39" hidden="1">#REF!</definedName>
    <definedName name="XREF_COLUMN_4" localSheetId="0" hidden="1">#REF!</definedName>
    <definedName name="XREF_COLUMN_4" hidden="1">#REF!</definedName>
    <definedName name="XREF_COLUMN_40" localSheetId="0" hidden="1">#REF!</definedName>
    <definedName name="XREF_COLUMN_40" hidden="1">#REF!</definedName>
    <definedName name="XREF_COLUMN_41" localSheetId="0" hidden="1">#REF!</definedName>
    <definedName name="XREF_COLUMN_41" hidden="1">#REF!</definedName>
    <definedName name="XREF_COLUMN_42" localSheetId="0" hidden="1">#REF!</definedName>
    <definedName name="XREF_COLUMN_42" hidden="1">#REF!</definedName>
    <definedName name="XREF_COLUMN_43" localSheetId="0" hidden="1">#REF!</definedName>
    <definedName name="XREF_COLUMN_43" hidden="1">#REF!</definedName>
    <definedName name="XREF_COLUMN_44" localSheetId="0" hidden="1">#REF!</definedName>
    <definedName name="XREF_COLUMN_44" hidden="1">#REF!</definedName>
    <definedName name="XREF_COLUMN_45" localSheetId="0" hidden="1">#REF!</definedName>
    <definedName name="XREF_COLUMN_45" hidden="1">#REF!</definedName>
    <definedName name="XREF_COLUMN_5" localSheetId="0" hidden="1">#REF!</definedName>
    <definedName name="XREF_COLUMN_5" hidden="1">#REF!</definedName>
    <definedName name="XREF_COLUMN_6" localSheetId="0" hidden="1">#REF!</definedName>
    <definedName name="XREF_COLUMN_6" hidden="1">#REF!</definedName>
    <definedName name="XREF_COLUMN_7" localSheetId="0" hidden="1">#REF!</definedName>
    <definedName name="XREF_COLUMN_7" hidden="1">#REF!</definedName>
    <definedName name="XREF_COLUMN_8" localSheetId="0" hidden="1">#REF!</definedName>
    <definedName name="XREF_COLUMN_8" hidden="1">#REF!</definedName>
    <definedName name="XREF_COLUMN_9" localSheetId="0" hidden="1">#REF!</definedName>
    <definedName name="XREF_COLUMN_9" hidden="1">#REF!</definedName>
    <definedName name="Xref1" localSheetId="0" hidden="1">#REF!</definedName>
    <definedName name="Xref1" hidden="1">#REF!</definedName>
    <definedName name="XRefColumnsCount" hidden="1">5</definedName>
    <definedName name="XRefCopy1" localSheetId="0" hidden="1">#REF!</definedName>
    <definedName name="XRefCopy1" hidden="1">#REF!</definedName>
    <definedName name="XRefCopy10" localSheetId="0" hidden="1">#REF!</definedName>
    <definedName name="XRefCopy10" hidden="1">#REF!</definedName>
    <definedName name="XRefCopy100" localSheetId="0" hidden="1">#REF!</definedName>
    <definedName name="XRefCopy100" hidden="1">#REF!</definedName>
    <definedName name="XRefCopy100Row" localSheetId="0" hidden="1">#REF!</definedName>
    <definedName name="XRefCopy100Row" hidden="1">#REF!</definedName>
    <definedName name="XRefCopy104Row" localSheetId="0" hidden="1">#REF!</definedName>
    <definedName name="XRefCopy104Row" hidden="1">#REF!</definedName>
    <definedName name="XRefCopy105Row" localSheetId="0" hidden="1">#REF!</definedName>
    <definedName name="XRefCopy105Row" hidden="1">#REF!</definedName>
    <definedName name="XRefCopy107Row" localSheetId="0" hidden="1">#REF!</definedName>
    <definedName name="XRefCopy107Row" hidden="1">#REF!</definedName>
    <definedName name="XRefCopy108Row" localSheetId="0" hidden="1">#REF!</definedName>
    <definedName name="XRefCopy108Row" hidden="1">#REF!</definedName>
    <definedName name="XRefCopy10Row" localSheetId="0" hidden="1">#REF!</definedName>
    <definedName name="XRefCopy10Row" hidden="1">#REF!</definedName>
    <definedName name="XRefCopy11" localSheetId="0" hidden="1">#REF!</definedName>
    <definedName name="XRefCopy11" hidden="1">#REF!</definedName>
    <definedName name="XRefCopy114" localSheetId="0" hidden="1">#REF!</definedName>
    <definedName name="XRefCopy114" hidden="1">#REF!</definedName>
    <definedName name="XRefCopy114Row" localSheetId="0" hidden="1">#REF!</definedName>
    <definedName name="XRefCopy114Row" hidden="1">#REF!</definedName>
    <definedName name="XRefCopy12" localSheetId="0" hidden="1">#REF!</definedName>
    <definedName name="XRefCopy12" hidden="1">#REF!</definedName>
    <definedName name="XRefCopy12Row" localSheetId="0" hidden="1">#REF!</definedName>
    <definedName name="XRefCopy12Row" hidden="1">#REF!</definedName>
    <definedName name="XRefCopy13" localSheetId="0" hidden="1">#REF!</definedName>
    <definedName name="XRefCopy13" hidden="1">#REF!</definedName>
    <definedName name="XRefCopy13Row" localSheetId="0" hidden="1">#REF!</definedName>
    <definedName name="XRefCopy13Row" hidden="1">#REF!</definedName>
    <definedName name="XRefCopy14" localSheetId="0" hidden="1">#REF!</definedName>
    <definedName name="XRefCopy14" hidden="1">#REF!</definedName>
    <definedName name="XRefCopy14Row" localSheetId="0" hidden="1">#REF!</definedName>
    <definedName name="XRefCopy14Row" hidden="1">#REF!</definedName>
    <definedName name="XRefCopy15" localSheetId="0" hidden="1">#REF!</definedName>
    <definedName name="XRefCopy15" hidden="1">#REF!</definedName>
    <definedName name="XRefCopy15Row" localSheetId="0" hidden="1">#REF!</definedName>
    <definedName name="XRefCopy15Row" hidden="1">#REF!</definedName>
    <definedName name="XRefCopy16" localSheetId="0" hidden="1">#REF!</definedName>
    <definedName name="XRefCopy16" hidden="1">#REF!</definedName>
    <definedName name="XRefCopy16Row" localSheetId="0" hidden="1">#REF!</definedName>
    <definedName name="XRefCopy16Row" hidden="1">#REF!</definedName>
    <definedName name="XRefCopy17" localSheetId="0" hidden="1">#REF!</definedName>
    <definedName name="XRefCopy17" hidden="1">#REF!</definedName>
    <definedName name="XRefCopy17Row" localSheetId="0" hidden="1">#REF!</definedName>
    <definedName name="XRefCopy17Row" hidden="1">#REF!</definedName>
    <definedName name="XRefCopy18" localSheetId="0" hidden="1">#REF!</definedName>
    <definedName name="XRefCopy18" hidden="1">#REF!</definedName>
    <definedName name="XRefCopy18Row" localSheetId="0" hidden="1">#REF!</definedName>
    <definedName name="XRefCopy18Row" hidden="1">#REF!</definedName>
    <definedName name="XRefCopy19" localSheetId="0" hidden="1">#REF!</definedName>
    <definedName name="XRefCopy19" hidden="1">#REF!</definedName>
    <definedName name="XRefCopy19Row" localSheetId="0" hidden="1">#REF!</definedName>
    <definedName name="XRefCopy19Row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0" localSheetId="0" hidden="1">#REF!</definedName>
    <definedName name="XRefCopy20" hidden="1">#REF!</definedName>
    <definedName name="XRefCopy20Row" localSheetId="0" hidden="1">#REF!</definedName>
    <definedName name="XRefCopy20Row" hidden="1">#REF!</definedName>
    <definedName name="XRefCopy21" localSheetId="0" hidden="1">#REF!</definedName>
    <definedName name="XRefCopy21" hidden="1">#REF!</definedName>
    <definedName name="XRefCopy21Row" localSheetId="0" hidden="1">#REF!</definedName>
    <definedName name="XRefCopy21Row" hidden="1">#REF!</definedName>
    <definedName name="XRefCopy22" localSheetId="0" hidden="1">#REF!</definedName>
    <definedName name="XRefCopy22" hidden="1">#REF!</definedName>
    <definedName name="XRefCopy22Row" localSheetId="0" hidden="1">#REF!</definedName>
    <definedName name="XRefCopy22Row" hidden="1">#REF!</definedName>
    <definedName name="XRefCopy23" localSheetId="0" hidden="1">#REF!</definedName>
    <definedName name="XRefCopy23" hidden="1">#REF!</definedName>
    <definedName name="XRefCopy23Row" localSheetId="0" hidden="1">#REF!</definedName>
    <definedName name="XRefCopy23Row" hidden="1">#REF!</definedName>
    <definedName name="XRefCopy24" localSheetId="0" hidden="1">#REF!</definedName>
    <definedName name="XRefCopy24" hidden="1">#REF!</definedName>
    <definedName name="XRefCopy24Row" localSheetId="0" hidden="1">#REF!</definedName>
    <definedName name="XRefCopy24Row" hidden="1">#REF!</definedName>
    <definedName name="XRefCopy25" localSheetId="0" hidden="1">#REF!</definedName>
    <definedName name="XRefCopy25" hidden="1">#REF!</definedName>
    <definedName name="XRefCopy25Row" localSheetId="0" hidden="1">#REF!</definedName>
    <definedName name="XRefCopy25Row" hidden="1">#REF!</definedName>
    <definedName name="XRefCopy26" localSheetId="0" hidden="1">#REF!</definedName>
    <definedName name="XRefCopy26" hidden="1">#REF!</definedName>
    <definedName name="XRefCopy26Row" localSheetId="0" hidden="1">#REF!</definedName>
    <definedName name="XRefCopy26Row" hidden="1">#REF!</definedName>
    <definedName name="XRefCopy27" localSheetId="0" hidden="1">#REF!</definedName>
    <definedName name="XRefCopy27" hidden="1">#REF!</definedName>
    <definedName name="XRefCopy27Row" localSheetId="0" hidden="1">#REF!</definedName>
    <definedName name="XRefCopy27Row" hidden="1">#REF!</definedName>
    <definedName name="XRefCopy28" localSheetId="0" hidden="1">#REF!</definedName>
    <definedName name="XRefCopy28" hidden="1">#REF!</definedName>
    <definedName name="XRefCopy29" localSheetId="0" hidden="1">#REF!</definedName>
    <definedName name="XRefCopy29" hidden="1">#REF!</definedName>
    <definedName name="XRefCopy29Row" localSheetId="0" hidden="1">#REF!</definedName>
    <definedName name="XRefCopy29Row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0" localSheetId="0" hidden="1">#REF!</definedName>
    <definedName name="XRefCopy30" hidden="1">#REF!</definedName>
    <definedName name="XRefCopy30Row" localSheetId="0" hidden="1">#REF!</definedName>
    <definedName name="XRefCopy30Row" hidden="1">#REF!</definedName>
    <definedName name="XRefCopy31" localSheetId="0" hidden="1">#REF!</definedName>
    <definedName name="XRefCopy31" hidden="1">#REF!</definedName>
    <definedName name="XRefCopy31Row" localSheetId="0" hidden="1">#REF!</definedName>
    <definedName name="XRefCopy31Row" hidden="1">#REF!</definedName>
    <definedName name="XRefCopy32" localSheetId="0" hidden="1">#REF!</definedName>
    <definedName name="XRefCopy32" hidden="1">#REF!</definedName>
    <definedName name="XRefCopy32Row" localSheetId="0" hidden="1">#REF!</definedName>
    <definedName name="XRefCopy32Row" hidden="1">#REF!</definedName>
    <definedName name="XRefCopy33" localSheetId="0" hidden="1">#REF!</definedName>
    <definedName name="XRefCopy33" hidden="1">#REF!</definedName>
    <definedName name="XRefCopy33Row" localSheetId="0" hidden="1">#REF!</definedName>
    <definedName name="XRefCopy33Row" hidden="1">#REF!</definedName>
    <definedName name="XRefCopy34" localSheetId="0" hidden="1">#REF!</definedName>
    <definedName name="XRefCopy34" hidden="1">#REF!</definedName>
    <definedName name="XRefCopy34Row" localSheetId="0" hidden="1">#REF!</definedName>
    <definedName name="XRefCopy34Row" hidden="1">#REF!</definedName>
    <definedName name="XRefCopy35" localSheetId="0" hidden="1">#REF!</definedName>
    <definedName name="XRefCopy35" hidden="1">#REF!</definedName>
    <definedName name="XRefCopy35Row" localSheetId="0" hidden="1">#REF!</definedName>
    <definedName name="XRefCopy35Row" hidden="1">#REF!</definedName>
    <definedName name="XRefCopy36" localSheetId="0" hidden="1">#REF!</definedName>
    <definedName name="XRefCopy36" hidden="1">#REF!</definedName>
    <definedName name="XRefCopy36Row" localSheetId="0" hidden="1">#REF!</definedName>
    <definedName name="XRefCopy36Row" hidden="1">#REF!</definedName>
    <definedName name="XRefCopy37" localSheetId="0" hidden="1">#REF!</definedName>
    <definedName name="XRefCopy37" hidden="1">#REF!</definedName>
    <definedName name="XRefCopy37Row" localSheetId="0" hidden="1">#REF!</definedName>
    <definedName name="XRefCopy37Row" hidden="1">#REF!</definedName>
    <definedName name="XRefCopy38" localSheetId="0" hidden="1">#REF!</definedName>
    <definedName name="XRefCopy38" hidden="1">#REF!</definedName>
    <definedName name="XRefCopy38Row" localSheetId="0" hidden="1">#REF!</definedName>
    <definedName name="XRefCopy38Row" hidden="1">#REF!</definedName>
    <definedName name="XRefCopy39" localSheetId="0" hidden="1">#REF!</definedName>
    <definedName name="XRefCopy39" hidden="1">#REF!</definedName>
    <definedName name="XRefCopy39Row" localSheetId="0" hidden="1">#REF!</definedName>
    <definedName name="XRefCopy39Row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0" localSheetId="0" hidden="1">#REF!</definedName>
    <definedName name="XRefCopy40" hidden="1">#REF!</definedName>
    <definedName name="XRefCopy40Row" localSheetId="0" hidden="1">#REF!</definedName>
    <definedName name="XRefCopy40Row" hidden="1">#REF!</definedName>
    <definedName name="XRefCopy41" localSheetId="0" hidden="1">#REF!</definedName>
    <definedName name="XRefCopy41" hidden="1">#REF!</definedName>
    <definedName name="XRefCopy41Row" localSheetId="0" hidden="1">#REF!</definedName>
    <definedName name="XRefCopy41Row" hidden="1">#REF!</definedName>
    <definedName name="XRefCopy42" localSheetId="0" hidden="1">#REF!</definedName>
    <definedName name="XRefCopy42" hidden="1">#REF!</definedName>
    <definedName name="XRefCopy42Row" localSheetId="0" hidden="1">#REF!</definedName>
    <definedName name="XRefCopy42Row" hidden="1">#REF!</definedName>
    <definedName name="XRefCopy43" localSheetId="0" hidden="1">#REF!</definedName>
    <definedName name="XRefCopy43" hidden="1">#REF!</definedName>
    <definedName name="XRefCopy43Row" localSheetId="0" hidden="1">#REF!</definedName>
    <definedName name="XRefCopy43Row" hidden="1">#REF!</definedName>
    <definedName name="XRefCopy44" localSheetId="0" hidden="1">#REF!</definedName>
    <definedName name="XRefCopy44" hidden="1">#REF!</definedName>
    <definedName name="XRefCopy44Row" localSheetId="0" hidden="1">#REF!</definedName>
    <definedName name="XRefCopy44Row" hidden="1">#REF!</definedName>
    <definedName name="XRefCopy45" localSheetId="0" hidden="1">#REF!</definedName>
    <definedName name="XRefCopy45" hidden="1">#REF!</definedName>
    <definedName name="XRefCopy45Row" localSheetId="0" hidden="1">#REF!</definedName>
    <definedName name="XRefCopy45Row" hidden="1">#REF!</definedName>
    <definedName name="XRefCopy46" localSheetId="0" hidden="1">#REF!</definedName>
    <definedName name="XRefCopy46" hidden="1">#REF!</definedName>
    <definedName name="XRefCopy46Row" localSheetId="0" hidden="1">#REF!</definedName>
    <definedName name="XRefCopy46Row" hidden="1">#REF!</definedName>
    <definedName name="XRefCopy47" localSheetId="0" hidden="1">#REF!</definedName>
    <definedName name="XRefCopy47" hidden="1">#REF!</definedName>
    <definedName name="XRefCopy47Row" localSheetId="0" hidden="1">#REF!</definedName>
    <definedName name="XRefCopy47Row" hidden="1">#REF!</definedName>
    <definedName name="XRefCopy48" localSheetId="0" hidden="1">#REF!</definedName>
    <definedName name="XRefCopy48" hidden="1">#REF!</definedName>
    <definedName name="XRefCopy48Row" localSheetId="0" hidden="1">#REF!</definedName>
    <definedName name="XRefCopy48Row" hidden="1">#REF!</definedName>
    <definedName name="XRefCopy49" localSheetId="0" hidden="1">#REF!</definedName>
    <definedName name="XRefCopy49" hidden="1">#REF!</definedName>
    <definedName name="XRefCopy49Row" localSheetId="0" hidden="1">#REF!</definedName>
    <definedName name="XRefCopy49Row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0" localSheetId="0" hidden="1">#REF!</definedName>
    <definedName name="XRefCopy50" hidden="1">#REF!</definedName>
    <definedName name="XRefCopy51" localSheetId="0" hidden="1">#REF!</definedName>
    <definedName name="XRefCopy51" hidden="1">#REF!</definedName>
    <definedName name="XRefCopy51Row" localSheetId="0" hidden="1">#REF!</definedName>
    <definedName name="XRefCopy51Row" hidden="1">#REF!</definedName>
    <definedName name="XRefCopy52" localSheetId="0" hidden="1">#REF!</definedName>
    <definedName name="XRefCopy52" hidden="1">#REF!</definedName>
    <definedName name="XRefCopy52Row" localSheetId="0" hidden="1">#REF!</definedName>
    <definedName name="XRefCopy52Row" hidden="1">#REF!</definedName>
    <definedName name="XRefCopy53Row" localSheetId="0" hidden="1">#REF!</definedName>
    <definedName name="XRefCopy53Row" hidden="1">#REF!</definedName>
    <definedName name="XRefCopy54" localSheetId="0" hidden="1">#REF!</definedName>
    <definedName name="XRefCopy54" hidden="1">#REF!</definedName>
    <definedName name="XRefCopy54Row" localSheetId="0" hidden="1">#REF!</definedName>
    <definedName name="XRefCopy54Row" hidden="1">#REF!</definedName>
    <definedName name="XRefCopy55" localSheetId="0" hidden="1">#REF!</definedName>
    <definedName name="XRefCopy55" hidden="1">#REF!</definedName>
    <definedName name="XRefCopy55Row" localSheetId="0" hidden="1">#REF!</definedName>
    <definedName name="XRefCopy55Row" hidden="1">#REF!</definedName>
    <definedName name="XRefCopy56" localSheetId="0" hidden="1">#REF!</definedName>
    <definedName name="XRefCopy56" hidden="1">#REF!</definedName>
    <definedName name="XRefCopy56Row" localSheetId="0" hidden="1">#REF!</definedName>
    <definedName name="XRefCopy56Row" hidden="1">#REF!</definedName>
    <definedName name="XRefCopy57" localSheetId="0" hidden="1">#REF!</definedName>
    <definedName name="XRefCopy57" hidden="1">#REF!</definedName>
    <definedName name="XRefCopy57Row" localSheetId="0" hidden="1">#REF!</definedName>
    <definedName name="XRefCopy57Row" hidden="1">#REF!</definedName>
    <definedName name="XRefCopy58" localSheetId="0" hidden="1">#REF!</definedName>
    <definedName name="XRefCopy58" hidden="1">#REF!</definedName>
    <definedName name="XRefCopy58Row" localSheetId="0" hidden="1">#REF!</definedName>
    <definedName name="XRefCopy58Row" hidden="1">#REF!</definedName>
    <definedName name="XRefCopy59" localSheetId="0" hidden="1">#REF!</definedName>
    <definedName name="XRefCopy59" hidden="1">#REF!</definedName>
    <definedName name="XRefCopy59Row" localSheetId="0" hidden="1">#REF!</definedName>
    <definedName name="XRefCopy59Row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0" localSheetId="0" hidden="1">#REF!</definedName>
    <definedName name="XRefCopy60" hidden="1">#REF!</definedName>
    <definedName name="XRefCopy60Row" localSheetId="0" hidden="1">#REF!</definedName>
    <definedName name="XRefCopy60Row" hidden="1">#REF!</definedName>
    <definedName name="XRefCopy61" localSheetId="0" hidden="1">#REF!</definedName>
    <definedName name="XRefCopy61" hidden="1">#REF!</definedName>
    <definedName name="XRefCopy61Row" localSheetId="0" hidden="1">#REF!</definedName>
    <definedName name="XRefCopy61Row" hidden="1">#REF!</definedName>
    <definedName name="XRefCopy62" localSheetId="0" hidden="1">#REF!</definedName>
    <definedName name="XRefCopy62" hidden="1">#REF!</definedName>
    <definedName name="XRefCopy62Row" localSheetId="0" hidden="1">#REF!</definedName>
    <definedName name="XRefCopy62Row" hidden="1">#REF!</definedName>
    <definedName name="XRefCopy63" localSheetId="0" hidden="1">#REF!</definedName>
    <definedName name="XRefCopy63" hidden="1">#REF!</definedName>
    <definedName name="XRefCopy63Row" localSheetId="0" hidden="1">#REF!</definedName>
    <definedName name="XRefCopy63Row" hidden="1">#REF!</definedName>
    <definedName name="XRefCopy64" localSheetId="0" hidden="1">#REF!</definedName>
    <definedName name="XRefCopy64" hidden="1">#REF!</definedName>
    <definedName name="XRefCopy64Row" localSheetId="0" hidden="1">#REF!</definedName>
    <definedName name="XRefCopy64Row" hidden="1">#REF!</definedName>
    <definedName name="XRefCopy65" localSheetId="0" hidden="1">#REF!</definedName>
    <definedName name="XRefCopy65" hidden="1">#REF!</definedName>
    <definedName name="XRefCopy65Row" localSheetId="0" hidden="1">#REF!</definedName>
    <definedName name="XRefCopy65Row" hidden="1">#REF!</definedName>
    <definedName name="XRefCopy66" localSheetId="0" hidden="1">#REF!</definedName>
    <definedName name="XRefCopy66" hidden="1">#REF!</definedName>
    <definedName name="XRefCopy66Row" localSheetId="0" hidden="1">#REF!</definedName>
    <definedName name="XRefCopy66Row" hidden="1">#REF!</definedName>
    <definedName name="XRefCopy67" localSheetId="0" hidden="1">#REF!</definedName>
    <definedName name="XRefCopy67" hidden="1">#REF!</definedName>
    <definedName name="XRefCopy67Row" localSheetId="0" hidden="1">#REF!</definedName>
    <definedName name="XRefCopy67Row" hidden="1">#REF!</definedName>
    <definedName name="XRefCopy68" localSheetId="0" hidden="1">#REF!</definedName>
    <definedName name="XRefCopy68" hidden="1">#REF!</definedName>
    <definedName name="XRefCopy68Row" localSheetId="0" hidden="1">#REF!</definedName>
    <definedName name="XRefCopy68Row" hidden="1">#REF!</definedName>
    <definedName name="XRefCopy69Row" localSheetId="0" hidden="1">#REF!</definedName>
    <definedName name="XRefCopy69Row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0" localSheetId="0" hidden="1">#REF!</definedName>
    <definedName name="XRefCopy70" hidden="1">#REF!</definedName>
    <definedName name="XRefCopy70Row" localSheetId="0" hidden="1">#REF!</definedName>
    <definedName name="XRefCopy70Row" hidden="1">#REF!</definedName>
    <definedName name="XRefCopy71" localSheetId="0" hidden="1">#REF!</definedName>
    <definedName name="XRefCopy71" hidden="1">#REF!</definedName>
    <definedName name="XRefCopy71Row" localSheetId="0" hidden="1">#REF!</definedName>
    <definedName name="XRefCopy71Row" hidden="1">#REF!</definedName>
    <definedName name="XRefCopy72" localSheetId="0" hidden="1">#REF!</definedName>
    <definedName name="XRefCopy72" hidden="1">#REF!</definedName>
    <definedName name="XRefCopy72Row" localSheetId="0" hidden="1">#REF!</definedName>
    <definedName name="XRefCopy72Row" hidden="1">#REF!</definedName>
    <definedName name="XRefCopy73" localSheetId="0" hidden="1">#REF!</definedName>
    <definedName name="XRefCopy73" hidden="1">#REF!</definedName>
    <definedName name="XRefCopy73Row" localSheetId="0" hidden="1">#REF!</definedName>
    <definedName name="XRefCopy73Row" hidden="1">#REF!</definedName>
    <definedName name="XRefCopy74" localSheetId="0" hidden="1">#REF!</definedName>
    <definedName name="XRefCopy74" hidden="1">#REF!</definedName>
    <definedName name="XRefCopy74Row" localSheetId="0" hidden="1">#REF!</definedName>
    <definedName name="XRefCopy74Row" hidden="1">#REF!</definedName>
    <definedName name="XRefCopy75" localSheetId="0" hidden="1">#REF!</definedName>
    <definedName name="XRefCopy75" hidden="1">#REF!</definedName>
    <definedName name="XRefCopy75Row" localSheetId="0" hidden="1">#REF!</definedName>
    <definedName name="XRefCopy75Row" hidden="1">#REF!</definedName>
    <definedName name="XRefCopy76" localSheetId="0" hidden="1">#REF!</definedName>
    <definedName name="XRefCopy76" hidden="1">#REF!</definedName>
    <definedName name="XRefCopy76Row" localSheetId="0" hidden="1">#REF!</definedName>
    <definedName name="XRefCopy76Row" hidden="1">#REF!</definedName>
    <definedName name="XRefCopy77" localSheetId="0" hidden="1">#REF!</definedName>
    <definedName name="XRefCopy77" hidden="1">#REF!</definedName>
    <definedName name="XRefCopy77Row" localSheetId="0" hidden="1">#REF!</definedName>
    <definedName name="XRefCopy77Row" hidden="1">#REF!</definedName>
    <definedName name="XRefCopy78" localSheetId="0" hidden="1">#REF!</definedName>
    <definedName name="XRefCopy78" hidden="1">#REF!</definedName>
    <definedName name="XRefCopy78Row" localSheetId="0" hidden="1">#REF!</definedName>
    <definedName name="XRefCopy78Row" hidden="1">#REF!</definedName>
    <definedName name="XRefCopy79" localSheetId="0" hidden="1">#REF!</definedName>
    <definedName name="XRefCopy79" hidden="1">#REF!</definedName>
    <definedName name="XRefCopy79Row" localSheetId="0" hidden="1">#REF!</definedName>
    <definedName name="XRefCopy79Row" hidden="1">#REF!</definedName>
    <definedName name="XRefCopy7Row" localSheetId="0" hidden="1">#REF!</definedName>
    <definedName name="XRefCopy7Row" hidden="1">#REF!</definedName>
    <definedName name="XRefCopy8" localSheetId="0" hidden="1">#REF!</definedName>
    <definedName name="XRefCopy8" hidden="1">#REF!</definedName>
    <definedName name="XRefCopy80" localSheetId="0" hidden="1">#REF!</definedName>
    <definedName name="XRefCopy80" hidden="1">#REF!</definedName>
    <definedName name="XRefCopy80Row" localSheetId="0" hidden="1">#REF!</definedName>
    <definedName name="XRefCopy80Row" hidden="1">#REF!</definedName>
    <definedName name="XRefCopy81" localSheetId="0" hidden="1">#REF!</definedName>
    <definedName name="XRefCopy81" hidden="1">#REF!</definedName>
    <definedName name="XRefCopy81Row" localSheetId="0" hidden="1">#REF!</definedName>
    <definedName name="XRefCopy81Row" hidden="1">#REF!</definedName>
    <definedName name="XRefCopy82" localSheetId="0" hidden="1">#REF!</definedName>
    <definedName name="XRefCopy82" hidden="1">#REF!</definedName>
    <definedName name="XRefCopy82Row" localSheetId="0" hidden="1">#REF!</definedName>
    <definedName name="XRefCopy82Row" hidden="1">#REF!</definedName>
    <definedName name="XRefCopy83Row" localSheetId="0" hidden="1">#REF!</definedName>
    <definedName name="XRefCopy83Row" hidden="1">#REF!</definedName>
    <definedName name="XRefCopy84" localSheetId="0" hidden="1">#REF!</definedName>
    <definedName name="XRefCopy84" hidden="1">#REF!</definedName>
    <definedName name="XRefCopy85" localSheetId="0" hidden="1">#REF!</definedName>
    <definedName name="XRefCopy85" hidden="1">#REF!</definedName>
    <definedName name="XRefCopy86" localSheetId="0" hidden="1">#REF!</definedName>
    <definedName name="XRefCopy86" hidden="1">#REF!</definedName>
    <definedName name="XRefCopy86Row" localSheetId="0" hidden="1">#REF!</definedName>
    <definedName name="XRefCopy86Row" hidden="1">#REF!</definedName>
    <definedName name="XRefCopy87" localSheetId="0" hidden="1">#REF!</definedName>
    <definedName name="XRefCopy87" hidden="1">#REF!</definedName>
    <definedName name="XRefCopy87Row" localSheetId="0" hidden="1">#REF!</definedName>
    <definedName name="XRefCopy87Row" hidden="1">#REF!</definedName>
    <definedName name="XRefCopy8Row" localSheetId="0" hidden="1">#REF!</definedName>
    <definedName name="XRefCopy8Row" hidden="1">#REF!</definedName>
    <definedName name="XRefCopy9" localSheetId="0" hidden="1">#REF!</definedName>
    <definedName name="XRefCopy9" hidden="1">#REF!</definedName>
    <definedName name="XRefCopy95" localSheetId="0" hidden="1">#REF!</definedName>
    <definedName name="XRefCopy95" hidden="1">#REF!</definedName>
    <definedName name="XRefCopy96" localSheetId="0" hidden="1">#REF!</definedName>
    <definedName name="XRefCopy96" hidden="1">#REF!</definedName>
    <definedName name="XRefCopy97" localSheetId="0" hidden="1">#REF!</definedName>
    <definedName name="XRefCopy97" hidden="1">#REF!</definedName>
    <definedName name="XRefCopy98" localSheetId="0" hidden="1">#REF!</definedName>
    <definedName name="XRefCopy98" hidden="1">#REF!</definedName>
    <definedName name="XRefCopy98Row" localSheetId="0" hidden="1">#REF!</definedName>
    <definedName name="XRefCopy98Row" hidden="1">#REF!</definedName>
    <definedName name="XRefCopy9Row" localSheetId="0" hidden="1">#REF!</definedName>
    <definedName name="XRefCopy9Row" hidden="1">#REF!</definedName>
    <definedName name="XRefCopyRangeCount" hidden="1">1</definedName>
    <definedName name="XRefPaste1" localSheetId="0" hidden="1">#REF!</definedName>
    <definedName name="XRefPaste1" hidden="1">#REF!</definedName>
    <definedName name="XRefPaste10" localSheetId="0" hidden="1">#REF!</definedName>
    <definedName name="XRefPaste10" hidden="1">#REF!</definedName>
    <definedName name="XRefPaste10Row" localSheetId="0" hidden="1">#REF!</definedName>
    <definedName name="XRefPaste10Row" hidden="1">#REF!</definedName>
    <definedName name="XRefPaste12Row" localSheetId="0" hidden="1">#REF!</definedName>
    <definedName name="XRefPaste12Row" hidden="1">#REF!</definedName>
    <definedName name="XRefPaste13Row" localSheetId="0" hidden="1">#REF!</definedName>
    <definedName name="XRefPaste13Row" hidden="1">#REF!</definedName>
    <definedName name="XRefPaste14" localSheetId="0" hidden="1">#REF!</definedName>
    <definedName name="XRefPaste14" hidden="1">#REF!</definedName>
    <definedName name="XRefPaste14Row" localSheetId="0" hidden="1">#REF!</definedName>
    <definedName name="XRefPaste14Row" hidden="1">#REF!</definedName>
    <definedName name="XRefPaste15" localSheetId="0" hidden="1">#REF!</definedName>
    <definedName name="XRefPaste15" hidden="1">#REF!</definedName>
    <definedName name="XRefPaste15Row" localSheetId="0" hidden="1">#REF!</definedName>
    <definedName name="XRefPaste15Row" hidden="1">#REF!</definedName>
    <definedName name="XRefPaste16" localSheetId="0" hidden="1">#REF!</definedName>
    <definedName name="XRefPaste16" hidden="1">#REF!</definedName>
    <definedName name="XRefPaste16Row" localSheetId="0" hidden="1">#REF!</definedName>
    <definedName name="XRefPaste16Row" hidden="1">#REF!</definedName>
    <definedName name="XRefPaste17" localSheetId="0" hidden="1">#REF!</definedName>
    <definedName name="XRefPaste17" hidden="1">#REF!</definedName>
    <definedName name="XRefPaste17Row" localSheetId="0" hidden="1">#REF!</definedName>
    <definedName name="XRefPaste17Row" hidden="1">#REF!</definedName>
    <definedName name="XRefPaste18" localSheetId="0" hidden="1">#REF!</definedName>
    <definedName name="XRefPaste18" hidden="1">#REF!</definedName>
    <definedName name="XRefPaste18Row" localSheetId="0" hidden="1">#REF!</definedName>
    <definedName name="XRefPaste18Row" hidden="1">#REF!</definedName>
    <definedName name="XRefPaste19" localSheetId="0" hidden="1">#REF!</definedName>
    <definedName name="XRefPaste19" hidden="1">#REF!</definedName>
    <definedName name="XRefPaste19Row" localSheetId="0" hidden="1">#REF!</definedName>
    <definedName name="XRefPaste19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0" localSheetId="0" hidden="1">#REF!</definedName>
    <definedName name="XRefPaste20" hidden="1">#REF!</definedName>
    <definedName name="XRefPaste20Row" localSheetId="0" hidden="1">#REF!</definedName>
    <definedName name="XRefPaste20Row" hidden="1">#REF!</definedName>
    <definedName name="XRefPaste21" localSheetId="0" hidden="1">#REF!</definedName>
    <definedName name="XRefPaste21" hidden="1">#REF!</definedName>
    <definedName name="XRefPaste21Row" localSheetId="0" hidden="1">#REF!</definedName>
    <definedName name="XRefPaste21Row" hidden="1">#REF!</definedName>
    <definedName name="XRefPaste22" localSheetId="0" hidden="1">#REF!</definedName>
    <definedName name="XRefPaste22" hidden="1">#REF!</definedName>
    <definedName name="XRefPaste22Row" localSheetId="0" hidden="1">#REF!</definedName>
    <definedName name="XRefPaste22Row" hidden="1">#REF!</definedName>
    <definedName name="XRefPaste23" localSheetId="0" hidden="1">#REF!</definedName>
    <definedName name="XRefPaste23" hidden="1">#REF!</definedName>
    <definedName name="XRefPaste23Row" localSheetId="0" hidden="1">#REF!</definedName>
    <definedName name="XRefPaste23Row" hidden="1">#REF!</definedName>
    <definedName name="XRefPaste24" localSheetId="0" hidden="1">#REF!</definedName>
    <definedName name="XRefPaste24" hidden="1">#REF!</definedName>
    <definedName name="XRefPaste24Row" localSheetId="0" hidden="1">#REF!</definedName>
    <definedName name="XRefPaste24Row" hidden="1">#REF!</definedName>
    <definedName name="XRefPaste25" localSheetId="0" hidden="1">#REF!</definedName>
    <definedName name="XRefPaste25" hidden="1">#REF!</definedName>
    <definedName name="XRefPaste25Row" localSheetId="0" hidden="1">#REF!</definedName>
    <definedName name="XRefPaste25Row" hidden="1">#REF!</definedName>
    <definedName name="XRefPaste26" localSheetId="0" hidden="1">#REF!</definedName>
    <definedName name="XRefPaste26" hidden="1">#REF!</definedName>
    <definedName name="XRefPaste26Row" localSheetId="0" hidden="1">#REF!</definedName>
    <definedName name="XRefPaste26Row" hidden="1">#REF!</definedName>
    <definedName name="XRefPaste27" localSheetId="0" hidden="1">#REF!</definedName>
    <definedName name="XRefPaste27" hidden="1">#REF!</definedName>
    <definedName name="XRefPaste27Row" localSheetId="0" hidden="1">#REF!</definedName>
    <definedName name="XRefPaste27Row" hidden="1">#REF!</definedName>
    <definedName name="XRefPaste28" localSheetId="0" hidden="1">#REF!</definedName>
    <definedName name="XRefPaste28" hidden="1">#REF!</definedName>
    <definedName name="XRefPaste28Row" localSheetId="0" hidden="1">#REF!</definedName>
    <definedName name="XRefPaste28Row" hidden="1">#REF!</definedName>
    <definedName name="XRefPaste29" localSheetId="0" hidden="1">#REF!</definedName>
    <definedName name="XRefPaste29" hidden="1">#REF!</definedName>
    <definedName name="XRefPaste29Row" localSheetId="0" hidden="1">#REF!</definedName>
    <definedName name="XRefPaste29Row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0" localSheetId="0" hidden="1">#REF!</definedName>
    <definedName name="XRefPaste30" hidden="1">#REF!</definedName>
    <definedName name="XRefPaste30Row" localSheetId="0" hidden="1">#REF!</definedName>
    <definedName name="XRefPaste30Row" hidden="1">#REF!</definedName>
    <definedName name="XRefPaste31" localSheetId="0" hidden="1">#REF!</definedName>
    <definedName name="XRefPaste31" hidden="1">#REF!</definedName>
    <definedName name="XRefPaste31Row" localSheetId="0" hidden="1">#REF!</definedName>
    <definedName name="XRefPaste31Row" hidden="1">#REF!</definedName>
    <definedName name="XRefPaste32" localSheetId="0" hidden="1">#REF!</definedName>
    <definedName name="XRefPaste32" hidden="1">#REF!</definedName>
    <definedName name="XRefPaste32Row" localSheetId="0" hidden="1">#REF!</definedName>
    <definedName name="XRefPaste32Row" hidden="1">#REF!</definedName>
    <definedName name="XRefPaste33" localSheetId="0" hidden="1">#REF!</definedName>
    <definedName name="XRefPaste33" hidden="1">#REF!</definedName>
    <definedName name="XRefPaste33Row" localSheetId="0" hidden="1">#REF!</definedName>
    <definedName name="XRefPaste33Row" hidden="1">#REF!</definedName>
    <definedName name="XRefPaste34" localSheetId="0" hidden="1">#REF!</definedName>
    <definedName name="XRefPaste34" hidden="1">#REF!</definedName>
    <definedName name="XRefPaste34Row" localSheetId="0" hidden="1">#REF!</definedName>
    <definedName name="XRefPaste34Row" hidden="1">#REF!</definedName>
    <definedName name="XRefPaste35" localSheetId="0" hidden="1">#REF!</definedName>
    <definedName name="XRefPaste35" hidden="1">#REF!</definedName>
    <definedName name="XRefPaste35Row" localSheetId="0" hidden="1">#REF!</definedName>
    <definedName name="XRefPaste35Row" hidden="1">#REF!</definedName>
    <definedName name="XRefPaste36" localSheetId="0" hidden="1">#REF!</definedName>
    <definedName name="XRefPaste36" hidden="1">#REF!</definedName>
    <definedName name="XRefPaste36Row" localSheetId="0" hidden="1">#REF!</definedName>
    <definedName name="XRefPaste36Row" hidden="1">#REF!</definedName>
    <definedName name="XRefPaste37" localSheetId="0" hidden="1">#REF!</definedName>
    <definedName name="XRefPaste37" hidden="1">#REF!</definedName>
    <definedName name="XRefPaste37Row" localSheetId="0" hidden="1">#REF!</definedName>
    <definedName name="XRefPaste37Row" hidden="1">#REF!</definedName>
    <definedName name="XRefPaste38" localSheetId="0" hidden="1">#REF!</definedName>
    <definedName name="XRefPaste38" hidden="1">#REF!</definedName>
    <definedName name="XRefPaste38Row" localSheetId="0" hidden="1">#REF!</definedName>
    <definedName name="XRefPaste38Row" hidden="1">#REF!</definedName>
    <definedName name="XRefPaste39" localSheetId="0" hidden="1">#REF!</definedName>
    <definedName name="XRefPaste39" hidden="1">#REF!</definedName>
    <definedName name="XRefPaste39Row" localSheetId="0" hidden="1">#REF!</definedName>
    <definedName name="XRefPaste39Row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1Row" localSheetId="0" hidden="1">#REF!</definedName>
    <definedName name="XRefPaste41Row" hidden="1">#REF!</definedName>
    <definedName name="XRefPaste42" localSheetId="0" hidden="1">#REF!</definedName>
    <definedName name="XRefPaste42" hidden="1">#REF!</definedName>
    <definedName name="XRefPaste42Row" localSheetId="0" hidden="1">#REF!</definedName>
    <definedName name="XRefPaste42Row" hidden="1">#REF!</definedName>
    <definedName name="XRefPaste45" localSheetId="0" hidden="1">#REF!</definedName>
    <definedName name="XRefPaste45" hidden="1">#REF!</definedName>
    <definedName name="XRefPaste46" localSheetId="0" hidden="1">#REF!</definedName>
    <definedName name="XRefPaste46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6" localSheetId="0" hidden="1">#REF!</definedName>
    <definedName name="XRefPaste6" hidden="1">#REF!</definedName>
    <definedName name="XRefPaste6Row" localSheetId="0" hidden="1">#REF!</definedName>
    <definedName name="XRefPaste6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9" localSheetId="0" hidden="1">#REF!</definedName>
    <definedName name="XRefPaste9" hidden="1">#REF!</definedName>
    <definedName name="XRefPaste9Row" localSheetId="0" hidden="1">#REF!</definedName>
    <definedName name="XRefPaste9Row" hidden="1">#REF!</definedName>
    <definedName name="XRefPasteRangeCount" hidden="1">7</definedName>
    <definedName name="xsd" localSheetId="0">#REF!</definedName>
    <definedName name="xsd">#REF!</definedName>
    <definedName name="XX" localSheetId="0">#REF!</definedName>
    <definedName name="XX">#REF!</definedName>
    <definedName name="xxx" localSheetId="0" hidden="1">#REF!</definedName>
    <definedName name="xxx" hidden="1">#REF!</definedName>
    <definedName name="y" localSheetId="0" hidden="1">{#N/A,#N/A,FALSE,"Aging Summary";#N/A,#N/A,FALSE,"Ratio Analysis";#N/A,#N/A,FALSE,"Test 120 Day Accts";#N/A,#N/A,FALSE,"Tickmarks"}</definedName>
    <definedName name="y" hidden="1">{#N/A,#N/A,FALSE,"Aging Summary";#N/A,#N/A,FALSE,"Ratio Analysis";#N/A,#N/A,FALSE,"Test 120 Day Accts";#N/A,#N/A,FALSE,"Tickmarks"}</definedName>
    <definedName name="yb" localSheetId="0" hidden="1">{#N/A,#N/A,FALSE,"Aging Summary";#N/A,#N/A,FALSE,"Ratio Analysis";#N/A,#N/A,FALSE,"Test 120 Day Accts";#N/A,#N/A,FALSE,"Tickmarks"}</definedName>
    <definedName name="yb" hidden="1">{#N/A,#N/A,FALSE,"Aging Summary";#N/A,#N/A,FALSE,"Ratio Analysis";#N/A,#N/A,FALSE,"Test 120 Day Accts";#N/A,#N/A,FALSE,"Tickmarks"}</definedName>
    <definedName name="yt">#REF!</definedName>
    <definedName name="ytdCE" localSheetId="0">#REF!</definedName>
    <definedName name="ytdCE">#REF!</definedName>
    <definedName name="ytdCF" localSheetId="0">#REF!</definedName>
    <definedName name="ytdCF">#REF!</definedName>
    <definedName name="yu">#REF!</definedName>
    <definedName name="yy" localSheetId="0" hidden="1">#REF!</definedName>
    <definedName name="yy" hidden="1">#REF!</definedName>
    <definedName name="z">#REF!</definedName>
    <definedName name="zerelda" localSheetId="0">#REF!</definedName>
    <definedName name="zerelda">#REF!</definedName>
    <definedName name="ZFLHDSZLGKJ" localSheetId="0" hidden="1">#REF!</definedName>
    <definedName name="ZFLHDSZLGKJ" hidden="1">#REF!</definedName>
    <definedName name="zg" hidden="1">#REF!</definedName>
    <definedName name="zk" hidden="1">#REF!</definedName>
    <definedName name="zo" hidden="1">#REF!</definedName>
    <definedName name="ZS" localSheetId="0" hidden="1">#REF!</definedName>
    <definedName name="ZS" hidden="1">#REF!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0" i="2" l="1"/>
  <c r="E68" i="2"/>
  <c r="E84" i="2" l="1"/>
  <c r="E83" i="2"/>
  <c r="E82" i="2"/>
  <c r="E81" i="2"/>
  <c r="E80" i="2"/>
  <c r="E78" i="2"/>
  <c r="E79" i="2"/>
  <c r="E75" i="2"/>
  <c r="E76" i="2"/>
  <c r="E77" i="2"/>
  <c r="E74" i="2"/>
  <c r="E73" i="2"/>
  <c r="E72" i="2"/>
  <c r="E71" i="2"/>
  <c r="E69" i="2"/>
  <c r="E67" i="2"/>
  <c r="E62" i="2"/>
  <c r="E63" i="2"/>
  <c r="E64" i="2"/>
  <c r="E65" i="2"/>
  <c r="E66" i="2"/>
  <c r="E61" i="2"/>
  <c r="E60" i="2"/>
  <c r="E59" i="2"/>
  <c r="E55" i="2"/>
  <c r="E56" i="2"/>
  <c r="E57" i="2"/>
  <c r="E58" i="2"/>
  <c r="E54" i="2"/>
  <c r="E53" i="2" l="1"/>
  <c r="E51" i="2"/>
  <c r="E52" i="2"/>
  <c r="E50" i="2"/>
  <c r="E49" i="2"/>
  <c r="E48" i="2" l="1"/>
  <c r="E47" i="2" l="1"/>
  <c r="E46" i="2" l="1"/>
  <c r="E45" i="2"/>
  <c r="E44" i="2"/>
  <c r="E43" i="2"/>
  <c r="E42" i="2"/>
  <c r="E41" i="2" l="1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6" i="2"/>
  <c r="E5" i="2"/>
  <c r="E10" i="2"/>
  <c r="E7" i="2"/>
  <c r="E8" i="2"/>
  <c r="E9" i="2"/>
  <c r="E2" i="2" l="1"/>
  <c r="E3" i="2"/>
  <c r="E4" i="2"/>
  <c r="P204" i="18"/>
  <c r="P116" i="18"/>
  <c r="P228" i="18"/>
  <c r="P25" i="18"/>
  <c r="P147" i="18"/>
  <c r="P127" i="18"/>
  <c r="P75" i="18"/>
  <c r="P84" i="18"/>
  <c r="P174" i="18"/>
  <c r="P36" i="18"/>
  <c r="P155" i="18"/>
  <c r="P89" i="18"/>
  <c r="P195" i="18"/>
  <c r="P137" i="18"/>
  <c r="P11" i="18"/>
  <c r="P158" i="18"/>
  <c r="P110" i="18"/>
  <c r="P24" i="18"/>
  <c r="P71" i="18"/>
  <c r="P123" i="18"/>
  <c r="P177" i="18"/>
  <c r="P59" i="18"/>
  <c r="P219" i="18"/>
  <c r="P131" i="18"/>
  <c r="P30" i="18"/>
  <c r="P117" i="18"/>
  <c r="P20" i="18"/>
  <c r="P22" i="18"/>
  <c r="P40" i="18"/>
  <c r="P161" i="18"/>
  <c r="P55" i="18"/>
  <c r="P14" i="18"/>
  <c r="P115" i="18"/>
  <c r="P5" i="18"/>
  <c r="P211" i="18"/>
  <c r="P227" i="18"/>
  <c r="P28" i="18"/>
  <c r="P113" i="18"/>
  <c r="P135" i="18"/>
  <c r="P19" i="18"/>
  <c r="P149" i="18"/>
  <c r="P56" i="18"/>
  <c r="P153" i="18"/>
  <c r="P223" i="18"/>
  <c r="P214" i="18"/>
  <c r="P12" i="18"/>
  <c r="P148" i="18"/>
  <c r="P231" i="18"/>
  <c r="P202" i="18"/>
  <c r="P50" i="18"/>
  <c r="P35" i="18"/>
  <c r="P34" i="18"/>
  <c r="P79" i="18"/>
  <c r="P176" i="18"/>
  <c r="P128" i="18"/>
  <c r="P125" i="18"/>
  <c r="P93" i="18"/>
  <c r="P221" i="18"/>
  <c r="P42" i="18"/>
  <c r="P118" i="18"/>
  <c r="P140" i="18"/>
  <c r="P57" i="18"/>
  <c r="P163" i="18"/>
  <c r="P142" i="18"/>
  <c r="P133" i="18"/>
  <c r="P225" i="18"/>
  <c r="P173" i="18"/>
  <c r="P61" i="18"/>
  <c r="P41" i="18"/>
  <c r="P167" i="18"/>
  <c r="P26" i="18"/>
  <c r="P164" i="18"/>
  <c r="P182" i="18"/>
  <c r="P203" i="18"/>
  <c r="P43" i="18"/>
  <c r="P29" i="18"/>
  <c r="P78" i="18"/>
  <c r="P18" i="18"/>
  <c r="P201" i="18"/>
  <c r="P88" i="18"/>
  <c r="P9" i="18"/>
  <c r="P62" i="18"/>
  <c r="P152" i="18"/>
  <c r="P198" i="18"/>
  <c r="P215" i="18"/>
  <c r="P162" i="18"/>
  <c r="P208" i="18"/>
  <c r="P159" i="18"/>
  <c r="P134" i="18"/>
  <c r="P168" i="18"/>
  <c r="P16" i="18"/>
  <c r="P33" i="18"/>
  <c r="P234" i="18"/>
  <c r="P48" i="18"/>
  <c r="P126" i="18"/>
  <c r="P179" i="18"/>
  <c r="P4" i="18"/>
  <c r="P190" i="18"/>
  <c r="P92" i="18"/>
  <c r="P169" i="18"/>
  <c r="P104" i="18"/>
  <c r="P52" i="18"/>
  <c r="P105" i="18"/>
  <c r="P143" i="18"/>
  <c r="P47" i="18"/>
  <c r="P100" i="18"/>
  <c r="P73" i="18"/>
  <c r="P206" i="18"/>
  <c r="P81" i="18"/>
  <c r="P172" i="18"/>
  <c r="P64" i="18"/>
  <c r="P180" i="18"/>
  <c r="P83" i="18"/>
  <c r="P193" i="18"/>
  <c r="P49" i="18"/>
  <c r="P102" i="18"/>
  <c r="P45" i="18"/>
  <c r="P44" i="18"/>
  <c r="P145" i="18"/>
  <c r="P91" i="18"/>
  <c r="P65" i="18"/>
  <c r="P111" i="18"/>
  <c r="P132" i="18"/>
  <c r="P109" i="18"/>
  <c r="P70" i="18"/>
  <c r="P66" i="18"/>
  <c r="P170" i="18"/>
  <c r="P72" i="18"/>
  <c r="P15" i="18"/>
  <c r="P233" i="18"/>
  <c r="P230" i="18"/>
  <c r="P210" i="18"/>
  <c r="P205" i="18"/>
  <c r="P74" i="18"/>
  <c r="P77" i="18"/>
  <c r="P207" i="18"/>
  <c r="P130" i="18"/>
  <c r="P23" i="18"/>
  <c r="P165" i="18"/>
  <c r="P82" i="18"/>
  <c r="P38" i="18"/>
  <c r="P194" i="18"/>
  <c r="P235" i="18"/>
  <c r="P39" i="18"/>
  <c r="P58" i="18"/>
  <c r="P94" i="18"/>
  <c r="P232" i="18"/>
  <c r="P129" i="18"/>
  <c r="P224" i="18"/>
  <c r="P51" i="18"/>
  <c r="P150" i="18"/>
  <c r="P37" i="18"/>
  <c r="P181" i="18"/>
  <c r="P186" i="18"/>
  <c r="P90" i="18"/>
  <c r="P2" i="18"/>
  <c r="P189" i="18"/>
  <c r="P229" i="18"/>
  <c r="P200" i="18"/>
  <c r="P67" i="18"/>
  <c r="P103" i="18"/>
  <c r="P68" i="18"/>
  <c r="P86" i="18"/>
  <c r="P106" i="18"/>
  <c r="P236" i="18"/>
  <c r="P216" i="18"/>
  <c r="P226" i="18"/>
  <c r="P154" i="18"/>
  <c r="P175" i="18"/>
  <c r="P7" i="18"/>
  <c r="P222" i="18"/>
  <c r="P31" i="18"/>
  <c r="P10" i="18"/>
  <c r="P119" i="18"/>
  <c r="P199" i="18"/>
  <c r="P160" i="18"/>
  <c r="P27" i="18"/>
  <c r="P124" i="18"/>
  <c r="P3" i="18"/>
  <c r="P209" i="18"/>
  <c r="P97" i="18"/>
  <c r="P76" i="18"/>
  <c r="P157" i="18"/>
  <c r="P121" i="18"/>
  <c r="P107" i="18"/>
  <c r="P112" i="18"/>
  <c r="P17" i="18"/>
  <c r="P184" i="18"/>
  <c r="P99" i="18"/>
  <c r="P146" i="18"/>
  <c r="P101" i="18"/>
  <c r="P87" i="18"/>
  <c r="P80" i="18"/>
  <c r="P355" i="18"/>
  <c r="P218" i="18"/>
  <c r="P328" i="18"/>
  <c r="P308" i="18"/>
  <c r="P367" i="18"/>
  <c r="P261" i="18"/>
  <c r="P290" i="18"/>
  <c r="P13" i="18"/>
  <c r="P213" i="18"/>
  <c r="P343" i="18"/>
  <c r="P151" i="18"/>
  <c r="P156" i="18"/>
  <c r="P394" i="18"/>
  <c r="P370" i="18"/>
  <c r="P247" i="18"/>
  <c r="P136" i="18"/>
  <c r="P302" i="18"/>
  <c r="P381" i="18"/>
  <c r="P325" i="18"/>
  <c r="P327" i="18"/>
  <c r="P330" i="18"/>
  <c r="P96" i="18"/>
  <c r="P322" i="18"/>
  <c r="P312" i="18"/>
  <c r="P379" i="18"/>
  <c r="P338" i="18"/>
  <c r="P251" i="18"/>
  <c r="P53" i="18"/>
  <c r="P376" i="18"/>
  <c r="P387" i="18"/>
  <c r="P315" i="18"/>
  <c r="P337" i="18"/>
  <c r="P317" i="18"/>
  <c r="P318" i="18"/>
  <c r="P313" i="18"/>
  <c r="P316" i="18"/>
  <c r="P268" i="18"/>
  <c r="P275" i="18"/>
  <c r="P310" i="18"/>
  <c r="P298" i="18"/>
  <c r="P375" i="18"/>
  <c r="P244" i="18"/>
  <c r="P386" i="18"/>
  <c r="P171" i="18"/>
  <c r="P378" i="18"/>
  <c r="P356" i="18"/>
  <c r="P185" i="18"/>
  <c r="P388" i="18"/>
  <c r="P371" i="18"/>
  <c r="P108" i="18"/>
  <c r="P239" i="18"/>
  <c r="P217" i="18"/>
  <c r="P331" i="18"/>
  <c r="P383" i="18"/>
  <c r="P285" i="18"/>
  <c r="P294" i="18"/>
  <c r="P259" i="18"/>
  <c r="P266" i="18"/>
  <c r="P265" i="18"/>
  <c r="P278" i="18"/>
  <c r="P178" i="18"/>
  <c r="P288" i="18"/>
  <c r="P320" i="18"/>
  <c r="P264" i="18"/>
  <c r="P98" i="18"/>
  <c r="P254" i="18"/>
  <c r="P346" i="18"/>
  <c r="P396" i="18"/>
  <c r="P391" i="18"/>
  <c r="P347" i="18"/>
  <c r="P241" i="18"/>
  <c r="P114" i="18"/>
  <c r="P300" i="18"/>
  <c r="P362" i="18"/>
  <c r="P287" i="18"/>
  <c r="P333" i="18"/>
  <c r="P277" i="18"/>
  <c r="P342" i="18"/>
  <c r="P21" i="18"/>
  <c r="P212" i="18"/>
  <c r="P358" i="18"/>
  <c r="P8" i="18"/>
  <c r="P393" i="18"/>
  <c r="P335" i="18"/>
  <c r="P361" i="18"/>
  <c r="P252" i="18"/>
  <c r="P85" i="18"/>
  <c r="P141" i="18"/>
  <c r="P366" i="18"/>
  <c r="P324" i="18"/>
  <c r="P280" i="18"/>
  <c r="P306" i="18"/>
  <c r="P307" i="18"/>
  <c r="P262" i="18"/>
  <c r="P274" i="18"/>
  <c r="P373" i="18"/>
  <c r="P197" i="18"/>
  <c r="P279" i="18"/>
  <c r="P323" i="18"/>
  <c r="P269" i="18"/>
  <c r="P187" i="18"/>
  <c r="P256" i="18"/>
  <c r="P350" i="18"/>
  <c r="P385" i="18"/>
  <c r="P54" i="18"/>
  <c r="P334" i="18"/>
  <c r="P352" i="18"/>
  <c r="P364" i="18"/>
  <c r="P296" i="18"/>
  <c r="P374" i="18"/>
  <c r="P390" i="18"/>
  <c r="P329" i="18"/>
  <c r="P289" i="18"/>
  <c r="P319" i="18"/>
  <c r="P6" i="18"/>
  <c r="P395" i="18"/>
  <c r="P250" i="18"/>
  <c r="P120" i="18"/>
  <c r="P377" i="18"/>
  <c r="P360" i="18"/>
  <c r="P305" i="18"/>
  <c r="P303" i="18"/>
  <c r="P384" i="18"/>
  <c r="P389" i="18"/>
  <c r="P238" i="18"/>
  <c r="P314" i="18"/>
  <c r="P240" i="18"/>
  <c r="P267" i="18"/>
  <c r="P246" i="18"/>
  <c r="P242" i="18"/>
  <c r="P284" i="18"/>
  <c r="P248" i="18"/>
  <c r="P253" i="18"/>
  <c r="P258" i="18"/>
  <c r="P249" i="18"/>
  <c r="P292" i="18"/>
  <c r="P293" i="18"/>
  <c r="P60" i="18"/>
  <c r="P273" i="18"/>
  <c r="P46" i="18"/>
  <c r="P380" i="18"/>
  <c r="P353" i="18"/>
  <c r="P345" i="18"/>
  <c r="P339" i="18"/>
  <c r="P299" i="18"/>
  <c r="P309" i="18"/>
  <c r="P369" i="18"/>
  <c r="P354" i="18"/>
  <c r="P365" i="18"/>
  <c r="P255" i="18"/>
  <c r="P270" i="18"/>
  <c r="P297" i="18"/>
  <c r="P272" i="18"/>
  <c r="P122" i="18"/>
  <c r="P220" i="18"/>
  <c r="P166" i="18"/>
  <c r="P368" i="18"/>
  <c r="P183" i="18"/>
  <c r="P69" i="18"/>
  <c r="P283" i="18"/>
  <c r="P311" i="18"/>
  <c r="P304" i="18"/>
  <c r="P95" i="18"/>
  <c r="P245" i="18"/>
  <c r="P341" i="18"/>
  <c r="P348" i="18"/>
  <c r="P357" i="18"/>
  <c r="P326" i="18"/>
  <c r="P295" i="18"/>
  <c r="P351" i="18"/>
  <c r="P257" i="18"/>
  <c r="P349" i="18"/>
  <c r="P286" i="18"/>
  <c r="P263" i="18"/>
  <c r="P301" i="18"/>
  <c r="P237" i="18"/>
  <c r="P372" i="18"/>
  <c r="P281" i="18"/>
  <c r="P138" i="18"/>
  <c r="P32" i="18"/>
  <c r="P340" i="18"/>
  <c r="P336" i="18"/>
  <c r="P363" i="18"/>
  <c r="P359" i="18"/>
  <c r="P276" i="18"/>
  <c r="P271" i="18"/>
  <c r="P392" i="18"/>
  <c r="P188" i="18"/>
  <c r="P282" i="18"/>
  <c r="P291" i="18"/>
  <c r="P344" i="18"/>
  <c r="P139" i="18"/>
  <c r="P243" i="18"/>
  <c r="P260" i="18"/>
  <c r="P332" i="18"/>
  <c r="P191" i="18"/>
  <c r="P63" i="18"/>
  <c r="P321" i="18"/>
  <c r="P196" i="18"/>
  <c r="P382" i="18"/>
  <c r="P192" i="18"/>
  <c r="P397" i="18"/>
  <c r="P144" i="18"/>
  <c r="Q397" i="18"/>
  <c r="M397" i="18"/>
  <c r="O397" i="18" s="1"/>
  <c r="L397" i="18"/>
  <c r="N397" i="18" s="1"/>
  <c r="Q358" i="18"/>
  <c r="M358" i="18"/>
  <c r="O358" i="18" s="1"/>
  <c r="L358" i="18"/>
  <c r="N358" i="18" s="1"/>
  <c r="Q389" i="18"/>
  <c r="M389" i="18"/>
  <c r="O389" i="18" s="1"/>
  <c r="L389" i="18"/>
  <c r="N389" i="18" s="1"/>
  <c r="Q196" i="18"/>
  <c r="M196" i="18"/>
  <c r="O196" i="18" s="1"/>
  <c r="L196" i="18"/>
  <c r="N196" i="18" s="1"/>
  <c r="Q288" i="18"/>
  <c r="M288" i="18"/>
  <c r="O288" i="18" s="1"/>
  <c r="L288" i="18"/>
  <c r="N288" i="18" s="1"/>
  <c r="Q98" i="18"/>
  <c r="M98" i="18"/>
  <c r="O98" i="18" s="1"/>
  <c r="L98" i="18"/>
  <c r="N98" i="18" s="1"/>
  <c r="Q318" i="18"/>
  <c r="M318" i="18"/>
  <c r="O318" i="18" s="1"/>
  <c r="L318" i="18"/>
  <c r="N318" i="18" s="1"/>
  <c r="Q271" i="18"/>
  <c r="M271" i="18"/>
  <c r="O271" i="18" s="1"/>
  <c r="L271" i="18"/>
  <c r="N271" i="18" s="1"/>
  <c r="Q251" i="18"/>
  <c r="M251" i="18"/>
  <c r="O251" i="18" s="1"/>
  <c r="L251" i="18"/>
  <c r="N251" i="18" s="1"/>
  <c r="Q243" i="18"/>
  <c r="M243" i="18"/>
  <c r="O243" i="18" s="1"/>
  <c r="L243" i="18"/>
  <c r="N243" i="18" s="1"/>
  <c r="Q338" i="18"/>
  <c r="M338" i="18"/>
  <c r="O338" i="18" s="1"/>
  <c r="L338" i="18"/>
  <c r="N338" i="18" s="1"/>
  <c r="Q299" i="18"/>
  <c r="M299" i="18"/>
  <c r="O299" i="18" s="1"/>
  <c r="L299" i="18"/>
  <c r="N299" i="18" s="1"/>
  <c r="Q327" i="18"/>
  <c r="M327" i="18"/>
  <c r="O327" i="18" s="1"/>
  <c r="L327" i="18"/>
  <c r="N327" i="18" s="1"/>
  <c r="Q374" i="18"/>
  <c r="M374" i="18"/>
  <c r="O374" i="18" s="1"/>
  <c r="L374" i="18"/>
  <c r="N374" i="18" s="1"/>
  <c r="Q253" i="18"/>
  <c r="M253" i="18"/>
  <c r="O253" i="18" s="1"/>
  <c r="L253" i="18"/>
  <c r="N253" i="18" s="1"/>
  <c r="Q260" i="18"/>
  <c r="M260" i="18"/>
  <c r="O260" i="18" s="1"/>
  <c r="L260" i="18"/>
  <c r="N260" i="18" s="1"/>
  <c r="Q290" i="18"/>
  <c r="M290" i="18"/>
  <c r="O290" i="18" s="1"/>
  <c r="L290" i="18"/>
  <c r="N290" i="18" s="1"/>
  <c r="Q238" i="18"/>
  <c r="M238" i="18"/>
  <c r="O238" i="18" s="1"/>
  <c r="L238" i="18"/>
  <c r="N238" i="18" s="1"/>
  <c r="Q352" i="18"/>
  <c r="M352" i="18"/>
  <c r="O352" i="18" s="1"/>
  <c r="L352" i="18"/>
  <c r="N352" i="18" s="1"/>
  <c r="Q396" i="18"/>
  <c r="M396" i="18"/>
  <c r="O396" i="18" s="1"/>
  <c r="L396" i="18"/>
  <c r="N396" i="18" s="1"/>
  <c r="Q258" i="18"/>
  <c r="M258" i="18"/>
  <c r="O258" i="18" s="1"/>
  <c r="L258" i="18"/>
  <c r="N258" i="18" s="1"/>
  <c r="Q382" i="18"/>
  <c r="M382" i="18"/>
  <c r="O382" i="18" s="1"/>
  <c r="L382" i="18"/>
  <c r="N382" i="18" s="1"/>
  <c r="Q96" i="18"/>
  <c r="M96" i="18"/>
  <c r="O96" i="18" s="1"/>
  <c r="L96" i="18"/>
  <c r="N96" i="18" s="1"/>
  <c r="Q273" i="18"/>
  <c r="M273" i="18"/>
  <c r="O273" i="18" s="1"/>
  <c r="L273" i="18"/>
  <c r="N273" i="18" s="1"/>
  <c r="Q331" i="18"/>
  <c r="M331" i="18"/>
  <c r="O331" i="18" s="1"/>
  <c r="L331" i="18"/>
  <c r="N331" i="18" s="1"/>
  <c r="Q372" i="18"/>
  <c r="M372" i="18"/>
  <c r="O372" i="18" s="1"/>
  <c r="L372" i="18"/>
  <c r="N372" i="18" s="1"/>
  <c r="Q283" i="18"/>
  <c r="M283" i="18"/>
  <c r="O283" i="18" s="1"/>
  <c r="L283" i="18"/>
  <c r="N283" i="18" s="1"/>
  <c r="Q393" i="18"/>
  <c r="M393" i="18"/>
  <c r="O393" i="18" s="1"/>
  <c r="L393" i="18"/>
  <c r="N393" i="18" s="1"/>
  <c r="Q380" i="18"/>
  <c r="M380" i="18"/>
  <c r="O380" i="18" s="1"/>
  <c r="L380" i="18"/>
  <c r="N380" i="18" s="1"/>
  <c r="Q289" i="18"/>
  <c r="M289" i="18"/>
  <c r="O289" i="18" s="1"/>
  <c r="L289" i="18"/>
  <c r="N289" i="18" s="1"/>
  <c r="Q293" i="18"/>
  <c r="M293" i="18"/>
  <c r="O293" i="18" s="1"/>
  <c r="L293" i="18"/>
  <c r="N293" i="18" s="1"/>
  <c r="Q383" i="18"/>
  <c r="M383" i="18"/>
  <c r="O383" i="18" s="1"/>
  <c r="L383" i="18"/>
  <c r="N383" i="18" s="1"/>
  <c r="Q291" i="18"/>
  <c r="M291" i="18"/>
  <c r="O291" i="18" s="1"/>
  <c r="L291" i="18"/>
  <c r="N291" i="18" s="1"/>
  <c r="Q242" i="18"/>
  <c r="M242" i="18"/>
  <c r="O242" i="18" s="1"/>
  <c r="L242" i="18"/>
  <c r="N242" i="18" s="1"/>
  <c r="Q192" i="18"/>
  <c r="M192" i="18"/>
  <c r="O192" i="18" s="1"/>
  <c r="L192" i="18"/>
  <c r="N192" i="18" s="1"/>
  <c r="Q254" i="18"/>
  <c r="M254" i="18"/>
  <c r="O254" i="18" s="1"/>
  <c r="L254" i="18"/>
  <c r="N254" i="18" s="1"/>
  <c r="Q270" i="18"/>
  <c r="M270" i="18"/>
  <c r="O270" i="18" s="1"/>
  <c r="L270" i="18"/>
  <c r="N270" i="18" s="1"/>
  <c r="Q259" i="18"/>
  <c r="M259" i="18"/>
  <c r="O259" i="18" s="1"/>
  <c r="L259" i="18"/>
  <c r="N259" i="18" s="1"/>
  <c r="Q368" i="18"/>
  <c r="M368" i="18"/>
  <c r="O368" i="18" s="1"/>
  <c r="L368" i="18"/>
  <c r="N368" i="18" s="1"/>
  <c r="Q344" i="18"/>
  <c r="M344" i="18"/>
  <c r="O344" i="18" s="1"/>
  <c r="L344" i="18"/>
  <c r="N344" i="18" s="1"/>
  <c r="Q265" i="18"/>
  <c r="M265" i="18"/>
  <c r="O265" i="18" s="1"/>
  <c r="L265" i="18"/>
  <c r="N265" i="18" s="1"/>
  <c r="Q309" i="18"/>
  <c r="M309" i="18"/>
  <c r="O309" i="18" s="1"/>
  <c r="L309" i="18"/>
  <c r="N309" i="18" s="1"/>
  <c r="Q247" i="18"/>
  <c r="M247" i="18"/>
  <c r="O247" i="18" s="1"/>
  <c r="L247" i="18"/>
  <c r="N247" i="18" s="1"/>
  <c r="Q69" i="18"/>
  <c r="M69" i="18"/>
  <c r="O69" i="18" s="1"/>
  <c r="L69" i="18"/>
  <c r="N69" i="18" s="1"/>
  <c r="Q378" i="18"/>
  <c r="M378" i="18"/>
  <c r="O378" i="18" s="1"/>
  <c r="L378" i="18"/>
  <c r="N378" i="18" s="1"/>
  <c r="Q308" i="18"/>
  <c r="M308" i="18"/>
  <c r="O308" i="18" s="1"/>
  <c r="L308" i="18"/>
  <c r="N308" i="18" s="1"/>
  <c r="Q373" i="18"/>
  <c r="M373" i="18"/>
  <c r="O373" i="18" s="1"/>
  <c r="L373" i="18"/>
  <c r="N373" i="18" s="1"/>
  <c r="Q139" i="18"/>
  <c r="M139" i="18"/>
  <c r="O139" i="18" s="1"/>
  <c r="L139" i="18"/>
  <c r="N139" i="18" s="1"/>
  <c r="Q279" i="18"/>
  <c r="M279" i="18"/>
  <c r="O279" i="18" s="1"/>
  <c r="L279" i="18"/>
  <c r="N279" i="18" s="1"/>
  <c r="Q287" i="18"/>
  <c r="M287" i="18"/>
  <c r="O287" i="18" s="1"/>
  <c r="L287" i="18"/>
  <c r="N287" i="18" s="1"/>
  <c r="Q349" i="18"/>
  <c r="M349" i="18"/>
  <c r="O349" i="18" s="1"/>
  <c r="L349" i="18"/>
  <c r="N349" i="18" s="1"/>
  <c r="Q275" i="18"/>
  <c r="M275" i="18"/>
  <c r="O275" i="18" s="1"/>
  <c r="L275" i="18"/>
  <c r="N275" i="18" s="1"/>
  <c r="Q284" i="18"/>
  <c r="M284" i="18"/>
  <c r="O284" i="18" s="1"/>
  <c r="L284" i="18"/>
  <c r="N284" i="18" s="1"/>
  <c r="Q385" i="18"/>
  <c r="M385" i="18"/>
  <c r="O385" i="18" s="1"/>
  <c r="L385" i="18"/>
  <c r="N385" i="18" s="1"/>
  <c r="Q354" i="18"/>
  <c r="M354" i="18"/>
  <c r="O354" i="18" s="1"/>
  <c r="L354" i="18"/>
  <c r="N354" i="18" s="1"/>
  <c r="Q336" i="18"/>
  <c r="M336" i="18"/>
  <c r="O336" i="18" s="1"/>
  <c r="L336" i="18"/>
  <c r="N336" i="18" s="1"/>
  <c r="Q264" i="18"/>
  <c r="M264" i="18"/>
  <c r="O264" i="18" s="1"/>
  <c r="L264" i="18"/>
  <c r="N264" i="18" s="1"/>
  <c r="Q392" i="18"/>
  <c r="M392" i="18"/>
  <c r="O392" i="18" s="1"/>
  <c r="L392" i="18"/>
  <c r="N392" i="18" s="1"/>
  <c r="Q339" i="18"/>
  <c r="M339" i="18"/>
  <c r="O339" i="18" s="1"/>
  <c r="L339" i="18"/>
  <c r="N339" i="18" s="1"/>
  <c r="Q326" i="18"/>
  <c r="M326" i="18"/>
  <c r="O326" i="18" s="1"/>
  <c r="L326" i="18"/>
  <c r="N326" i="18" s="1"/>
  <c r="Q240" i="18"/>
  <c r="M240" i="18"/>
  <c r="O240" i="18" s="1"/>
  <c r="L240" i="18"/>
  <c r="N240" i="18" s="1"/>
  <c r="Q320" i="18"/>
  <c r="M320" i="18"/>
  <c r="O320" i="18" s="1"/>
  <c r="L320" i="18"/>
  <c r="N320" i="18" s="1"/>
  <c r="Q359" i="18"/>
  <c r="M359" i="18"/>
  <c r="O359" i="18" s="1"/>
  <c r="L359" i="18"/>
  <c r="N359" i="18" s="1"/>
  <c r="Q314" i="18"/>
  <c r="M314" i="18"/>
  <c r="O314" i="18" s="1"/>
  <c r="L314" i="18"/>
  <c r="N314" i="18" s="1"/>
  <c r="Q21" i="18"/>
  <c r="M21" i="18"/>
  <c r="O21" i="18" s="1"/>
  <c r="L21" i="18"/>
  <c r="N21" i="18" s="1"/>
  <c r="Q333" i="18"/>
  <c r="M333" i="18"/>
  <c r="O333" i="18" s="1"/>
  <c r="L333" i="18"/>
  <c r="N333" i="18" s="1"/>
  <c r="Q350" i="18"/>
  <c r="M350" i="18"/>
  <c r="O350" i="18" s="1"/>
  <c r="L350" i="18"/>
  <c r="N350" i="18" s="1"/>
  <c r="Q13" i="18"/>
  <c r="M13" i="18"/>
  <c r="O13" i="18" s="1"/>
  <c r="L13" i="18"/>
  <c r="N13" i="18" s="1"/>
  <c r="Q54" i="18"/>
  <c r="M54" i="18"/>
  <c r="O54" i="18" s="1"/>
  <c r="L54" i="18"/>
  <c r="N54" i="18" s="1"/>
  <c r="Q166" i="18"/>
  <c r="M166" i="18"/>
  <c r="O166" i="18" s="1"/>
  <c r="L166" i="18"/>
  <c r="N166" i="18" s="1"/>
  <c r="Q218" i="18"/>
  <c r="M218" i="18"/>
  <c r="O218" i="18" s="1"/>
  <c r="L218" i="18"/>
  <c r="N218" i="18" s="1"/>
  <c r="Q330" i="18"/>
  <c r="M330" i="18"/>
  <c r="O330" i="18" s="1"/>
  <c r="L330" i="18"/>
  <c r="N330" i="18" s="1"/>
  <c r="Q361" i="18"/>
  <c r="M361" i="18"/>
  <c r="O361" i="18" s="1"/>
  <c r="L361" i="18"/>
  <c r="N361" i="18" s="1"/>
  <c r="Q364" i="18"/>
  <c r="M364" i="18"/>
  <c r="O364" i="18" s="1"/>
  <c r="L364" i="18"/>
  <c r="N364" i="18" s="1"/>
  <c r="Q337" i="18"/>
  <c r="M337" i="18"/>
  <c r="O337" i="18" s="1"/>
  <c r="L337" i="18"/>
  <c r="N337" i="18" s="1"/>
  <c r="Q369" i="18"/>
  <c r="M369" i="18"/>
  <c r="O369" i="18" s="1"/>
  <c r="L369" i="18"/>
  <c r="N369" i="18" s="1"/>
  <c r="Q307" i="18"/>
  <c r="M307" i="18"/>
  <c r="O307" i="18" s="1"/>
  <c r="L307" i="18"/>
  <c r="N307" i="18" s="1"/>
  <c r="Q376" i="18"/>
  <c r="M376" i="18"/>
  <c r="O376" i="18" s="1"/>
  <c r="L376" i="18"/>
  <c r="N376" i="18" s="1"/>
  <c r="Q191" i="18"/>
  <c r="M191" i="18"/>
  <c r="O191" i="18" s="1"/>
  <c r="L191" i="18"/>
  <c r="N191" i="18" s="1"/>
  <c r="Q305" i="18"/>
  <c r="M305" i="18"/>
  <c r="O305" i="18" s="1"/>
  <c r="L305" i="18"/>
  <c r="N305" i="18" s="1"/>
  <c r="Q108" i="18"/>
  <c r="M108" i="18"/>
  <c r="O108" i="18" s="1"/>
  <c r="L108" i="18"/>
  <c r="N108" i="18" s="1"/>
  <c r="Q301" i="18"/>
  <c r="M301" i="18"/>
  <c r="O301" i="18" s="1"/>
  <c r="L301" i="18"/>
  <c r="N301" i="18" s="1"/>
  <c r="Q252" i="18"/>
  <c r="M252" i="18"/>
  <c r="O252" i="18" s="1"/>
  <c r="L252" i="18"/>
  <c r="N252" i="18" s="1"/>
  <c r="Q329" i="18"/>
  <c r="M329" i="18"/>
  <c r="O329" i="18" s="1"/>
  <c r="L329" i="18"/>
  <c r="N329" i="18" s="1"/>
  <c r="Q285" i="18"/>
  <c r="M285" i="18"/>
  <c r="O285" i="18" s="1"/>
  <c r="L285" i="18"/>
  <c r="N285" i="18" s="1"/>
  <c r="Q46" i="18"/>
  <c r="M46" i="18"/>
  <c r="O46" i="18" s="1"/>
  <c r="L46" i="18"/>
  <c r="N46" i="18" s="1"/>
  <c r="Q319" i="18"/>
  <c r="M319" i="18"/>
  <c r="O319" i="18" s="1"/>
  <c r="L319" i="18"/>
  <c r="N319" i="18" s="1"/>
  <c r="Q32" i="18"/>
  <c r="M32" i="18"/>
  <c r="O32" i="18" s="1"/>
  <c r="L32" i="18"/>
  <c r="N32" i="18" s="1"/>
  <c r="Q391" i="18"/>
  <c r="M391" i="18"/>
  <c r="O391" i="18" s="1"/>
  <c r="L391" i="18"/>
  <c r="N391" i="18" s="1"/>
  <c r="Q178" i="18"/>
  <c r="M178" i="18"/>
  <c r="O178" i="18" s="1"/>
  <c r="L178" i="18"/>
  <c r="N178" i="18" s="1"/>
  <c r="Q300" i="18"/>
  <c r="M300" i="18"/>
  <c r="O300" i="18" s="1"/>
  <c r="L300" i="18"/>
  <c r="N300" i="18" s="1"/>
  <c r="Q381" i="18"/>
  <c r="M381" i="18"/>
  <c r="O381" i="18" s="1"/>
  <c r="L381" i="18"/>
  <c r="N381" i="18" s="1"/>
  <c r="Q334" i="18"/>
  <c r="M334" i="18"/>
  <c r="O334" i="18" s="1"/>
  <c r="L334" i="18"/>
  <c r="N334" i="18" s="1"/>
  <c r="Q347" i="18"/>
  <c r="M347" i="18"/>
  <c r="O347" i="18" s="1"/>
  <c r="L347" i="18"/>
  <c r="N347" i="18" s="1"/>
  <c r="Q325" i="18"/>
  <c r="M325" i="18"/>
  <c r="O325" i="18" s="1"/>
  <c r="L325" i="18"/>
  <c r="N325" i="18" s="1"/>
  <c r="Q187" i="18"/>
  <c r="M187" i="18"/>
  <c r="O187" i="18" s="1"/>
  <c r="L187" i="18"/>
  <c r="N187" i="18" s="1"/>
  <c r="Q321" i="18"/>
  <c r="M321" i="18"/>
  <c r="O321" i="18" s="1"/>
  <c r="L321" i="18"/>
  <c r="N321" i="18" s="1"/>
  <c r="Q356" i="18"/>
  <c r="M356" i="18"/>
  <c r="O356" i="18" s="1"/>
  <c r="L356" i="18"/>
  <c r="N356" i="18" s="1"/>
  <c r="Q63" i="18"/>
  <c r="M63" i="18"/>
  <c r="O63" i="18" s="1"/>
  <c r="L63" i="18"/>
  <c r="N63" i="18" s="1"/>
  <c r="Q387" i="18"/>
  <c r="M387" i="18"/>
  <c r="O387" i="18" s="1"/>
  <c r="L387" i="18"/>
  <c r="N387" i="18" s="1"/>
  <c r="Q122" i="18"/>
  <c r="M122" i="18"/>
  <c r="O122" i="18" s="1"/>
  <c r="L122" i="18"/>
  <c r="N122" i="18" s="1"/>
  <c r="Q297" i="18"/>
  <c r="M297" i="18"/>
  <c r="O297" i="18" s="1"/>
  <c r="L297" i="18"/>
  <c r="N297" i="18" s="1"/>
  <c r="Q185" i="18"/>
  <c r="M185" i="18"/>
  <c r="O185" i="18" s="1"/>
  <c r="L185" i="18"/>
  <c r="N185" i="18" s="1"/>
  <c r="Q85" i="18"/>
  <c r="M85" i="18"/>
  <c r="O85" i="18" s="1"/>
  <c r="L85" i="18"/>
  <c r="N85" i="18" s="1"/>
  <c r="Q60" i="18"/>
  <c r="M60" i="18"/>
  <c r="O60" i="18" s="1"/>
  <c r="L60" i="18"/>
  <c r="N60" i="18" s="1"/>
  <c r="Q220" i="18"/>
  <c r="M220" i="18"/>
  <c r="O220" i="18" s="1"/>
  <c r="L220" i="18"/>
  <c r="N220" i="18" s="1"/>
  <c r="Q248" i="18"/>
  <c r="M248" i="18"/>
  <c r="O248" i="18" s="1"/>
  <c r="L248" i="18"/>
  <c r="N248" i="18" s="1"/>
  <c r="Q357" i="18"/>
  <c r="M357" i="18"/>
  <c r="O357" i="18" s="1"/>
  <c r="L357" i="18"/>
  <c r="N357" i="18" s="1"/>
  <c r="Q313" i="18"/>
  <c r="M313" i="18"/>
  <c r="O313" i="18" s="1"/>
  <c r="L313" i="18"/>
  <c r="N313" i="18" s="1"/>
  <c r="Q268" i="18"/>
  <c r="M268" i="18"/>
  <c r="O268" i="18" s="1"/>
  <c r="L268" i="18"/>
  <c r="N268" i="18" s="1"/>
  <c r="Q53" i="18"/>
  <c r="M53" i="18"/>
  <c r="O53" i="18" s="1"/>
  <c r="L53" i="18"/>
  <c r="N53" i="18" s="1"/>
  <c r="Q262" i="18"/>
  <c r="M262" i="18"/>
  <c r="O262" i="18" s="1"/>
  <c r="L262" i="18"/>
  <c r="N262" i="18" s="1"/>
  <c r="Q303" i="18"/>
  <c r="M303" i="18"/>
  <c r="O303" i="18" s="1"/>
  <c r="L303" i="18"/>
  <c r="N303" i="18" s="1"/>
  <c r="Q249" i="18"/>
  <c r="M249" i="18"/>
  <c r="O249" i="18" s="1"/>
  <c r="L249" i="18"/>
  <c r="N249" i="18" s="1"/>
  <c r="Q217" i="18"/>
  <c r="M217" i="18"/>
  <c r="O217" i="18" s="1"/>
  <c r="L217" i="18"/>
  <c r="N217" i="18" s="1"/>
  <c r="Q138" i="18"/>
  <c r="M138" i="18"/>
  <c r="O138" i="18" s="1"/>
  <c r="L138" i="18"/>
  <c r="N138" i="18" s="1"/>
  <c r="Q292" i="18"/>
  <c r="M292" i="18"/>
  <c r="O292" i="18" s="1"/>
  <c r="L292" i="18"/>
  <c r="N292" i="18" s="1"/>
  <c r="Q346" i="18"/>
  <c r="M346" i="18"/>
  <c r="O346" i="18" s="1"/>
  <c r="L346" i="18"/>
  <c r="N346" i="18" s="1"/>
  <c r="Q379" i="18"/>
  <c r="M379" i="18"/>
  <c r="O379" i="18" s="1"/>
  <c r="L379" i="18"/>
  <c r="N379" i="18" s="1"/>
  <c r="Q257" i="18"/>
  <c r="M257" i="18"/>
  <c r="O257" i="18" s="1"/>
  <c r="L257" i="18"/>
  <c r="N257" i="18" s="1"/>
  <c r="Q390" i="18"/>
  <c r="M390" i="18"/>
  <c r="O390" i="18" s="1"/>
  <c r="L390" i="18"/>
  <c r="N390" i="18" s="1"/>
  <c r="Q386" i="18"/>
  <c r="M386" i="18"/>
  <c r="O386" i="18" s="1"/>
  <c r="L386" i="18"/>
  <c r="N386" i="18" s="1"/>
  <c r="Q246" i="18"/>
  <c r="M246" i="18"/>
  <c r="O246" i="18" s="1"/>
  <c r="L246" i="18"/>
  <c r="N246" i="18" s="1"/>
  <c r="Q304" i="18"/>
  <c r="M304" i="18"/>
  <c r="O304" i="18" s="1"/>
  <c r="L304" i="18"/>
  <c r="N304" i="18" s="1"/>
  <c r="Q377" i="18"/>
  <c r="M377" i="18"/>
  <c r="O377" i="18" s="1"/>
  <c r="L377" i="18"/>
  <c r="N377" i="18" s="1"/>
  <c r="Q306" i="18"/>
  <c r="M306" i="18"/>
  <c r="O306" i="18" s="1"/>
  <c r="L306" i="18"/>
  <c r="N306" i="18" s="1"/>
  <c r="Q274" i="18"/>
  <c r="M274" i="18"/>
  <c r="O274" i="18" s="1"/>
  <c r="L274" i="18"/>
  <c r="N274" i="18" s="1"/>
  <c r="Q212" i="18"/>
  <c r="M212" i="18"/>
  <c r="O212" i="18" s="1"/>
  <c r="L212" i="18"/>
  <c r="N212" i="18" s="1"/>
  <c r="Q261" i="18"/>
  <c r="M261" i="18"/>
  <c r="O261" i="18" s="1"/>
  <c r="L261" i="18"/>
  <c r="N261" i="18" s="1"/>
  <c r="Q241" i="18"/>
  <c r="M241" i="18"/>
  <c r="O241" i="18" s="1"/>
  <c r="L241" i="18"/>
  <c r="N241" i="18" s="1"/>
  <c r="Q353" i="18"/>
  <c r="M353" i="18"/>
  <c r="O353" i="18" s="1"/>
  <c r="L353" i="18"/>
  <c r="N353" i="18" s="1"/>
  <c r="Q360" i="18"/>
  <c r="M360" i="18"/>
  <c r="O360" i="18" s="1"/>
  <c r="L360" i="18"/>
  <c r="N360" i="18" s="1"/>
  <c r="Q367" i="18"/>
  <c r="M367" i="18"/>
  <c r="O367" i="18" s="1"/>
  <c r="L367" i="18"/>
  <c r="N367" i="18" s="1"/>
  <c r="Q6" i="18"/>
  <c r="M6" i="18"/>
  <c r="O6" i="18" s="1"/>
  <c r="L6" i="18"/>
  <c r="N6" i="18" s="1"/>
  <c r="Q276" i="18"/>
  <c r="M276" i="18"/>
  <c r="O276" i="18" s="1"/>
  <c r="L276" i="18"/>
  <c r="N276" i="18" s="1"/>
  <c r="Q120" i="18"/>
  <c r="M120" i="18"/>
  <c r="O120" i="18" s="1"/>
  <c r="L120" i="18"/>
  <c r="N120" i="18" s="1"/>
  <c r="Q277" i="18"/>
  <c r="M277" i="18"/>
  <c r="O277" i="18" s="1"/>
  <c r="L277" i="18"/>
  <c r="N277" i="18" s="1"/>
  <c r="Q294" i="18"/>
  <c r="M294" i="18"/>
  <c r="O294" i="18" s="1"/>
  <c r="L294" i="18"/>
  <c r="N294" i="18" s="1"/>
  <c r="Q310" i="18"/>
  <c r="M310" i="18"/>
  <c r="O310" i="18" s="1"/>
  <c r="L310" i="18"/>
  <c r="N310" i="18" s="1"/>
  <c r="Q136" i="18"/>
  <c r="M136" i="18"/>
  <c r="O136" i="18" s="1"/>
  <c r="L136" i="18"/>
  <c r="N136" i="18" s="1"/>
  <c r="Q188" i="18"/>
  <c r="M188" i="18"/>
  <c r="O188" i="18" s="1"/>
  <c r="L188" i="18"/>
  <c r="N188" i="18" s="1"/>
  <c r="Q312" i="18"/>
  <c r="M312" i="18"/>
  <c r="O312" i="18" s="1"/>
  <c r="L312" i="18"/>
  <c r="N312" i="18" s="1"/>
  <c r="Q366" i="18"/>
  <c r="M366" i="18"/>
  <c r="O366" i="18" s="1"/>
  <c r="L366" i="18"/>
  <c r="N366" i="18" s="1"/>
  <c r="Q8" i="18"/>
  <c r="M8" i="18"/>
  <c r="O8" i="18" s="1"/>
  <c r="L8" i="18"/>
  <c r="N8" i="18" s="1"/>
  <c r="Q315" i="18"/>
  <c r="M315" i="18"/>
  <c r="O315" i="18" s="1"/>
  <c r="L315" i="18"/>
  <c r="N315" i="18" s="1"/>
  <c r="Q197" i="18"/>
  <c r="M197" i="18"/>
  <c r="O197" i="18" s="1"/>
  <c r="L197" i="18"/>
  <c r="N197" i="18" s="1"/>
  <c r="Q282" i="18"/>
  <c r="M282" i="18"/>
  <c r="O282" i="18" s="1"/>
  <c r="L282" i="18"/>
  <c r="N282" i="18" s="1"/>
  <c r="Q317" i="18"/>
  <c r="M317" i="18"/>
  <c r="O317" i="18" s="1"/>
  <c r="L317" i="18"/>
  <c r="N317" i="18" s="1"/>
  <c r="Q328" i="18"/>
  <c r="M328" i="18"/>
  <c r="O328" i="18" s="1"/>
  <c r="L328" i="18"/>
  <c r="N328" i="18" s="1"/>
  <c r="Q298" i="18"/>
  <c r="M298" i="18"/>
  <c r="O298" i="18" s="1"/>
  <c r="L298" i="18"/>
  <c r="N298" i="18" s="1"/>
  <c r="Q371" i="18"/>
  <c r="M371" i="18"/>
  <c r="O371" i="18" s="1"/>
  <c r="L371" i="18"/>
  <c r="N371" i="18" s="1"/>
  <c r="Q295" i="18"/>
  <c r="M295" i="18"/>
  <c r="O295" i="18" s="1"/>
  <c r="L295" i="18"/>
  <c r="N295" i="18" s="1"/>
  <c r="Q286" i="18"/>
  <c r="M286" i="18"/>
  <c r="O286" i="18" s="1"/>
  <c r="L286" i="18"/>
  <c r="N286" i="18" s="1"/>
  <c r="Q355" i="18"/>
  <c r="M355" i="18"/>
  <c r="O355" i="18" s="1"/>
  <c r="L355" i="18"/>
  <c r="N355" i="18" s="1"/>
  <c r="Q388" i="18"/>
  <c r="M388" i="18"/>
  <c r="O388" i="18" s="1"/>
  <c r="L388" i="18"/>
  <c r="N388" i="18" s="1"/>
  <c r="Q348" i="18"/>
  <c r="M348" i="18"/>
  <c r="O348" i="18" s="1"/>
  <c r="L348" i="18"/>
  <c r="N348" i="18" s="1"/>
  <c r="Q341" i="18"/>
  <c r="M341" i="18"/>
  <c r="O341" i="18" s="1"/>
  <c r="L341" i="18"/>
  <c r="N341" i="18" s="1"/>
  <c r="Q263" i="18"/>
  <c r="M263" i="18"/>
  <c r="O263" i="18" s="1"/>
  <c r="L263" i="18"/>
  <c r="N263" i="18" s="1"/>
  <c r="Q269" i="18"/>
  <c r="M269" i="18"/>
  <c r="O269" i="18" s="1"/>
  <c r="L269" i="18"/>
  <c r="N269" i="18" s="1"/>
  <c r="Q340" i="18"/>
  <c r="M340" i="18"/>
  <c r="O340" i="18" s="1"/>
  <c r="L340" i="18"/>
  <c r="N340" i="18" s="1"/>
  <c r="Q141" i="18"/>
  <c r="M141" i="18"/>
  <c r="O141" i="18" s="1"/>
  <c r="L141" i="18"/>
  <c r="N141" i="18" s="1"/>
  <c r="Q213" i="18"/>
  <c r="M213" i="18"/>
  <c r="O213" i="18" s="1"/>
  <c r="L213" i="18"/>
  <c r="N213" i="18" s="1"/>
  <c r="Q114" i="18"/>
  <c r="M114" i="18"/>
  <c r="O114" i="18" s="1"/>
  <c r="L114" i="18"/>
  <c r="N114" i="18" s="1"/>
  <c r="Q375" i="18"/>
  <c r="M375" i="18"/>
  <c r="O375" i="18" s="1"/>
  <c r="L375" i="18"/>
  <c r="N375" i="18" s="1"/>
  <c r="Q324" i="18"/>
  <c r="M324" i="18"/>
  <c r="O324" i="18" s="1"/>
  <c r="L324" i="18"/>
  <c r="N324" i="18" s="1"/>
  <c r="Q266" i="18"/>
  <c r="M266" i="18"/>
  <c r="O266" i="18" s="1"/>
  <c r="L266" i="18"/>
  <c r="N266" i="18" s="1"/>
  <c r="Q370" i="18"/>
  <c r="M370" i="18"/>
  <c r="O370" i="18" s="1"/>
  <c r="L370" i="18"/>
  <c r="N370" i="18" s="1"/>
  <c r="Q250" i="18"/>
  <c r="M250" i="18"/>
  <c r="O250" i="18" s="1"/>
  <c r="L250" i="18"/>
  <c r="N250" i="18" s="1"/>
  <c r="Q316" i="18"/>
  <c r="M316" i="18"/>
  <c r="O316" i="18" s="1"/>
  <c r="L316" i="18"/>
  <c r="N316" i="18" s="1"/>
  <c r="Q245" i="18"/>
  <c r="M245" i="18"/>
  <c r="O245" i="18" s="1"/>
  <c r="L245" i="18"/>
  <c r="N245" i="18" s="1"/>
  <c r="Q322" i="18"/>
  <c r="M322" i="18"/>
  <c r="O322" i="18" s="1"/>
  <c r="L322" i="18"/>
  <c r="N322" i="18" s="1"/>
  <c r="Q281" i="18"/>
  <c r="M281" i="18"/>
  <c r="O281" i="18" s="1"/>
  <c r="L281" i="18"/>
  <c r="N281" i="18" s="1"/>
  <c r="Q183" i="18"/>
  <c r="M183" i="18"/>
  <c r="O183" i="18" s="1"/>
  <c r="L183" i="18"/>
  <c r="N183" i="18" s="1"/>
  <c r="Q395" i="18"/>
  <c r="M395" i="18"/>
  <c r="O395" i="18" s="1"/>
  <c r="L395" i="18"/>
  <c r="N395" i="18" s="1"/>
  <c r="Q239" i="18"/>
  <c r="M239" i="18"/>
  <c r="O239" i="18" s="1"/>
  <c r="L239" i="18"/>
  <c r="N239" i="18" s="1"/>
  <c r="Q384" i="18"/>
  <c r="M384" i="18"/>
  <c r="O384" i="18" s="1"/>
  <c r="L384" i="18"/>
  <c r="N384" i="18" s="1"/>
  <c r="Q363" i="18"/>
  <c r="M363" i="18"/>
  <c r="O363" i="18" s="1"/>
  <c r="L363" i="18"/>
  <c r="N363" i="18" s="1"/>
  <c r="Q302" i="18"/>
  <c r="M302" i="18"/>
  <c r="O302" i="18" s="1"/>
  <c r="L302" i="18"/>
  <c r="N302" i="18" s="1"/>
  <c r="Q335" i="18"/>
  <c r="M335" i="18"/>
  <c r="O335" i="18" s="1"/>
  <c r="L335" i="18"/>
  <c r="N335" i="18" s="1"/>
  <c r="Q342" i="18"/>
  <c r="M342" i="18"/>
  <c r="O342" i="18" s="1"/>
  <c r="L342" i="18"/>
  <c r="N342" i="18" s="1"/>
  <c r="Q255" i="18"/>
  <c r="M255" i="18"/>
  <c r="O255" i="18" s="1"/>
  <c r="L255" i="18"/>
  <c r="N255" i="18" s="1"/>
  <c r="Q95" i="18"/>
  <c r="M95" i="18"/>
  <c r="O95" i="18" s="1"/>
  <c r="L95" i="18"/>
  <c r="N95" i="18" s="1"/>
  <c r="Q156" i="18"/>
  <c r="M156" i="18"/>
  <c r="O156" i="18" s="1"/>
  <c r="L156" i="18"/>
  <c r="N156" i="18" s="1"/>
  <c r="Q280" i="18"/>
  <c r="M280" i="18"/>
  <c r="O280" i="18" s="1"/>
  <c r="L280" i="18"/>
  <c r="N280" i="18" s="1"/>
  <c r="Q171" i="18"/>
  <c r="M171" i="18"/>
  <c r="O171" i="18" s="1"/>
  <c r="L171" i="18"/>
  <c r="N171" i="18" s="1"/>
  <c r="Q296" i="18"/>
  <c r="M296" i="18"/>
  <c r="O296" i="18" s="1"/>
  <c r="L296" i="18"/>
  <c r="N296" i="18" s="1"/>
  <c r="Q311" i="18"/>
  <c r="M311" i="18"/>
  <c r="O311" i="18" s="1"/>
  <c r="L311" i="18"/>
  <c r="N311" i="18" s="1"/>
  <c r="Q244" i="18"/>
  <c r="M244" i="18"/>
  <c r="O244" i="18" s="1"/>
  <c r="L244" i="18"/>
  <c r="N244" i="18" s="1"/>
  <c r="Q278" i="18"/>
  <c r="M278" i="18"/>
  <c r="O278" i="18" s="1"/>
  <c r="L278" i="18"/>
  <c r="N278" i="18" s="1"/>
  <c r="Q394" i="18"/>
  <c r="M394" i="18"/>
  <c r="O394" i="18" s="1"/>
  <c r="L394" i="18"/>
  <c r="N394" i="18" s="1"/>
  <c r="Q323" i="18"/>
  <c r="M323" i="18"/>
  <c r="O323" i="18" s="1"/>
  <c r="L323" i="18"/>
  <c r="N323" i="18" s="1"/>
  <c r="Q237" i="18"/>
  <c r="M237" i="18"/>
  <c r="O237" i="18" s="1"/>
  <c r="L237" i="18"/>
  <c r="N237" i="18" s="1"/>
  <c r="Q343" i="18"/>
  <c r="M343" i="18"/>
  <c r="O343" i="18" s="1"/>
  <c r="L343" i="18"/>
  <c r="N343" i="18" s="1"/>
  <c r="Q345" i="18"/>
  <c r="M345" i="18"/>
  <c r="O345" i="18" s="1"/>
  <c r="L345" i="18"/>
  <c r="N345" i="18" s="1"/>
  <c r="Q365" i="18"/>
  <c r="M365" i="18"/>
  <c r="O365" i="18" s="1"/>
  <c r="L365" i="18"/>
  <c r="N365" i="18" s="1"/>
  <c r="Q362" i="18"/>
  <c r="M362" i="18"/>
  <c r="O362" i="18" s="1"/>
  <c r="L362" i="18"/>
  <c r="N362" i="18" s="1"/>
  <c r="Q272" i="18"/>
  <c r="M272" i="18"/>
  <c r="O272" i="18" s="1"/>
  <c r="L272" i="18"/>
  <c r="N272" i="18" s="1"/>
  <c r="Q332" i="18"/>
  <c r="M332" i="18"/>
  <c r="O332" i="18" s="1"/>
  <c r="L332" i="18"/>
  <c r="N332" i="18" s="1"/>
  <c r="Q256" i="18"/>
  <c r="M256" i="18"/>
  <c r="O256" i="18" s="1"/>
  <c r="L256" i="18"/>
  <c r="N256" i="18" s="1"/>
  <c r="Q351" i="18"/>
  <c r="M351" i="18"/>
  <c r="O351" i="18" s="1"/>
  <c r="L351" i="18"/>
  <c r="N351" i="18" s="1"/>
  <c r="Q267" i="18"/>
  <c r="M267" i="18"/>
  <c r="O267" i="18" s="1"/>
  <c r="L267" i="18"/>
  <c r="N267" i="18" s="1"/>
  <c r="Q151" i="18"/>
  <c r="M151" i="18"/>
  <c r="O151" i="18" s="1"/>
  <c r="L151" i="18"/>
  <c r="N151" i="18" s="1"/>
  <c r="Q80" i="18"/>
  <c r="M80" i="18"/>
  <c r="O80" i="18" s="1"/>
  <c r="L80" i="18"/>
  <c r="N80" i="18" s="1"/>
  <c r="Q214" i="18"/>
  <c r="M214" i="18"/>
  <c r="O214" i="18" s="1"/>
  <c r="L214" i="18"/>
  <c r="N214" i="18" s="1"/>
  <c r="Q208" i="18"/>
  <c r="M208" i="18"/>
  <c r="O208" i="18" s="1"/>
  <c r="L208" i="18"/>
  <c r="N208" i="18" s="1"/>
  <c r="Q79" i="18"/>
  <c r="M79" i="18"/>
  <c r="O79" i="18" s="1"/>
  <c r="L79" i="18"/>
  <c r="N79" i="18" s="1"/>
  <c r="Q116" i="18"/>
  <c r="M116" i="18"/>
  <c r="O116" i="18" s="1"/>
  <c r="L116" i="18"/>
  <c r="N116" i="18" s="1"/>
  <c r="Q113" i="18"/>
  <c r="M113" i="18"/>
  <c r="O113" i="18" s="1"/>
  <c r="L113" i="18"/>
  <c r="N113" i="18" s="1"/>
  <c r="Q170" i="18"/>
  <c r="M170" i="18"/>
  <c r="O170" i="18" s="1"/>
  <c r="L170" i="18"/>
  <c r="N170" i="18" s="1"/>
  <c r="Q65" i="18"/>
  <c r="M65" i="18"/>
  <c r="O65" i="18" s="1"/>
  <c r="L65" i="18"/>
  <c r="N65" i="18" s="1"/>
  <c r="Q224" i="18"/>
  <c r="M224" i="18"/>
  <c r="O224" i="18" s="1"/>
  <c r="L224" i="18"/>
  <c r="N224" i="18" s="1"/>
  <c r="Q227" i="18"/>
  <c r="M227" i="18"/>
  <c r="O227" i="18" s="1"/>
  <c r="L227" i="18"/>
  <c r="N227" i="18" s="1"/>
  <c r="Q58" i="18"/>
  <c r="M58" i="18"/>
  <c r="O58" i="18" s="1"/>
  <c r="L58" i="18"/>
  <c r="N58" i="18" s="1"/>
  <c r="Q17" i="18"/>
  <c r="M17" i="18"/>
  <c r="O17" i="18" s="1"/>
  <c r="L17" i="18"/>
  <c r="N17" i="18" s="1"/>
  <c r="Q221" i="18"/>
  <c r="M221" i="18"/>
  <c r="O221" i="18" s="1"/>
  <c r="L221" i="18"/>
  <c r="N221" i="18" s="1"/>
  <c r="Q180" i="18"/>
  <c r="M180" i="18"/>
  <c r="O180" i="18" s="1"/>
  <c r="L180" i="18"/>
  <c r="N180" i="18" s="1"/>
  <c r="Q31" i="18"/>
  <c r="M31" i="18"/>
  <c r="O31" i="18" s="1"/>
  <c r="L31" i="18"/>
  <c r="N31" i="18" s="1"/>
  <c r="Q211" i="18"/>
  <c r="M211" i="18"/>
  <c r="O211" i="18" s="1"/>
  <c r="L211" i="18"/>
  <c r="N211" i="18" s="1"/>
  <c r="Q27" i="18"/>
  <c r="M27" i="18"/>
  <c r="O27" i="18" s="1"/>
  <c r="L27" i="18"/>
  <c r="N27" i="18" s="1"/>
  <c r="Q132" i="18"/>
  <c r="M132" i="18"/>
  <c r="O132" i="18" s="1"/>
  <c r="L132" i="18"/>
  <c r="N132" i="18" s="1"/>
  <c r="Q134" i="18"/>
  <c r="M134" i="18"/>
  <c r="O134" i="18" s="1"/>
  <c r="L134" i="18"/>
  <c r="N134" i="18" s="1"/>
  <c r="Q169" i="18"/>
  <c r="M169" i="18"/>
  <c r="O169" i="18" s="1"/>
  <c r="L169" i="18"/>
  <c r="N169" i="18" s="1"/>
  <c r="Q103" i="18"/>
  <c r="M103" i="18"/>
  <c r="O103" i="18" s="1"/>
  <c r="L103" i="18"/>
  <c r="N103" i="18" s="1"/>
  <c r="Q86" i="18"/>
  <c r="M86" i="18"/>
  <c r="O86" i="18" s="1"/>
  <c r="L86" i="18"/>
  <c r="N86" i="18" s="1"/>
  <c r="Q121" i="18"/>
  <c r="M121" i="18"/>
  <c r="O121" i="18" s="1"/>
  <c r="L121" i="18"/>
  <c r="N121" i="18" s="1"/>
  <c r="Q195" i="18"/>
  <c r="M195" i="18"/>
  <c r="O195" i="18" s="1"/>
  <c r="L195" i="18"/>
  <c r="N195" i="18" s="1"/>
  <c r="Q50" i="18"/>
  <c r="M50" i="18"/>
  <c r="O50" i="18" s="1"/>
  <c r="L50" i="18"/>
  <c r="N50" i="18" s="1"/>
  <c r="Q110" i="18"/>
  <c r="M110" i="18"/>
  <c r="O110" i="18" s="1"/>
  <c r="L110" i="18"/>
  <c r="N110" i="18" s="1"/>
  <c r="Q34" i="18"/>
  <c r="M34" i="18"/>
  <c r="O34" i="18" s="1"/>
  <c r="L34" i="18"/>
  <c r="N34" i="18" s="1"/>
  <c r="Q149" i="18"/>
  <c r="M149" i="18"/>
  <c r="O149" i="18" s="1"/>
  <c r="L149" i="18"/>
  <c r="N149" i="18" s="1"/>
  <c r="Q83" i="18"/>
  <c r="M83" i="18"/>
  <c r="O83" i="18" s="1"/>
  <c r="L83" i="18"/>
  <c r="N83" i="18" s="1"/>
  <c r="Q20" i="18"/>
  <c r="M20" i="18"/>
  <c r="O20" i="18" s="1"/>
  <c r="L20" i="18"/>
  <c r="N20" i="18" s="1"/>
  <c r="Q119" i="18"/>
  <c r="M119" i="18"/>
  <c r="O119" i="18" s="1"/>
  <c r="L119" i="18"/>
  <c r="N119" i="18" s="1"/>
  <c r="Q30" i="18"/>
  <c r="M30" i="18"/>
  <c r="O30" i="18" s="1"/>
  <c r="L30" i="18"/>
  <c r="N30" i="18" s="1"/>
  <c r="Q140" i="18"/>
  <c r="M140" i="18"/>
  <c r="O140" i="18" s="1"/>
  <c r="L140" i="18"/>
  <c r="N140" i="18" s="1"/>
  <c r="Q107" i="18"/>
  <c r="M107" i="18"/>
  <c r="O107" i="18" s="1"/>
  <c r="L107" i="18"/>
  <c r="N107" i="18" s="1"/>
  <c r="Q11" i="18"/>
  <c r="M11" i="18"/>
  <c r="O11" i="18" s="1"/>
  <c r="L11" i="18"/>
  <c r="N11" i="18" s="1"/>
  <c r="Q15" i="18"/>
  <c r="M15" i="18"/>
  <c r="O15" i="18" s="1"/>
  <c r="L15" i="18"/>
  <c r="N15" i="18" s="1"/>
  <c r="Q92" i="18"/>
  <c r="M92" i="18"/>
  <c r="O92" i="18" s="1"/>
  <c r="L92" i="18"/>
  <c r="N92" i="18" s="1"/>
  <c r="Q2" i="18"/>
  <c r="M2" i="18"/>
  <c r="O2" i="18" s="1"/>
  <c r="L2" i="18"/>
  <c r="N2" i="18" s="1"/>
  <c r="Q168" i="18"/>
  <c r="M168" i="18"/>
  <c r="O168" i="18" s="1"/>
  <c r="L168" i="18"/>
  <c r="N168" i="18" s="1"/>
  <c r="Q82" i="18"/>
  <c r="M82" i="18"/>
  <c r="O82" i="18" s="1"/>
  <c r="L82" i="18"/>
  <c r="N82" i="18" s="1"/>
  <c r="Q135" i="18"/>
  <c r="M135" i="18"/>
  <c r="O135" i="18" s="1"/>
  <c r="L135" i="18"/>
  <c r="N135" i="18" s="1"/>
  <c r="Q97" i="18"/>
  <c r="M97" i="18"/>
  <c r="O97" i="18" s="1"/>
  <c r="L97" i="18"/>
  <c r="N97" i="18" s="1"/>
  <c r="Q148" i="18"/>
  <c r="M148" i="18"/>
  <c r="O148" i="18" s="1"/>
  <c r="L148" i="18"/>
  <c r="N148" i="18" s="1"/>
  <c r="Q228" i="18"/>
  <c r="M228" i="18"/>
  <c r="O228" i="18" s="1"/>
  <c r="L228" i="18"/>
  <c r="N228" i="18" s="1"/>
  <c r="Q23" i="18"/>
  <c r="M23" i="18"/>
  <c r="O23" i="18" s="1"/>
  <c r="L23" i="18"/>
  <c r="N23" i="18" s="1"/>
  <c r="Q129" i="18"/>
  <c r="M129" i="18"/>
  <c r="O129" i="18" s="1"/>
  <c r="L129" i="18"/>
  <c r="N129" i="18" s="1"/>
  <c r="Q51" i="18"/>
  <c r="M51" i="18"/>
  <c r="O51" i="18" s="1"/>
  <c r="L51" i="18"/>
  <c r="N51" i="18" s="1"/>
  <c r="Q35" i="18"/>
  <c r="M35" i="18"/>
  <c r="O35" i="18" s="1"/>
  <c r="L35" i="18"/>
  <c r="N35" i="18" s="1"/>
  <c r="Q28" i="18"/>
  <c r="M28" i="18"/>
  <c r="O28" i="18" s="1"/>
  <c r="L28" i="18"/>
  <c r="N28" i="18" s="1"/>
  <c r="Q94" i="18"/>
  <c r="M94" i="18"/>
  <c r="O94" i="18" s="1"/>
  <c r="L94" i="18"/>
  <c r="N94" i="18" s="1"/>
  <c r="Q49" i="18"/>
  <c r="M49" i="18"/>
  <c r="O49" i="18" s="1"/>
  <c r="L49" i="18"/>
  <c r="N49" i="18" s="1"/>
  <c r="Q26" i="18"/>
  <c r="M26" i="18"/>
  <c r="O26" i="18" s="1"/>
  <c r="L26" i="18"/>
  <c r="N26" i="18" s="1"/>
  <c r="Q47" i="18"/>
  <c r="M47" i="18"/>
  <c r="O47" i="18" s="1"/>
  <c r="L47" i="18"/>
  <c r="N47" i="18" s="1"/>
  <c r="Q81" i="18"/>
  <c r="M81" i="18"/>
  <c r="O81" i="18" s="1"/>
  <c r="L81" i="18"/>
  <c r="N81" i="18" s="1"/>
  <c r="Q194" i="18"/>
  <c r="M194" i="18"/>
  <c r="O194" i="18" s="1"/>
  <c r="L194" i="18"/>
  <c r="N194" i="18" s="1"/>
  <c r="Q179" i="18"/>
  <c r="M179" i="18"/>
  <c r="O179" i="18" s="1"/>
  <c r="L179" i="18"/>
  <c r="N179" i="18" s="1"/>
  <c r="Q177" i="18"/>
  <c r="M177" i="18"/>
  <c r="O177" i="18" s="1"/>
  <c r="L177" i="18"/>
  <c r="N177" i="18" s="1"/>
  <c r="Q176" i="18"/>
  <c r="M176" i="18"/>
  <c r="O176" i="18" s="1"/>
  <c r="L176" i="18"/>
  <c r="N176" i="18" s="1"/>
  <c r="Q77" i="18"/>
  <c r="M77" i="18"/>
  <c r="O77" i="18" s="1"/>
  <c r="L77" i="18"/>
  <c r="N77" i="18" s="1"/>
  <c r="Q9" i="18"/>
  <c r="M9" i="18"/>
  <c r="O9" i="18" s="1"/>
  <c r="L9" i="18"/>
  <c r="N9" i="18" s="1"/>
  <c r="Q59" i="18"/>
  <c r="M59" i="18"/>
  <c r="O59" i="18" s="1"/>
  <c r="L59" i="18"/>
  <c r="N59" i="18" s="1"/>
  <c r="Q128" i="18"/>
  <c r="M128" i="18"/>
  <c r="O128" i="18" s="1"/>
  <c r="L128" i="18"/>
  <c r="N128" i="18" s="1"/>
  <c r="Q3" i="18"/>
  <c r="M3" i="18"/>
  <c r="O3" i="18" s="1"/>
  <c r="L3" i="18"/>
  <c r="N3" i="18" s="1"/>
  <c r="Q167" i="18"/>
  <c r="M167" i="18"/>
  <c r="O167" i="18" s="1"/>
  <c r="L167" i="18"/>
  <c r="N167" i="18" s="1"/>
  <c r="Q124" i="18"/>
  <c r="M124" i="18"/>
  <c r="O124" i="18" s="1"/>
  <c r="L124" i="18"/>
  <c r="N124" i="18" s="1"/>
  <c r="Q72" i="18"/>
  <c r="M72" i="18"/>
  <c r="O72" i="18" s="1"/>
  <c r="L72" i="18"/>
  <c r="N72" i="18" s="1"/>
  <c r="Q52" i="18"/>
  <c r="M52" i="18"/>
  <c r="O52" i="18" s="1"/>
  <c r="L52" i="18"/>
  <c r="N52" i="18" s="1"/>
  <c r="Q230" i="18"/>
  <c r="M230" i="18"/>
  <c r="O230" i="18" s="1"/>
  <c r="L230" i="18"/>
  <c r="N230" i="18" s="1"/>
  <c r="Q56" i="18"/>
  <c r="M56" i="18"/>
  <c r="O56" i="18" s="1"/>
  <c r="L56" i="18"/>
  <c r="N56" i="18" s="1"/>
  <c r="Q22" i="18"/>
  <c r="M22" i="18"/>
  <c r="O22" i="18" s="1"/>
  <c r="L22" i="18"/>
  <c r="N22" i="18" s="1"/>
  <c r="Q223" i="18"/>
  <c r="M223" i="18"/>
  <c r="O223" i="18" s="1"/>
  <c r="L223" i="18"/>
  <c r="N223" i="18" s="1"/>
  <c r="Q229" i="18"/>
  <c r="M229" i="18"/>
  <c r="O229" i="18" s="1"/>
  <c r="L229" i="18"/>
  <c r="N229" i="18" s="1"/>
  <c r="Q5" i="18"/>
  <c r="M5" i="18"/>
  <c r="O5" i="18" s="1"/>
  <c r="L5" i="18"/>
  <c r="N5" i="18" s="1"/>
  <c r="Q76" i="18"/>
  <c r="M76" i="18"/>
  <c r="O76" i="18" s="1"/>
  <c r="L76" i="18"/>
  <c r="N76" i="18" s="1"/>
  <c r="Q202" i="18"/>
  <c r="M202" i="18"/>
  <c r="O202" i="18" s="1"/>
  <c r="L202" i="18"/>
  <c r="N202" i="18" s="1"/>
  <c r="Q175" i="18"/>
  <c r="M175" i="18"/>
  <c r="O175" i="18" s="1"/>
  <c r="L175" i="18"/>
  <c r="N175" i="18" s="1"/>
  <c r="Q201" i="18"/>
  <c r="M201" i="18"/>
  <c r="O201" i="18" s="1"/>
  <c r="L201" i="18"/>
  <c r="N201" i="18" s="1"/>
  <c r="Q125" i="18"/>
  <c r="M125" i="18"/>
  <c r="O125" i="18" s="1"/>
  <c r="L125" i="18"/>
  <c r="N125" i="18" s="1"/>
  <c r="Q204" i="18"/>
  <c r="M204" i="18"/>
  <c r="O204" i="18" s="1"/>
  <c r="L204" i="18"/>
  <c r="N204" i="18" s="1"/>
  <c r="Q216" i="18"/>
  <c r="M216" i="18"/>
  <c r="O216" i="18" s="1"/>
  <c r="L216" i="18"/>
  <c r="N216" i="18" s="1"/>
  <c r="Q127" i="18"/>
  <c r="M127" i="18"/>
  <c r="O127" i="18" s="1"/>
  <c r="L127" i="18"/>
  <c r="N127" i="18" s="1"/>
  <c r="Q78" i="18"/>
  <c r="M78" i="18"/>
  <c r="O78" i="18" s="1"/>
  <c r="L78" i="18"/>
  <c r="N78" i="18" s="1"/>
  <c r="Q45" i="18"/>
  <c r="M45" i="18"/>
  <c r="O45" i="18" s="1"/>
  <c r="L45" i="18"/>
  <c r="N45" i="18" s="1"/>
  <c r="Q68" i="18"/>
  <c r="M68" i="18"/>
  <c r="O68" i="18" s="1"/>
  <c r="L68" i="18"/>
  <c r="N68" i="18" s="1"/>
  <c r="Q75" i="18"/>
  <c r="M75" i="18"/>
  <c r="O75" i="18" s="1"/>
  <c r="L75" i="18"/>
  <c r="N75" i="18" s="1"/>
  <c r="Q143" i="18"/>
  <c r="M143" i="18"/>
  <c r="O143" i="18" s="1"/>
  <c r="L143" i="18"/>
  <c r="N143" i="18" s="1"/>
  <c r="Q62" i="18"/>
  <c r="M62" i="18"/>
  <c r="O62" i="18" s="1"/>
  <c r="L62" i="18"/>
  <c r="N62" i="18" s="1"/>
  <c r="Q7" i="18"/>
  <c r="M7" i="18"/>
  <c r="O7" i="18" s="1"/>
  <c r="L7" i="18"/>
  <c r="N7" i="18" s="1"/>
  <c r="Q29" i="18"/>
  <c r="M29" i="18"/>
  <c r="O29" i="18" s="1"/>
  <c r="L29" i="18"/>
  <c r="N29" i="18" s="1"/>
  <c r="Q12" i="18"/>
  <c r="M12" i="18"/>
  <c r="O12" i="18" s="1"/>
  <c r="L12" i="18"/>
  <c r="N12" i="18" s="1"/>
  <c r="Q105" i="18"/>
  <c r="M105" i="18"/>
  <c r="O105" i="18" s="1"/>
  <c r="L105" i="18"/>
  <c r="N105" i="18" s="1"/>
  <c r="Q231" i="18"/>
  <c r="M231" i="18"/>
  <c r="O231" i="18" s="1"/>
  <c r="L231" i="18"/>
  <c r="N231" i="18" s="1"/>
  <c r="Q163" i="18"/>
  <c r="M163" i="18"/>
  <c r="O163" i="18" s="1"/>
  <c r="L163" i="18"/>
  <c r="N163" i="18" s="1"/>
  <c r="Q126" i="18"/>
  <c r="M126" i="18"/>
  <c r="O126" i="18" s="1"/>
  <c r="L126" i="18"/>
  <c r="N126" i="18" s="1"/>
  <c r="Q184" i="18"/>
  <c r="M184" i="18"/>
  <c r="O184" i="18" s="1"/>
  <c r="L184" i="18"/>
  <c r="N184" i="18" s="1"/>
  <c r="Q182" i="18"/>
  <c r="M182" i="18"/>
  <c r="O182" i="18" s="1"/>
  <c r="L182" i="18"/>
  <c r="N182" i="18" s="1"/>
  <c r="Q233" i="18"/>
  <c r="M233" i="18"/>
  <c r="O233" i="18" s="1"/>
  <c r="L233" i="18"/>
  <c r="N233" i="18" s="1"/>
  <c r="Q209" i="18"/>
  <c r="M209" i="18"/>
  <c r="O209" i="18" s="1"/>
  <c r="L209" i="18"/>
  <c r="N209" i="18" s="1"/>
  <c r="Q117" i="18"/>
  <c r="M117" i="18"/>
  <c r="O117" i="18" s="1"/>
  <c r="L117" i="18"/>
  <c r="N117" i="18" s="1"/>
  <c r="Q210" i="18"/>
  <c r="M210" i="18"/>
  <c r="O210" i="18" s="1"/>
  <c r="L210" i="18"/>
  <c r="N210" i="18" s="1"/>
  <c r="Q101" i="18"/>
  <c r="M101" i="18"/>
  <c r="O101" i="18" s="1"/>
  <c r="L101" i="18"/>
  <c r="N101" i="18" s="1"/>
  <c r="Q64" i="18"/>
  <c r="M64" i="18"/>
  <c r="O64" i="18" s="1"/>
  <c r="L64" i="18"/>
  <c r="N64" i="18" s="1"/>
  <c r="Q153" i="18"/>
  <c r="M153" i="18"/>
  <c r="O153" i="18" s="1"/>
  <c r="L153" i="18"/>
  <c r="N153" i="18" s="1"/>
  <c r="Q133" i="18"/>
  <c r="M133" i="18"/>
  <c r="O133" i="18" s="1"/>
  <c r="L133" i="18"/>
  <c r="N133" i="18" s="1"/>
  <c r="Q102" i="18"/>
  <c r="M102" i="18"/>
  <c r="O102" i="18" s="1"/>
  <c r="L102" i="18"/>
  <c r="N102" i="18" s="1"/>
  <c r="Q147" i="18"/>
  <c r="M147" i="18"/>
  <c r="O147" i="18" s="1"/>
  <c r="L147" i="18"/>
  <c r="N147" i="18" s="1"/>
  <c r="Q158" i="18"/>
  <c r="M158" i="18"/>
  <c r="O158" i="18" s="1"/>
  <c r="L158" i="18"/>
  <c r="N158" i="18" s="1"/>
  <c r="Q39" i="18"/>
  <c r="M39" i="18"/>
  <c r="O39" i="18" s="1"/>
  <c r="L39" i="18"/>
  <c r="N39" i="18" s="1"/>
  <c r="Q206" i="18"/>
  <c r="M206" i="18"/>
  <c r="O206" i="18" s="1"/>
  <c r="L206" i="18"/>
  <c r="N206" i="18" s="1"/>
  <c r="Q161" i="18"/>
  <c r="M161" i="18"/>
  <c r="O161" i="18" s="1"/>
  <c r="L161" i="18"/>
  <c r="N161" i="18" s="1"/>
  <c r="Q189" i="18"/>
  <c r="M189" i="18"/>
  <c r="O189" i="18" s="1"/>
  <c r="L189" i="18"/>
  <c r="N189" i="18" s="1"/>
  <c r="Q18" i="18"/>
  <c r="M18" i="18"/>
  <c r="O18" i="18" s="1"/>
  <c r="L18" i="18"/>
  <c r="N18" i="18" s="1"/>
  <c r="Q87" i="18"/>
  <c r="M87" i="18"/>
  <c r="O87" i="18" s="1"/>
  <c r="L87" i="18"/>
  <c r="N87" i="18" s="1"/>
  <c r="Q130" i="18"/>
  <c r="M130" i="18"/>
  <c r="O130" i="18" s="1"/>
  <c r="L130" i="18"/>
  <c r="N130" i="18" s="1"/>
  <c r="Q71" i="18"/>
  <c r="M71" i="18"/>
  <c r="O71" i="18" s="1"/>
  <c r="L71" i="18"/>
  <c r="N71" i="18" s="1"/>
  <c r="Q74" i="18"/>
  <c r="M74" i="18"/>
  <c r="O74" i="18" s="1"/>
  <c r="L74" i="18"/>
  <c r="N74" i="18" s="1"/>
  <c r="Q42" i="18"/>
  <c r="M42" i="18"/>
  <c r="O42" i="18" s="1"/>
  <c r="L42" i="18"/>
  <c r="N42" i="18" s="1"/>
  <c r="Q55" i="18"/>
  <c r="M55" i="18"/>
  <c r="O55" i="18" s="1"/>
  <c r="L55" i="18"/>
  <c r="N55" i="18" s="1"/>
  <c r="Q43" i="18"/>
  <c r="M43" i="18"/>
  <c r="O43" i="18" s="1"/>
  <c r="L43" i="18"/>
  <c r="N43" i="18" s="1"/>
  <c r="Q142" i="18"/>
  <c r="M142" i="18"/>
  <c r="O142" i="18" s="1"/>
  <c r="L142" i="18"/>
  <c r="N142" i="18" s="1"/>
  <c r="Q173" i="18"/>
  <c r="M173" i="18"/>
  <c r="O173" i="18" s="1"/>
  <c r="L173" i="18"/>
  <c r="N173" i="18" s="1"/>
  <c r="Q84" i="18"/>
  <c r="M84" i="18"/>
  <c r="O84" i="18" s="1"/>
  <c r="L84" i="18"/>
  <c r="N84" i="18" s="1"/>
  <c r="Q225" i="18"/>
  <c r="M225" i="18"/>
  <c r="O225" i="18" s="1"/>
  <c r="L225" i="18"/>
  <c r="N225" i="18" s="1"/>
  <c r="Q172" i="18"/>
  <c r="M172" i="18"/>
  <c r="O172" i="18" s="1"/>
  <c r="L172" i="18"/>
  <c r="N172" i="18" s="1"/>
  <c r="Q109" i="18"/>
  <c r="M109" i="18"/>
  <c r="O109" i="18" s="1"/>
  <c r="L109" i="18"/>
  <c r="N109" i="18" s="1"/>
  <c r="Q61" i="18"/>
  <c r="M61" i="18"/>
  <c r="O61" i="18" s="1"/>
  <c r="L61" i="18"/>
  <c r="N61" i="18" s="1"/>
  <c r="Q104" i="18"/>
  <c r="M104" i="18"/>
  <c r="O104" i="18" s="1"/>
  <c r="L104" i="18"/>
  <c r="N104" i="18" s="1"/>
  <c r="Q16" i="18"/>
  <c r="M16" i="18"/>
  <c r="O16" i="18" s="1"/>
  <c r="L16" i="18"/>
  <c r="N16" i="18" s="1"/>
  <c r="Q145" i="18"/>
  <c r="M145" i="18"/>
  <c r="O145" i="18" s="1"/>
  <c r="L145" i="18"/>
  <c r="N145" i="18" s="1"/>
  <c r="Q144" i="18"/>
  <c r="M144" i="18"/>
  <c r="O144" i="18" s="1"/>
  <c r="L144" i="18"/>
  <c r="N144" i="18" s="1"/>
  <c r="Q25" i="18"/>
  <c r="M25" i="18"/>
  <c r="O25" i="18" s="1"/>
  <c r="L25" i="18"/>
  <c r="N25" i="18" s="1"/>
  <c r="Q219" i="18"/>
  <c r="M219" i="18"/>
  <c r="O219" i="18" s="1"/>
  <c r="L219" i="18"/>
  <c r="N219" i="18" s="1"/>
  <c r="Q44" i="18"/>
  <c r="M44" i="18"/>
  <c r="O44" i="18" s="1"/>
  <c r="L44" i="18"/>
  <c r="N44" i="18" s="1"/>
  <c r="Q150" i="18"/>
  <c r="M150" i="18"/>
  <c r="O150" i="18" s="1"/>
  <c r="L150" i="18"/>
  <c r="N150" i="18" s="1"/>
  <c r="Q159" i="18"/>
  <c r="M159" i="18"/>
  <c r="O159" i="18" s="1"/>
  <c r="L159" i="18"/>
  <c r="N159" i="18" s="1"/>
  <c r="Q186" i="18"/>
  <c r="M186" i="18"/>
  <c r="O186" i="18" s="1"/>
  <c r="L186" i="18"/>
  <c r="N186" i="18" s="1"/>
  <c r="Q164" i="18"/>
  <c r="M164" i="18"/>
  <c r="O164" i="18" s="1"/>
  <c r="L164" i="18"/>
  <c r="N164" i="18" s="1"/>
  <c r="Q174" i="18"/>
  <c r="M174" i="18"/>
  <c r="O174" i="18" s="1"/>
  <c r="L174" i="18"/>
  <c r="N174" i="18" s="1"/>
  <c r="Q112" i="18"/>
  <c r="M112" i="18"/>
  <c r="O112" i="18" s="1"/>
  <c r="L112" i="18"/>
  <c r="N112" i="18" s="1"/>
  <c r="Q37" i="18"/>
  <c r="M37" i="18"/>
  <c r="O37" i="18" s="1"/>
  <c r="L37" i="18"/>
  <c r="N37" i="18" s="1"/>
  <c r="Q70" i="18"/>
  <c r="M70" i="18"/>
  <c r="O70" i="18" s="1"/>
  <c r="L70" i="18"/>
  <c r="N70" i="18" s="1"/>
  <c r="Q38" i="18"/>
  <c r="M38" i="18"/>
  <c r="O38" i="18" s="1"/>
  <c r="L38" i="18"/>
  <c r="N38" i="18" s="1"/>
  <c r="Q89" i="18"/>
  <c r="M89" i="18"/>
  <c r="O89" i="18" s="1"/>
  <c r="L89" i="18"/>
  <c r="N89" i="18" s="1"/>
  <c r="Q67" i="18"/>
  <c r="M67" i="18"/>
  <c r="O67" i="18" s="1"/>
  <c r="L67" i="18"/>
  <c r="N67" i="18" s="1"/>
  <c r="Q36" i="18"/>
  <c r="M36" i="18"/>
  <c r="O36" i="18" s="1"/>
  <c r="L36" i="18"/>
  <c r="N36" i="18" s="1"/>
  <c r="Q91" i="18"/>
  <c r="M91" i="18"/>
  <c r="O91" i="18" s="1"/>
  <c r="L91" i="18"/>
  <c r="N91" i="18" s="1"/>
  <c r="Q207" i="18"/>
  <c r="M207" i="18"/>
  <c r="O207" i="18" s="1"/>
  <c r="L207" i="18"/>
  <c r="N207" i="18" s="1"/>
  <c r="Q115" i="18"/>
  <c r="M115" i="18"/>
  <c r="O115" i="18" s="1"/>
  <c r="L115" i="18"/>
  <c r="N115" i="18" s="1"/>
  <c r="Q193" i="18"/>
  <c r="M193" i="18"/>
  <c r="O193" i="18" s="1"/>
  <c r="L193" i="18"/>
  <c r="N193" i="18" s="1"/>
  <c r="Q235" i="18"/>
  <c r="M235" i="18"/>
  <c r="O235" i="18" s="1"/>
  <c r="L235" i="18"/>
  <c r="N235" i="18" s="1"/>
  <c r="Q165" i="18"/>
  <c r="M165" i="18"/>
  <c r="O165" i="18" s="1"/>
  <c r="L165" i="18"/>
  <c r="N165" i="18" s="1"/>
  <c r="Q40" i="18"/>
  <c r="M40" i="18"/>
  <c r="O40" i="18" s="1"/>
  <c r="L40" i="18"/>
  <c r="N40" i="18" s="1"/>
  <c r="Q48" i="18"/>
  <c r="M48" i="18"/>
  <c r="O48" i="18" s="1"/>
  <c r="L48" i="18"/>
  <c r="N48" i="18" s="1"/>
  <c r="Q154" i="18"/>
  <c r="M154" i="18"/>
  <c r="O154" i="18" s="1"/>
  <c r="L154" i="18"/>
  <c r="N154" i="18" s="1"/>
  <c r="Q118" i="18"/>
  <c r="M118" i="18"/>
  <c r="O118" i="18" s="1"/>
  <c r="L118" i="18"/>
  <c r="N118" i="18" s="1"/>
  <c r="Q137" i="18"/>
  <c r="M137" i="18"/>
  <c r="O137" i="18" s="1"/>
  <c r="L137" i="18"/>
  <c r="N137" i="18" s="1"/>
  <c r="Q181" i="18"/>
  <c r="M181" i="18"/>
  <c r="O181" i="18" s="1"/>
  <c r="L181" i="18"/>
  <c r="N181" i="18" s="1"/>
  <c r="Q199" i="18"/>
  <c r="M199" i="18"/>
  <c r="O199" i="18" s="1"/>
  <c r="L199" i="18"/>
  <c r="N199" i="18" s="1"/>
  <c r="Q155" i="18"/>
  <c r="M155" i="18"/>
  <c r="O155" i="18" s="1"/>
  <c r="L155" i="18"/>
  <c r="N155" i="18" s="1"/>
  <c r="Q152" i="18"/>
  <c r="M152" i="18"/>
  <c r="O152" i="18" s="1"/>
  <c r="L152" i="18"/>
  <c r="N152" i="18" s="1"/>
  <c r="Q10" i="18"/>
  <c r="M10" i="18"/>
  <c r="O10" i="18" s="1"/>
  <c r="L10" i="18"/>
  <c r="N10" i="18" s="1"/>
  <c r="Q14" i="18"/>
  <c r="M14" i="18"/>
  <c r="O14" i="18" s="1"/>
  <c r="L14" i="18"/>
  <c r="N14" i="18" s="1"/>
  <c r="Q226" i="18"/>
  <c r="M226" i="18"/>
  <c r="O226" i="18" s="1"/>
  <c r="L226" i="18"/>
  <c r="N226" i="18" s="1"/>
  <c r="Q123" i="18"/>
  <c r="M123" i="18"/>
  <c r="O123" i="18" s="1"/>
  <c r="L123" i="18"/>
  <c r="N123" i="18" s="1"/>
  <c r="Q203" i="18"/>
  <c r="M203" i="18"/>
  <c r="O203" i="18" s="1"/>
  <c r="L203" i="18"/>
  <c r="N203" i="18" s="1"/>
  <c r="Q232" i="18"/>
  <c r="M232" i="18"/>
  <c r="O232" i="18" s="1"/>
  <c r="L232" i="18"/>
  <c r="N232" i="18" s="1"/>
  <c r="Q205" i="18"/>
  <c r="M205" i="18"/>
  <c r="O205" i="18" s="1"/>
  <c r="L205" i="18"/>
  <c r="N205" i="18" s="1"/>
  <c r="Q4" i="18"/>
  <c r="M4" i="18"/>
  <c r="O4" i="18" s="1"/>
  <c r="L4" i="18"/>
  <c r="N4" i="18" s="1"/>
  <c r="Q215" i="18"/>
  <c r="M215" i="18"/>
  <c r="O215" i="18" s="1"/>
  <c r="L215" i="18"/>
  <c r="N215" i="18" s="1"/>
  <c r="Q33" i="18"/>
  <c r="M33" i="18"/>
  <c r="O33" i="18" s="1"/>
  <c r="L33" i="18"/>
  <c r="N33" i="18" s="1"/>
  <c r="Q99" i="18"/>
  <c r="M99" i="18"/>
  <c r="O99" i="18" s="1"/>
  <c r="L99" i="18"/>
  <c r="N99" i="18" s="1"/>
  <c r="Q198" i="18"/>
  <c r="M198" i="18"/>
  <c r="O198" i="18" s="1"/>
  <c r="L198" i="18"/>
  <c r="N198" i="18" s="1"/>
  <c r="Q146" i="18"/>
  <c r="M146" i="18"/>
  <c r="O146" i="18" s="1"/>
  <c r="L146" i="18"/>
  <c r="N146" i="18" s="1"/>
  <c r="Q57" i="18"/>
  <c r="M57" i="18"/>
  <c r="O57" i="18" s="1"/>
  <c r="L57" i="18"/>
  <c r="N57" i="18" s="1"/>
  <c r="Q131" i="18"/>
  <c r="M131" i="18"/>
  <c r="O131" i="18" s="1"/>
  <c r="L131" i="18"/>
  <c r="N131" i="18" s="1"/>
  <c r="Q162" i="18"/>
  <c r="M162" i="18"/>
  <c r="O162" i="18" s="1"/>
  <c r="L162" i="18"/>
  <c r="N162" i="18" s="1"/>
  <c r="Q106" i="18"/>
  <c r="M106" i="18"/>
  <c r="O106" i="18" s="1"/>
  <c r="L106" i="18"/>
  <c r="N106" i="18" s="1"/>
  <c r="Q200" i="18"/>
  <c r="M200" i="18"/>
  <c r="O200" i="18" s="1"/>
  <c r="L200" i="18"/>
  <c r="N200" i="18" s="1"/>
  <c r="Q234" i="18"/>
  <c r="M234" i="18"/>
  <c r="O234" i="18" s="1"/>
  <c r="L234" i="18"/>
  <c r="N234" i="18" s="1"/>
  <c r="Q41" i="18"/>
  <c r="M41" i="18"/>
  <c r="O41" i="18" s="1"/>
  <c r="L41" i="18"/>
  <c r="N41" i="18" s="1"/>
  <c r="Q93" i="18"/>
  <c r="M93" i="18"/>
  <c r="O93" i="18" s="1"/>
  <c r="L93" i="18"/>
  <c r="N93" i="18" s="1"/>
  <c r="Q24" i="18"/>
  <c r="M24" i="18"/>
  <c r="O24" i="18" s="1"/>
  <c r="L24" i="18"/>
  <c r="N24" i="18" s="1"/>
  <c r="Q111" i="18"/>
  <c r="M111" i="18"/>
  <c r="O111" i="18" s="1"/>
  <c r="L111" i="18"/>
  <c r="N111" i="18" s="1"/>
  <c r="Q90" i="18"/>
  <c r="M90" i="18"/>
  <c r="O90" i="18" s="1"/>
  <c r="L90" i="18"/>
  <c r="N90" i="18" s="1"/>
  <c r="Q66" i="18"/>
  <c r="M66" i="18"/>
  <c r="O66" i="18" s="1"/>
  <c r="L66" i="18"/>
  <c r="N66" i="18" s="1"/>
  <c r="Q157" i="18"/>
  <c r="M157" i="18"/>
  <c r="O157" i="18" s="1"/>
  <c r="L157" i="18"/>
  <c r="N157" i="18" s="1"/>
  <c r="Q73" i="18"/>
  <c r="M73" i="18"/>
  <c r="O73" i="18" s="1"/>
  <c r="L73" i="18"/>
  <c r="N73" i="18" s="1"/>
  <c r="Q222" i="18"/>
  <c r="M222" i="18"/>
  <c r="O222" i="18" s="1"/>
  <c r="L222" i="18"/>
  <c r="N222" i="18" s="1"/>
  <c r="Q19" i="18"/>
  <c r="M19" i="18"/>
  <c r="O19" i="18" s="1"/>
  <c r="L19" i="18"/>
  <c r="N19" i="18" s="1"/>
  <c r="Q190" i="18"/>
  <c r="M190" i="18"/>
  <c r="O190" i="18" s="1"/>
  <c r="L190" i="18"/>
  <c r="N190" i="18" s="1"/>
  <c r="Q88" i="18"/>
  <c r="M88" i="18"/>
  <c r="O88" i="18" s="1"/>
  <c r="L88" i="18"/>
  <c r="N88" i="18" s="1"/>
  <c r="Q236" i="18"/>
  <c r="M236" i="18"/>
  <c r="O236" i="18" s="1"/>
  <c r="L236" i="18"/>
  <c r="N236" i="18" s="1"/>
  <c r="Q160" i="18"/>
  <c r="M160" i="18"/>
  <c r="O160" i="18" s="1"/>
  <c r="L160" i="18"/>
  <c r="N160" i="18" s="1"/>
  <c r="Q100" i="18"/>
  <c r="M100" i="18"/>
  <c r="O100" i="18" s="1"/>
  <c r="L100" i="18"/>
  <c r="N100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</author>
  </authors>
  <commentList>
    <comment ref="U4" authorId="0" shapeId="0" xr:uid="{727BA292-DF13-4701-880C-9AE77950EF7A}">
      <text>
        <r>
          <rPr>
            <b/>
            <sz val="9"/>
            <color indexed="81"/>
            <rFont val="Segoe UI"/>
            <family val="2"/>
          </rPr>
          <t>Ana:</t>
        </r>
        <r>
          <rPr>
            <sz val="9"/>
            <color indexed="81"/>
            <rFont val="Segoe UI"/>
            <family val="2"/>
          </rPr>
          <t xml:space="preserve">
foi reembolsado as despesas</t>
        </r>
      </text>
    </comment>
  </commentList>
</comments>
</file>

<file path=xl/sharedStrings.xml><?xml version="1.0" encoding="utf-8"?>
<sst xmlns="http://schemas.openxmlformats.org/spreadsheetml/2006/main" count="7904" uniqueCount="1388">
  <si>
    <t>TIPO APURAÇÃO</t>
  </si>
  <si>
    <t>TIPO RELACIONAMENTO</t>
  </si>
  <si>
    <t>CÓDIGO</t>
  </si>
  <si>
    <t>AD/EX</t>
  </si>
  <si>
    <t>HISTÓRICO</t>
  </si>
  <si>
    <t>CONTA</t>
  </si>
  <si>
    <t>DECRIÇÃO CONTA</t>
  </si>
  <si>
    <t>CONTA PARTE B</t>
  </si>
  <si>
    <t>DESCRIÇAO CONTA PARTE B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</si>
  <si>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</si>
  <si>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</si>
  <si>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</si>
  <si>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</si>
  <si>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</si>
  <si>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</si>
  <si>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</si>
  <si>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</si>
  <si>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</si>
  <si>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</si>
  <si>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</si>
  <si>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</si>
  <si>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IRPJ</t>
  </si>
  <si>
    <t>2-CONTA CONTABIL</t>
  </si>
  <si>
    <t>8-Despesas n o necess rias</t>
  </si>
  <si>
    <t>BRINDES</t>
  </si>
  <si>
    <t>8.65-Multas impostas por transgress es de leis de natureza n o tribut ria</t>
  </si>
  <si>
    <t>ANO</t>
  </si>
  <si>
    <t>8.75-Remunera  o de s cios</t>
  </si>
  <si>
    <t>1-PARTE B</t>
  </si>
  <si>
    <t>CSOCIAL</t>
  </si>
  <si>
    <t>3-PARTE B E CONTA CONTABIL</t>
  </si>
  <si>
    <t>6-Provis es ou perdas estimadas n o dedut veis</t>
  </si>
  <si>
    <t>95-(-) Revers o ou uso de provis es ou perdas estimadas n o dedut veis</t>
  </si>
  <si>
    <t>Periodo</t>
  </si>
  <si>
    <t>Valor</t>
  </si>
  <si>
    <t>Código-Concat</t>
  </si>
  <si>
    <t>01012024-31122024</t>
  </si>
  <si>
    <t>1-ATIVIDADE GERAL</t>
  </si>
  <si>
    <t>2-Lucro L quido Antes do IRPJ</t>
  </si>
  <si>
    <t>5-ADI  ES</t>
  </si>
  <si>
    <t>7-Custos n o dedut veis</t>
  </si>
  <si>
    <t>8.01-Realiza  o de ativos indedut veis</t>
  </si>
  <si>
    <t>8.11-PRONAC - despesa operacional - parcelas n o dedut veis</t>
  </si>
  <si>
    <t>8.12-Pesquisas cient ficas e tecnol gicas - parcelas n o dedut veis</t>
  </si>
  <si>
    <t>8.13-Doa  es a entidades civis - parcelas n o dedut veis</t>
  </si>
  <si>
    <t>8.14-Doa  es a institui  es de ensino e pesquisa - parcelas n o dedut veis</t>
  </si>
  <si>
    <t>8.15-Vale cultura - parcelas n o dedut veis</t>
  </si>
  <si>
    <t>8.16-Planos de poupan a e investimento - PAIT - parcelas n o dedut veis</t>
  </si>
  <si>
    <t>8.18-Fundo de aposentadoria individual - FAPI - parcelas n o dedut veis</t>
  </si>
  <si>
    <t>8.25-Despesas de alugu is - parcelas n o dedut veis</t>
  </si>
  <si>
    <t>8.30-Despesas com alimenta  o de s cios</t>
  </si>
  <si>
    <t>8.35-Despesas com propaganda - parcelas n o dedut veis</t>
  </si>
  <si>
    <t>8.40-Despesas financeiras - lucros e/ou dividendos</t>
  </si>
  <si>
    <t>8.45-Doa  es</t>
  </si>
  <si>
    <t>8.50-Furto</t>
  </si>
  <si>
    <t>8.55-Despesas com bens n o intrinsecamente relacionados com a produ  o ou comercializa  o</t>
  </si>
  <si>
    <t>8.60-Multas por infra  es fiscais</t>
  </si>
  <si>
    <t>8.70-Pagamentos sem causa</t>
  </si>
  <si>
    <t>8.80-Remunera  o indireta a administradores e terceiros</t>
  </si>
  <si>
    <t>8.85-Royalties e assist ncia t cnica</t>
  </si>
  <si>
    <t>8.90-Servi os assistenciais e benef cios previdenci rios a empregados e dirigentes - contribui  es n o compuls rias</t>
  </si>
  <si>
    <t>8.95-Servi os assistenciais e benef cios previdenci rios a empregados e dirigentes - excesso em rela  o ao limite</t>
  </si>
  <si>
    <t>8.97-Pagamentos efetuados a sociedade simples</t>
  </si>
  <si>
    <t>9-Contribui  o Social Sobre o Lucro L quido - CSLL</t>
  </si>
  <si>
    <t>11.05-Lucros</t>
  </si>
  <si>
    <t>11.10-Lucros</t>
  </si>
  <si>
    <t>11.15-Lucros</t>
  </si>
  <si>
    <t>11.20-Lucros</t>
  </si>
  <si>
    <t>11.25-Lucros</t>
  </si>
  <si>
    <t>11.30-Lucros</t>
  </si>
  <si>
    <t>11.35-Lucros</t>
  </si>
  <si>
    <t>11.40-Lucros</t>
  </si>
  <si>
    <t>11.45-Lucros</t>
  </si>
  <si>
    <t>11.50-Lucros</t>
  </si>
  <si>
    <t>11.55-Lucros</t>
  </si>
  <si>
    <t>11.60-Lucros</t>
  </si>
  <si>
    <t>12-Ajustes decorrentes de m todos de pre os de transfer ncia</t>
  </si>
  <si>
    <t>13-Regras de subcapitaliza  o - ajustes decorrentes de empr stimos com pessoa f sica ou jur dica</t>
  </si>
  <si>
    <t>13.05-Regras de subcapitaliza  o - ajustes decorrentes de empr stimos com pessoa f sica ou jur dica residente</t>
  </si>
  <si>
    <t>14-Pagamento a pessoas situadas em pa s com tributa  o favorecida</t>
  </si>
  <si>
    <t>15-Varia  o cambial ativa - regra geral - opera  es liquidadas</t>
  </si>
  <si>
    <t>16-Varia  o cambial passiva - regra geral - valor evidenciado no registro L300 de acordo com o regime de compet ncia</t>
  </si>
  <si>
    <t>16.05-Varia  o cambial - mudan a de regime de caixa para compet ncia</t>
  </si>
  <si>
    <t>16.10-Varia  o cambial sobre juros a apropriar decorrentes de ajuste a valor presente</t>
  </si>
  <si>
    <t>16.15-Varia  o cambial - redu  o nas receitas financeiras decorrentes de ajuste a valor presente</t>
  </si>
  <si>
    <t>16.20-Varia  o cambial - aumento nas despesas financeiras decorrentes de ajuste a valor presente</t>
  </si>
  <si>
    <t>19.05-Investimento avaliado pelo valor de patrim nio l quido - contrapartida por redu  o no valor de patrim nio l quido reconhecida no resultado</t>
  </si>
  <si>
    <t>19.10-Investimento avaliado pelo valor de patrim nio l quido - ganho proveniente de compra vantajosa</t>
  </si>
  <si>
    <t>19.15-Investimento avaliado pelo valor de patrim nio l quido - ganho proveniente de compra vantajosa - incorpora  o</t>
  </si>
  <si>
    <t>19.20-Investimento avaliado pelo valor de patrim nio l quido - redu  o da mais-valia</t>
  </si>
  <si>
    <t>19.25-Investimento avaliado pelo valor de patrim nio l quido - redu  o do goodwill</t>
  </si>
  <si>
    <t>19.30-Investimento avaliado pelo valor de patrim nio l quido - redu  o do goodwill - incopora  o</t>
  </si>
  <si>
    <t>19.35-Investimento avaliado pelo valor de patrim nio l quido - redu  o da menos-valia</t>
  </si>
  <si>
    <t>19.40-Investimento avaliado pelo valor de patrim nio l quido - redu  o da menos-valia - incorpora  o</t>
  </si>
  <si>
    <t>19.45-Investimento avaliado pelo valor de patrim nio l quido - redu  o da menos-valia - incorpora  o</t>
  </si>
  <si>
    <t>19.50-Investimento avaliado pelo valor de patrim nio l quido - perda reconhecida no resultado por varia  o na porcentagem de participa  o no capital social</t>
  </si>
  <si>
    <t>19.55-Investimento avaliado pelo valor de patrim nio l quido - aquisi  o em est gios - ganho com base no valor justo</t>
  </si>
  <si>
    <t>19.60-Investimento avaliado pelo valor de patrim nio l quido - aquisi  o em est gios - ganho decorrente do excesso do valor justo dos ativos l quidos da investida</t>
  </si>
  <si>
    <t>19.65-Investimento avaliado pelo valor de patrim nio l quido - aquisi  o em est gios - perda com base no valor justo</t>
  </si>
  <si>
    <t>19.70-Investimento avaliado pelo valor de patrim nio l quido - aquisi  o em est gios - redu  o da varia  o positiva da mais-valia</t>
  </si>
  <si>
    <t>19.75-Investimento avaliado pelo valor de patrim nio l quido - aquisi  o em est gios - redu  o da varia  o negativa da mais-valia</t>
  </si>
  <si>
    <t>19.80-Investimento avaliado pelo valor de patrim nio l quido - aquisi  o em est gios - redu  o da varia  o positiva do goodwill</t>
  </si>
  <si>
    <t>19.85-Investimento avaliado pelo valor de patrim nio l quido - aquisi  o em est gios - redu  o da varia  o negativa do goodwill</t>
  </si>
  <si>
    <t>19.90-Investimento avaliado pelo valor de patrim nio l quido - aquisi  o em est gios - redu  o positiva da menos-valia</t>
  </si>
  <si>
    <t>19.95-Investimento avaliado pelo valor de patrim nio l quido - aquisi  o em est gios - redu  o da varia  o negativa da menos-valia</t>
  </si>
  <si>
    <t>19.951-Investimento avaliado pelo valor de patrim nio l quido - AVJ na investida controlado por meio de subconta - ganho - realiza  o de ativo da investida ou liquida  o ou baixa do passivo da investida</t>
  </si>
  <si>
    <t>19.952-Investimento avaliado pelo valor de patrim nio l quido - AVJ na investida controlado por meio de subconta - ganho - aliena  o ou liquida  o da participa  o societ ria</t>
  </si>
  <si>
    <t>19.953-Investimento avaliado pelo valor de patrim nio l quido - AVJ na investida controlado por meio de subconta - registrado em conta de patrim nio l quido - ganho - realiza  o de ativo da investida ou lioquida  o ou baixa do passivo da investida</t>
  </si>
  <si>
    <t>19.954-Investimento avaliado pelo valor de patrim nio l quido - AVJ na investida controlado por meio de subconta - registrado em conta de patrim nio l quido - ganho - aliena  o ou liquida  o da participa  o societ ria</t>
  </si>
  <si>
    <t>19.955-Investimento avaliado pelo valor de patrim nio l quido - AVJ na investida n o controlado por meio de subconta - registrado em conta de patrim nio l quido - ganho</t>
  </si>
  <si>
    <t>19.956-Investimento avaliado pelo valor de patrim nio l quido - AVJ na investida controlado por subconta - n o registrado em conta de patrim nio l quido - perda</t>
  </si>
  <si>
    <t>19.957-Investimento avaliado pelo valor de patrim nio l quido - AVJ na investida controlado por subconta - registrado em conta de patrim nio l quido - perda</t>
  </si>
  <si>
    <t>19.958-Investimento avaliado pelo valor de patrim nio l quido - AVJ na investida - n o controlado por subconta - n o registrado em conta de patrim nio l quido - perda</t>
  </si>
  <si>
    <t>19.959-Investimento avaliado pelo valor de patrim nio l quido - AVJ na investida - n o controlado por subconta - registrado em conta de patrim nio l quido - perda</t>
  </si>
  <si>
    <t>19.960-Investimento avaliado pelo valor de patrim nio l quido - incorpora  o</t>
  </si>
  <si>
    <t>19.961-Investimento avaliado pelo valor de patrim nio l quido - incorpora  o</t>
  </si>
  <si>
    <t>19.962-Investimento avaliado pelo valor de patrim nio l quido - incorpora  o</t>
  </si>
  <si>
    <t>19.963-Investimento avaliado pelo valor de patrim nio l quido - incorpora  o</t>
  </si>
  <si>
    <t>19.964-Investimento avaliado pelo valor de patrim nio l quido - incorpora  o</t>
  </si>
  <si>
    <t>19.965-Investimento avaliado pelo valor de patrim nio l quido - incorpora  o</t>
  </si>
  <si>
    <t>19.966-Investimento avaliado pelo valor de patrim nio l quido - incorpora  o</t>
  </si>
  <si>
    <t>19.967-Investimento avaliado pelo valor de patrim nio l quido - incorpora  o</t>
  </si>
  <si>
    <t>19.968-Investimento avaliado pelo valor de patrim nio l quido - incorpora  o</t>
  </si>
  <si>
    <t>19.969-Combina  o de neg cios</t>
  </si>
  <si>
    <t>19.970-Combina  o de neg cios</t>
  </si>
  <si>
    <t>19.971-Resultados positivos n o realizados nas opera  es intercompanhias</t>
  </si>
  <si>
    <t>19.972-Resultados negativos n o realizados nas opera  es intercompanhias</t>
  </si>
  <si>
    <t>20-Excesso de juros sobre o capital pr prio pagos ou creditados</t>
  </si>
  <si>
    <t>21-Juros sobre o capital pr prio auferidos - n o contabilizados como receita</t>
  </si>
  <si>
    <t>23-Disp ndios em pesquisa cient fica e tecnol gica e de inova  o tecnol gica por ICT ou entidades cient ficas e tecnol gicas privadas</t>
  </si>
  <si>
    <t>24-Disp ndios com pesquisa tecnol gica e desenvolvimento de inova  o tecnol gica - revers o da amortiza  o/deprecia  o</t>
  </si>
  <si>
    <t>25-Realiza  o de reserva de reavalia  o</t>
  </si>
  <si>
    <t>28-Pr mios da emiss o de deb ntures - destina  o diversa</t>
  </si>
  <si>
    <t>29-Doa  es e subven  es para investimento - destina  o diversa</t>
  </si>
  <si>
    <t>29.05-Doa  es e subven  es - art. 30</t>
  </si>
  <si>
    <t>29.10-Doa  es e subven  es - art. 30</t>
  </si>
  <si>
    <t>30-Realiza  o de receitas origin rias de planos de benef cios administrados por entidades fechadas de previd ncia complementar</t>
  </si>
  <si>
    <t>31-Remunera  o da prorroga  o da licen a-maternidade</t>
  </si>
  <si>
    <t>32-Despesas e custos com pesquisa e desenvolvimento de produtos e processos inovadores em empresas e entidades nacionais realizados com recursos de subven  es governamentais</t>
  </si>
  <si>
    <t>33-Despesas e custos com remunera  o de pesquisadores empregados em atividades de inova  o tecnol gica em empresas no pa s realizados com recursos de subven  es governamentais</t>
  </si>
  <si>
    <t>34-Impostos e contribui  es com exigibilidade suspensa</t>
  </si>
  <si>
    <t>35-Resultados negativos com atos cooperativos</t>
  </si>
  <si>
    <t>35.05-Juros sobre o capital integralizado pelas cooperativas a seus associadas que excederem 12% ao ano</t>
  </si>
  <si>
    <t>36-Custos e despesas vinculados  s receitas da atividade imobili ria tributadas pelo RET</t>
  </si>
  <si>
    <t>36.10-Custos e despesas vinculados  s receitas da atividade de constru  o no  mbito do PMCMV tributadas pelo RET</t>
  </si>
  <si>
    <t>37-Custos e despesas vinculados  s receitas da atividade de constru  o no  mbito do PMCMV</t>
  </si>
  <si>
    <t>38-Custos e despesas vinculados  s receitas da atividade de constru  o ou reforma de estabelecimentos de educa  o infantil</t>
  </si>
  <si>
    <t>39-Parcela dos lucros de contratos de constru  o por empreitada ou fornecimento</t>
  </si>
  <si>
    <t>40-Aporte do poder p blico</t>
  </si>
  <si>
    <t>40.05-Aporte do poder p blico - saldo remanescente</t>
  </si>
  <si>
    <t>40.10-Aporte do poder p blico - ainda n o adicionado</t>
  </si>
  <si>
    <t>41-Participa  es nos resultados n o dedut veis - deb ntures e empregados</t>
  </si>
  <si>
    <t>41.05-Participa  es nos resultados n o dedut veis - administradores e dirigentes</t>
  </si>
  <si>
    <t>42-Incentivo fiscal - amortiza  o acelerada incentivada - ativo intang vel vinculado   pesquisa tecnol gica e ao desenvolvimento de inova  o tecnol gica</t>
  </si>
  <si>
    <t>42.05-Incentivo fiscal - deprecia  o acelerada incentivada - inova  o tecnol gica</t>
  </si>
  <si>
    <t>42.10-Incentivo fiscal - deprecia  o ou amortiza  o acelerada incentivada - pesquisa e desenvolvimento tecnol gico</t>
  </si>
  <si>
    <t>42.15-Incentivo fiscal - gastos com desenvolvimento de inova  o tecnol gica</t>
  </si>
  <si>
    <t>42.20-Incentivo fiscal - microempresa e EPP - pesquisa e inova  o tecnol gica</t>
  </si>
  <si>
    <t>43-Incentivo fiscal - deprecia  o acelerada incentivada - SUDENE</t>
  </si>
  <si>
    <t>43.01-Incentivo fiscal - deprecia  o acelerada incentivada - SUDAM</t>
  </si>
  <si>
    <t>43.05-Incentivo fiscal - deprecia  o ou amortiza  o acelerada incentivada - aliena  o ou baixa de ativo</t>
  </si>
  <si>
    <t>47-Incentivo fiscal - deprecia  o acelerada incentivada - ve culos autom veis para transporte de mercadorias e vag es</t>
  </si>
  <si>
    <t>49-Incentivo fiscal - deprecia  o acelerada - m quinas</t>
  </si>
  <si>
    <t>50-Incentivo fiscal - deprecia  o/amortiza  o acelerada incentivada - demais hip teses de revers o</t>
  </si>
  <si>
    <t>50.05-Incentivo fiscal - deprecia  o/amortiza  o acelerada incentivada - m quinas</t>
  </si>
  <si>
    <t>51-Perdas incorridas no mercado de renda vari vel no per odo de apura  o</t>
  </si>
  <si>
    <t>52-Perdas em opera  es day-trade no per odo de apura  o</t>
  </si>
  <si>
    <t>52.05-Opera  es realizadas em mercados de liquida  o futura - resultados negativos incorridos reconhecidos na contabilidade antes da liquida  o do contrato</t>
  </si>
  <si>
    <t>52.10-Opera  es realizadas em mercados de liquida  o futura - resultados positivos incorridos reconhecidos na contabilidade antes da liquida  o do contrato</t>
  </si>
  <si>
    <t>53-Arrendamento mercantil - PJ arrendat ria - deprecia  o</t>
  </si>
  <si>
    <t>53.05-Arrendamento mercantil - PJ arrendat ria - deprecia  o</t>
  </si>
  <si>
    <t>53.10-Arrendamento mercantil - PJ arrendat ria - contrato n o tipificado como arrendamento mercantil financeiro</t>
  </si>
  <si>
    <t>53.15-Arrendamento mercantil - PJ  arrendadora - n o disciplinado pela Lei n  6.099/74 - resultado proporcional ao valor da contrapesta  o</t>
  </si>
  <si>
    <t>54-Arrendamento mercantil - PJ  arrendadora - n o disciplinado pela Lei n  6.099/74 - ajustes decorrentes da neutraliza  o dos novos m todos e crit rios cont beis</t>
  </si>
  <si>
    <t>54.05-Arrendamento mercantil - PJ arrendadora - contrato n o tipificado como arrendamento mercantil financeiro - resultado proporcional ao valor da contrapesta  o</t>
  </si>
  <si>
    <t>54.10-Arrendamento mercantil - PJ arrendadora - contrato n o tipificado como arrendamento mercantil financeiro - Ajustes decorrentes da neutraliza  o dos novos m todos e crit rios cont beis</t>
  </si>
  <si>
    <t>54.15-Arrendamento mercantil - PJ arrendadora - valor residual</t>
  </si>
  <si>
    <t>55-Arrendamento mercantil - PJ arrendat ria - despesas financeiras dos contratos de arrendamento</t>
  </si>
  <si>
    <t>55.05-Arrendamento mercantil - PJ arrendat ria - despesas financeiras dos contratos n o tipificados como arrendamento</t>
  </si>
  <si>
    <t>55.10-Arrendamento mercantil - PJ arrendat ria - ganho de capital</t>
  </si>
  <si>
    <t>55.15-Arrendamento mercantil - PJ arrendat ria - contrato n o tipificado como arrendamento - ganho de capital</t>
  </si>
  <si>
    <t>55.20-Arrendamento mercantil - PJ arrendat ria - perda na aliena  o de bem</t>
  </si>
  <si>
    <t>56.05-Juros produzidos por NTN</t>
  </si>
  <si>
    <t>57-Juros de empr stimos - custos de empr stimos</t>
  </si>
  <si>
    <t>57.05-Juros de empr stimos - empresa controlada ou coligada</t>
  </si>
  <si>
    <t>58-Mais valia de investimentos avaliados pelo patrim nio l quido em sociedades estrangeiras que n o funcionem no pa s.</t>
  </si>
  <si>
    <t>59- gio por rentabilidade futura (goodwill) de investimentos avaliados pelo patrim nio l quido em sociedades estrangeiras que n o funcionem no pa s</t>
  </si>
  <si>
    <t>60-Avalia  o a valor justo - ativo ou passivo da pessoa jur dica - ganho - controlado por subconta</t>
  </si>
  <si>
    <t>60.05-Avalia  o a valor justo - ativo ou passivo da pessoa jur dica - ganho - n o controlado por subconta</t>
  </si>
  <si>
    <t>60.10-Avalia  o a valor justo - ativo ou passivo da pessoa jur dica - ganho - n o controlado por subconta - com preju zo fiscal - valor anteriormente exclu do</t>
  </si>
  <si>
    <t>60.15-Avalia  o a valor justo - ativo ou passivo da pessoa jur dica - ganho - n o controlado por subconta - com preju zo fiscal</t>
  </si>
  <si>
    <t>60.20-Avalia  o a valor justo - subscri  o - ganho - controlado por subconta</t>
  </si>
  <si>
    <t>60.25-Avalia  o a valor justo - subscri  o - ganho - n o controlado por subconta</t>
  </si>
  <si>
    <t>60.30-Avalia  o a valor justo - subscri  o - ganho - n o controlado por subconta - com preju zo fiscal - valor anteriormente exclu do</t>
  </si>
  <si>
    <t>60.35-Avalia  o a valor justo - subscri  o - ganho - n o controlado por subconta - com preju zo fiscal</t>
  </si>
  <si>
    <t>60.40-Avalia  o a valor justo - incorpora  o</t>
  </si>
  <si>
    <t>60.45-Avalia  o a valor Justo - ativo ou passivo da pessoa jur dica - perda - controlada por subconta</t>
  </si>
  <si>
    <t>60.50-Avalia  o a valor justo - ativo ou passivo da pessoa jur dica - perda - n o controlada por subconta</t>
  </si>
  <si>
    <t>60.55-Avalia  o a valor justo - subscri  o - perda - controlada por subconta</t>
  </si>
  <si>
    <t>60.60-Avalia  o a valor justo - subscri  o - perda - n o controlada por subconta</t>
  </si>
  <si>
    <t>64-Ajuste a valor presente de ativo - venda</t>
  </si>
  <si>
    <t>64.05-Ajuste a valor presente de ativo - demais opera  es</t>
  </si>
  <si>
    <t>65-Ajuste a valor presente de passivo - incisos I</t>
  </si>
  <si>
    <t>65.05-Ajuste a valor presente de passivo - incisos IV e V do art. 5  da Lei n  12.973/2014.</t>
  </si>
  <si>
    <t>65.10-Ajuste a valor presente de passivo - outras opera  es que n o sejm aquisi  o a prazo - relacionado a um ativo</t>
  </si>
  <si>
    <t>65.15-Ajuste a valor presente de passivo - outras opera  es que n o sejm aquisi  o a prazo - relacionado a uma despesa ou custo</t>
  </si>
  <si>
    <t>66.05-Ado  o Inicial dos Arts. 1  a 71 da Lei n  12.973/2014 - diferen a positiva de ativo - n o controlada por subconta</t>
  </si>
  <si>
    <t>66.10-Ado  o inicial dos Arts. 1  a 71 da Lei n  12.973/2014 - diferen a positiva de ativo - controlada por subconta</t>
  </si>
  <si>
    <t>66.15-Ado  o inicial dos arts. 1  a 71 da Lei n  12.973/2014 - diferen a negativa de passivo - n o controlada por subconta</t>
  </si>
  <si>
    <t>66.20-Ado  o inicial dos arts. 1  a 71 da Lei n  12.973/2014 - diferen a negativa de passivo - controlada por subconta</t>
  </si>
  <si>
    <t>66.25-Ado  o inicial dos Arts. 1  a 71 da Lei n  12.973/2014 - reserva de reavalia  o - ativos de coligadas ou controladas</t>
  </si>
  <si>
    <t>66.30-Ado  o inicial dos arts. 1  a 71 da Lei n  12.973/2014 - reserva de reavalia  o - subscri  o</t>
  </si>
  <si>
    <t>66.35-Ado  o inicial dos arts. 1  a 71 da Lei n  12.973/2014 - reserva de reavalia  o - ativos pr prios</t>
  </si>
  <si>
    <t>66.40-Ado  o inicial dos arts. 1  a 71 da Lei n  12.973/2014 - ajustes de avalia  o patrimonial</t>
  </si>
  <si>
    <t>69-Atividade imobili ria - permuta - lucro bruto decorrente da avalia  o a valor justo das unidades permutadas</t>
  </si>
  <si>
    <t>70-Atividade imobili ria - diferimento da tributa  o - ajustes pertinentes ao reconhecimento do lucro bruto</t>
  </si>
  <si>
    <t>71-Despesas pr -operacionais</t>
  </si>
  <si>
    <t>79-Contratos de longo prazo - diverg ncia de crit rio - ajuste da diferen a dos crit rios adotados no   1  do art. 10 do Decreto-Lei n  1.598</t>
  </si>
  <si>
    <t>80-Provis es ou perdas estimadas - teste de recuperabilidade</t>
  </si>
  <si>
    <t>81-Pagamento baseado em a  es apropriado como despesa ou custo</t>
  </si>
  <si>
    <t>81.05-Pagamento baseado em a  es - servi os prestados por pessoa f sica que n o seja considerada empregado ou similar</t>
  </si>
  <si>
    <t>82-Contratos de concess o de servi os p blicos - realiza  o de ativo intang vel representativo do direito</t>
  </si>
  <si>
    <t>82.05-Contratos de concess o de servi os p blicos - recebimento de ativo financeiro</t>
  </si>
  <si>
    <t>82.10-Contratos de concess o de servi os p blicos - apropria  o de receitas financeiras decorrentes de ajuste a valor presente do ativo financeiro</t>
  </si>
  <si>
    <t>84-CPC 47 - Ajustes de Receita Bruta</t>
  </si>
  <si>
    <t>84.05-CPC 47 - Ajustes de Custos/Despesas</t>
  </si>
  <si>
    <t>84.10-CPC 47 - Ajustes de Outras Receitas/Outros Resultados</t>
  </si>
  <si>
    <t>86-Deprecia  o - diferen a entre as deprecia  es cont bil e fiscal</t>
  </si>
  <si>
    <t>88-Provis es ou perdas estimadas - gastos com desmontagem</t>
  </si>
  <si>
    <t>89-Outros ajustes decorrentes de modifica  o ou ado  o de m todos e crit rios cont beis por meio dos atos administrativos</t>
  </si>
  <si>
    <t>91-Contratos de concess o de servi os p blicos - diferen a negativa - ado  o inicial dos arts. 1  a 71 da Lei n  12.973/2014</t>
  </si>
  <si>
    <t>91.01-Deprecia  o - diferen a entre as deprecia  es cont bil e fiscal - aliena  o ou baixa de ativo</t>
  </si>
  <si>
    <t>91.02-Despesa com instrumentos de capital ou de d vida subordinada - estorno</t>
  </si>
  <si>
    <t>91.10-Devolu  o de capital social</t>
  </si>
  <si>
    <t>91.15-Ganho de capital - recebimento ap s o t rmino do per odo de apura  o da contrata  o</t>
  </si>
  <si>
    <t>91.20-Perdas no recebimento de cr ditos - PJ credora - n o contabilmente estornadas no caso de desist ncia da cobran a pela via judicial ou solu  o de cobran a em virtude de acordo homologado por senten a judicial</t>
  </si>
  <si>
    <t>91.25-Perdas no recebimento de cr ditos - PJ credora - encargos financeiros incidentes sobre o cr dito vencido e n o recebido</t>
  </si>
  <si>
    <t>91.30-Encargos incidentes sobre o d bito vencido e n o pago deduzidos como despesa ou custo a partir da data da cita  o inicial para o pagamento</t>
  </si>
  <si>
    <t>91.35-Preju zo na aliena  o de participa  es</t>
  </si>
  <si>
    <t>91.40-Ajustes de exerc cios anteriores - lan amentos extempor neos</t>
  </si>
  <si>
    <t>91.45-Ganho decorrente da mensura  o de ativo pelo valor de liquida  o   Realiza  o</t>
  </si>
  <si>
    <t>91.50-Perda decorrente da mensura  o de ativo pelo valor de liquida  o</t>
  </si>
  <si>
    <t>91.55-Despesa estimada para realiza  o do ativo - Entidade em Liquida  o</t>
  </si>
  <si>
    <t>91.60-Ganho decorrente do reconhecimento de ativo n o registrado at  a data de in cio de liquida  o - Realiza  o</t>
  </si>
  <si>
    <t>91.65-Perda decorrente da baixa de ativo registrado at  a data de in cio de liquida  o</t>
  </si>
  <si>
    <t>91.70-Encargos de Deprecia  o/Amortiza  o/Exaust o dos Gastos ativados na atividade de explora  o de jazidas de petr leo e g s natural</t>
  </si>
  <si>
    <t xml:space="preserve">91.75-Encargos de Exaust o apropriados ao resultado referentes aos Gastos com o desenvolvimento da produ  o dos campos de petr leo e g s natural que tenham sido objeto do incentivo fiscal da acelera  o prevista no art. 5 </t>
  </si>
  <si>
    <t>91.80-Encargos de Exaust o apropriados ao resultado referente aos Gastos com o desenvolvimento da produ  o dos campos de petr leo e g s natural anteriores a 1  de janeiro de 2018</t>
  </si>
  <si>
    <t>91.85-Deprecia  o - diferen a entre as deprecia  es cont bil e fiscal - Art. 6  da IN RFB n  1.778/2017</t>
  </si>
  <si>
    <t>92-Outras adi  es - indicador de relacionamento 1</t>
  </si>
  <si>
    <t>92.01-Outras adi  es - indicador de relacionamento 4</t>
  </si>
  <si>
    <t>93-SOMA DAS ADI  ES (IRPJ)</t>
  </si>
  <si>
    <t>94-EXCLUS ES</t>
  </si>
  <si>
    <t>96-(-) Lucros e dividendos derivados de investimentos avaliados pelo custo de aquisi  o</t>
  </si>
  <si>
    <t>100.05-(-) Investimento avaliado pelo valor de patrim nio l quido - contrapartida por aumento no valor de patrim nio l quido reconhecida no resultado</t>
  </si>
  <si>
    <t>100.10-(-) Investimento avaliado pelo valor de patrim nio l quido - ganho proveniente de compra vantajosa</t>
  </si>
  <si>
    <t>100.15-(-) Investimento avaliado pelo valor de patrim nio l quido - redu  o da mais-valia</t>
  </si>
  <si>
    <t>100.20-(-) Investimento avaliado pelo valor de patrim nio l quido - redu  o da mais-valia - incorpora  o</t>
  </si>
  <si>
    <t>100.25-(-) Investimento avaliado pelo valor de patrim nio l quido - redu  o da mais-valia - incorpora  o</t>
  </si>
  <si>
    <t>100.30-(-) Investimento avaliado pelo valor de patrim nio l quido - redu  o do goodwill</t>
  </si>
  <si>
    <t>100.35-(-) Investimento avaliado pelo valor de patrim nio l quido - redu  o do goodwill - incopora  o</t>
  </si>
  <si>
    <t>100.40-(-) Investimento avaliado pelo valor de patrim nio l quido - redu  o da menos-valia</t>
  </si>
  <si>
    <t>100.45-(-) Investimento avaliado pelo valor de patrim nio l quido - ganho reconhecido no resultado por varia  o na porcentagem de participa  o no capital social</t>
  </si>
  <si>
    <t>100.50-(-) Investimento avaliado pelo valor de patrim nio l quido - aquisi  o em est gios - ganho com base no valor justo</t>
  </si>
  <si>
    <t>100.55-(-) Investimento avaliado pelo valor de patrim nio l quido - aquisi  o em est gios - ganho decorrente do excesso do valor justo dos ativos l quidos da investida</t>
  </si>
  <si>
    <t>100.60-(-) Investimento avaliado pelo valor de patrim nio l quido - aquisi  o em est gios - perda com base no valor justo</t>
  </si>
  <si>
    <t>100.65-(-) Investimento avaliado pelo valor de patrim nio l quido - aquisi  o em est gios - redu  o da varia  o positiva da mais-valia</t>
  </si>
  <si>
    <t>100.70-(-) Investimento avaliado pelo valor de patrim nio l quido - aquisi  o em est gios - redu  o da varia  o negativa da mais-valia</t>
  </si>
  <si>
    <t>100.75-(-) Investimento avaliado pelo valor de patrim nio l quido - aquisi  o em est gios - redu  o da varia  o positiva do goodwill</t>
  </si>
  <si>
    <t>100.80-(-) Investimento avaliado pelo valor de patrim nio l quido - aquisi  o em est gios - redu  o da varia  o negativa do goodwill</t>
  </si>
  <si>
    <t>100.85-(-) Investimento avaliado pelo valor de patrim nio l quido - aquisi  o em est gios - redu  o da varia  o positiva da menos-valia</t>
  </si>
  <si>
    <t>100.90-(-) Investimento avaliado pelo valor de patrim nio l quido - aquisi  o em est gios - redu  o da varia  o negativa da menos-valia</t>
  </si>
  <si>
    <t>100.95-(-) Investimento avaliado pelo valor de patrim nio l quido - AVJ na investida controlado por meio de subconta - ganho</t>
  </si>
  <si>
    <t>100.951-(-) Investimento avaliado pelo valor de patrim nio l quido - AVJ na investida controlado por meio de subconta - registrado diretamente no patrim nio l qiudo - ganho</t>
  </si>
  <si>
    <t>100.952-(-) Investimento avaliado pelo valor de patrim nio l quido - AVJ na investida n o controlado por meio de subconta - registrado em conta de patrim nio l quido - ganho</t>
  </si>
  <si>
    <t>100.953-(-) Investimento avaliado pelo valor de patrim nio l quido - AVJ na investida controlado por subconta - n o registrado em conta de patrim nio l quido - perda - realiza  o do ativo da investida ou liquida  o ou baixa do passivo da investida</t>
  </si>
  <si>
    <t>100.954-(-) Investimento avaliado pelo valor de patrim nio l quido - AVJ na investida controlado por subconta - n o registrado em conta de patrim nio l quido - perda - aliena  o ou liquida  o da participa  o societ ria</t>
  </si>
  <si>
    <t>100.955-(-) Investimento avaliado pelo valor de patrim nio l quido - AVJ na investida controlado por subconta - registrado em conta de patrim nio l quido - perda - realiza  o do ativo da investida ou liquida  o ou baixa do passivo da investida</t>
  </si>
  <si>
    <t>100.956-(-) Investimento avaliado pelo valor de patrim nio l quido - AVJ na investida controlado por subconta - registrado em conta de patrim nio l quido - perda - aliena  o ou liquida  o da participa  o societ ria</t>
  </si>
  <si>
    <t>100.957-(-) Investimento avaliado pelo valor de patrim nio l quido - incorpora  o</t>
  </si>
  <si>
    <t>100.958-(-) Investimento avaliado pelo valor de patrim nio l quido - incorpora  o</t>
  </si>
  <si>
    <t>100.959-(-) Investimento avaliado pelo valor de patrim nio l quido - incorpora  o</t>
  </si>
  <si>
    <t>100.960-(-) Investimento avaliado pelo valor de patrim nio l quido - incorpora  o</t>
  </si>
  <si>
    <t>100.961-(-) Investimento avaliado pelo valor de patrim nio l quido - incorpora  o</t>
  </si>
  <si>
    <t>100.962-(-) Investimento avaliado pelo valor de patrim nio l quido - incorpora  o</t>
  </si>
  <si>
    <t>100.963-(-) Investimento avaliado pelo valor de patrim nio l quido - incorpora  o</t>
  </si>
  <si>
    <t>100.964-(-) Investimento avaliado pelo valor de patrim nio l quido - incorpora  o</t>
  </si>
  <si>
    <t>100.965-(-) Investimento avaliado pelo valor de patrim nio l quido - incorpora  o</t>
  </si>
  <si>
    <t>100.966-(-) Combina  o de neg cios</t>
  </si>
  <si>
    <t>100.967-(-) Resultados positivos n o realizados nas opera  es intercompanhias</t>
  </si>
  <si>
    <t>100.968-(-) Resultados negativos n o realizados nas opera  es intercompanhias</t>
  </si>
  <si>
    <t>101-(-) Varia  o cambial ativa - regra geral</t>
  </si>
  <si>
    <t>102-(-) Varia  o cambial passiva - regra geral</t>
  </si>
  <si>
    <t>102.05-(-) Varia  o cambial - regra geral - mudan a de regime de caixa para compet ncia</t>
  </si>
  <si>
    <t>102.10-(-) Varia  o cambial sobre juros a apropriar decorrentes de ajuste a valor presente</t>
  </si>
  <si>
    <t>102.15-(-) Varia  o cambial - aumento nas receitas financeiras decorrentes de ajuste a valor presente</t>
  </si>
  <si>
    <t>102.20-(-) Varia  o cambial - redu  o nas despesas financeiras decorrentes de ajuste a valor presente</t>
  </si>
  <si>
    <t>102.25-(-) Lucros</t>
  </si>
  <si>
    <t>102.30-(-) Lucros</t>
  </si>
  <si>
    <t>103-(-) Incentivo fiscal - pesquisas tecnol gicas e desenvolvimento de inova  o tecnol gica</t>
  </si>
  <si>
    <t>105-(-) Pr mio da emiss o de deb ntures</t>
  </si>
  <si>
    <t>105.05-(-) Impostos e contribui  es com exigibilidade suspensa</t>
  </si>
  <si>
    <t>106-(-) Doa  es e subven  es para investimentos</t>
  </si>
  <si>
    <t>106.05-(-) Doa  es e subven  es - Art. 30 da Lei n  12.350/2010</t>
  </si>
  <si>
    <t>106.10-(-) Doa  es e Subven  es para investimentos Habilitadas para Cr dito Fiscal de IRPJ</t>
  </si>
  <si>
    <t>107-(-) Realiza  o de receitas origin rias de planos de benef cios administrados por entidades fechadas de previd ncia complementar</t>
  </si>
  <si>
    <t>108-(-) Receitas de subven  es governamentais para pesquisa e desenvolvimento de produtos e processos inovadores em empresas e entidades nacionais</t>
  </si>
  <si>
    <t>109-(-) Receitas de subven  es governamentais para remunera  o de pesquisadores empregados em atividades de inova  o tecnol gica em empresas no pa s</t>
  </si>
  <si>
    <t>110-(-) Rendimentos tributados exclusivamente na fonte</t>
  </si>
  <si>
    <t>111-(-) Cooperativas</t>
  </si>
  <si>
    <t>112-(-) Incentivo fiscal - pagamento unificado de tributos - RET</t>
  </si>
  <si>
    <t>112.10-(-) Incentivo fiscal - pagamento unificado de tributos - RET - PMCMV</t>
  </si>
  <si>
    <t>113-(-) Incentivo fiscal - pagamento unificado de tributos - constru  o no  mbito do PMCMV</t>
  </si>
  <si>
    <t>114-(-) Incentivo fiscal - pagamento unificado de tributos - RET - estabelecimento de educa  o infantil</t>
  </si>
  <si>
    <t>115-(-) Parcela dos lucros de contratos de constru  o por empreitada ou fornecimento</t>
  </si>
  <si>
    <t>116-(-) Aporte do poder p blico</t>
  </si>
  <si>
    <t>117-(-) Juros produzidos por NTN (Lei n  10.179/2001)</t>
  </si>
  <si>
    <t>117.05-(-) Juros produzidos por NTN</t>
  </si>
  <si>
    <t>117.10-(-) Aquisi  o de bens e direitos no  mbito do PND</t>
  </si>
  <si>
    <t>118-(-) Incentivo fiscal - pesquisas tecnol gicas e desenvolvimento de inova  o tecnol gica (Lei 11.196/05</t>
  </si>
  <si>
    <t>118.10-(-) Incentivo fiscal - pesquisas tecnol gicas e desenvolvimento de inova  o tecnol gica (Lei 11.196/05</t>
  </si>
  <si>
    <t>119-(-) Incentivo fiscal - pesquisa cient fica e tecnol gica e de inova  o tecnol gica (Lei 11.196/05</t>
  </si>
  <si>
    <t>120-(-) Incentivo fiscal - investimento em projeto aprovado pela ANCINE</t>
  </si>
  <si>
    <t>121-(-) Incentivo fiscal - amortiza  o acelerada incentivada - ativo intang vel vinculado   pesquisa tecnol gica e ao desenvolvimento de inova  o tecnol gica</t>
  </si>
  <si>
    <t>121.05-(-) Incentivo fiscal - deprecia  o acelerada incentivada - inova  o tecnol gica</t>
  </si>
  <si>
    <t>121.10-(-) Incentivo fiscal - deprecia  o ou amortiza  o acelerada incentivada - pesquisa e desenvolvimento tecnol gico</t>
  </si>
  <si>
    <t>121.15-(-) Incentivo fiscal - gastos com desenvolvimento de inova  o tecnol gica</t>
  </si>
  <si>
    <t>121.20-(-) Incentivo fiscal - microempresa e EPP - pesquisa e inova  o tecnol gica</t>
  </si>
  <si>
    <t>122-(-) Incentivo fiscal - deprecia  o acelerada incentivada - SUDENE</t>
  </si>
  <si>
    <t>122.01-(-) Incentivo fiscal - deprecia  o acelerada incentivada - SUDAM</t>
  </si>
  <si>
    <t>122.05-(-) Incentivo fiscal - cr dito presumido de IPI do programa INOVAR-AUTO</t>
  </si>
  <si>
    <t>126-(-) Incentivo fiscal - deprecia  o acelerada incentivada - ve culos autom veis para transporte de mercadorias e vag es</t>
  </si>
  <si>
    <t>128-(-) Incentivo fiscal - Deprecia  o acelerada - m quinas</t>
  </si>
  <si>
    <t>128.05-(-) Incentivo fiscal - Deprecia  o acelerada - m quinas</t>
  </si>
  <si>
    <t>129-(-) Deprecia  o/amortiza  o acelerada incentivada - demais hip teses</t>
  </si>
  <si>
    <t>130-(-) Exaust o incentivada</t>
  </si>
  <si>
    <t>131-(-) Perdas incorridas no mercado de renda vari vel - per odos de apura  o anteriores</t>
  </si>
  <si>
    <t>131.05-(-) Opera  es realizadas em mercados de liquida  o futura - resultados positivos incorridos reconhecidos na contabilidade antes da liquida  o do contrato</t>
  </si>
  <si>
    <t>131.10-(-) Opera  es realizadas em mercados de liquida  o futura - resultados negativos incorridos reconhecidos na contabilidade antes da liquida  o do contrato</t>
  </si>
  <si>
    <t>132-(-) Hor rio gratuito de televis o e r dio</t>
  </si>
  <si>
    <t>133-(-) Incentivo fiscal - empresas de TI e TIC</t>
  </si>
  <si>
    <t>134-(-) Arrendamento mercantil - PJ arrendadora</t>
  </si>
  <si>
    <t>134.01-(-) Arrendamento mercantil - PJ arrendat ria - contrapresta  es pagas ou creditadas de contratos de arrendamento</t>
  </si>
  <si>
    <t>134.05-(-) Arrendamento mercantil - PJ arrendadora - contrato n o tipificado como arrendamento mercantil financeiro</t>
  </si>
  <si>
    <t>134.15-(-) Arrendamento mercantil - PJ arrendat ria - contrapresta  es pagas ou creditadas de contratos n o tipificados como arrendamento</t>
  </si>
  <si>
    <t>134.20-(-) Avalia  o a valor justo - subscri  o - ganho</t>
  </si>
  <si>
    <t>134.25-(-) Avalia  o a valor justo - subscri  o - ganho - sem subconta</t>
  </si>
  <si>
    <t>134.30-(-) Avalia  o a valor justo - subscri  o - ganho</t>
  </si>
  <si>
    <t>134.35-(-) Avalia  o a valor justo - ativo ou passivo da pessoa jur dica - perda</t>
  </si>
  <si>
    <t>134.40-(-) Avalia  o a valor justo - subscri  o - perda</t>
  </si>
  <si>
    <t>135-(-) Juros de empr stimos - custos de empr stimos</t>
  </si>
  <si>
    <t>136.05-(-) Atividade imobili ria - permuta - lucro bruto decorrente da avalia  o a valor justo das unidades permutadas</t>
  </si>
  <si>
    <t>137-(-) Avalia  o a valor justo - ativo ou passivo da pessoa jur dica - ganho</t>
  </si>
  <si>
    <t>137.05-(-) Avalia  o a valor justo - ativo ou passivo da pessoa jur dica - ganho - sem subconta</t>
  </si>
  <si>
    <t>137.10-(-) Avalia  o a valor justo - ativo ou passivo da pessoa jur dica - ganho</t>
  </si>
  <si>
    <t>141-(-) Ajuste a valor presente de ativo - venda</t>
  </si>
  <si>
    <t>141.05-(-) Ajuste a valor presente de ativo - outras opera  es</t>
  </si>
  <si>
    <t>142-(-) Ajuste a valor presente de passivo - incisos I</t>
  </si>
  <si>
    <t>142.05-(-) Ajuste a valor presente de passivo - incisos IV e V do art. 5  da Lei n  12.973/2014.</t>
  </si>
  <si>
    <t>142.10-(-) Ajuste a valor presente de passivo - outras opera  es que n o sejm aquisi  o a prazo.</t>
  </si>
  <si>
    <t>142.15-(-) Ajuste a valor presente de passivo - outras opera  es que n o sejm aquisi  o a prazo - relacionado a uma despesa ou custo.</t>
  </si>
  <si>
    <t>143.05-(-) Ado  o inicial dos arts. 1  a 71 da Lei n  12.973/2014 - realiza  o de diferen a negativa entre valores de ativo controlada em subconta</t>
  </si>
  <si>
    <t>143.10-(-) Ado  o inicial dos arts. 1  a 71 da Lei n  12.973/2014 - baixa ou liquida  o de diferen a positiva entre valores de passivo controlada em subconta</t>
  </si>
  <si>
    <t>143.15-(-) Ado  o inicial dos arts. 1  a 71 da Lei n  12.973/2014 - ativo diferido - realiza  o de diferen a negativa entre valores de ativo diferido controlada em subconta</t>
  </si>
  <si>
    <t>143.20-(-) Ado  o inicial dos arts. 1  a 71 da Lei n  12.973/2014 - ativo diferido - realiza  o de diferen a negativa entre valores de ativo diferido n o reconhecida contabilmente na data da ado  o inicial</t>
  </si>
  <si>
    <t>145-(-) Atividade imobili ria - diferimento da tributa  o - ajustes pertinentes ao reconhecimento do lucro bruto</t>
  </si>
  <si>
    <t>146-(-) Despesa com emiss o de a  es</t>
  </si>
  <si>
    <t>146.01-(-) Despesa com instrumentos de capital ou de d vida subordinada</t>
  </si>
  <si>
    <t>147-(-) Despesas pr -operacionais</t>
  </si>
  <si>
    <t>154-(-) Contratos de longo prazo - diverg ncia de crit rio - ajuste da diferen a dos crit rios adotados no   1  do art. 10 do Decreto-Lei n  1.598</t>
  </si>
  <si>
    <t>155-(-) Provis es ou perdas estimadas - teste de recuperabilidade - aliena  o ou baixa do bem correspondente</t>
  </si>
  <si>
    <t>155.05-(-) Provis es ou perdas estimadas - teste de recuperabilidade - revers o</t>
  </si>
  <si>
    <t>156-(-) Pagamento baseado em a  es apropriado como despesa ou custo</t>
  </si>
  <si>
    <t>157-(-) Contratos de concess o de servi os p blicos - realiza  o de ativo intang vel representativo do direito</t>
  </si>
  <si>
    <t>157.05-(-) Contratos de concess o de servi os p blicos - recebimento de ativo financeiro</t>
  </si>
  <si>
    <t>157.10-(-) Contratos de concess o de servi os p blicos - apropria  o de receitas financeiras decorrentes de ajuste a valor presente do ativo financeiro</t>
  </si>
  <si>
    <t>159-(-) CPC 47 - Ajustes de Receita Bruta</t>
  </si>
  <si>
    <t>159.05-(-) CPC 47 - Ajustes de Custos/Despesas</t>
  </si>
  <si>
    <t>159.10-(-) CPC 47 - Ajustes de Outras Receitas/Outros Resultados</t>
  </si>
  <si>
    <t>161-(-) Deprecia  o - diferen a entre as deprecia  es cont bil e fiscal</t>
  </si>
  <si>
    <t>163-(-) Provis es ou perdas estimadas - gastos com desmontagem</t>
  </si>
  <si>
    <t>164-(-) Outros ajustes decorrentes de modifica  o ou ado  o de m todos e crit rios cont beis por meio dos atos administrativos</t>
  </si>
  <si>
    <t>166-(-) Contratos de concess o de servi os p blicos - diferen a positiva - ado  o inicial dos arts. 1  a 71 da Lei n  12.973/2014</t>
  </si>
  <si>
    <t>166.01-(-) Lucros de participa  es em controladas e coligadas domiciliadas no Brasil</t>
  </si>
  <si>
    <t>166.03-(-) Juros sobre o capital pr prio</t>
  </si>
  <si>
    <t>166.05-(-) Ganho de capital - recebimento ap s o t rmino do ano-calend rio seguinte ao da contrata  o</t>
  </si>
  <si>
    <t>166.10-(-) Perdas no recebimento de cr ditos - PJ credora - encargos financeiros incidentes sobre o cr dito vencido e n o recebido contabilizado como receita</t>
  </si>
  <si>
    <t>166.15-(-) Encargos incidentes sobre o d bito vencido e n o pago deduzidos como despesa a serem exclu dos no per odo de apura  o em que ocorrer a quita  o do d bito por qualquer forma</t>
  </si>
  <si>
    <t>166.20-(-) Lucros</t>
  </si>
  <si>
    <t>166.21-(-) Lucros</t>
  </si>
  <si>
    <t>166.25-(-) Programas de est mulo   solicita  o de documento fiscal</t>
  </si>
  <si>
    <t>166.30-(-) Seguros ou pec lio por morte do s cio</t>
  </si>
  <si>
    <t>166.35-(-) Ajustes de exerc cios anteriores - lan amentos extempor neos</t>
  </si>
  <si>
    <t>166.45-(-) Ganho decorrente da mensura  o de ativo pelo valor de liquida  o</t>
  </si>
  <si>
    <t>166.50-(-) Perda decorrente da mensura  o de ativo pelo valor de liquida  o - Realiza  o</t>
  </si>
  <si>
    <t>166.55-(-) Despesa estimada para realiza  o do ativo - Entidade em Liquida  o - Realiza  o</t>
  </si>
  <si>
    <t>166.60-(-) Ganho decorrente do reconhecimento de ativo n o registrado at  a data de in cio de liquida  o</t>
  </si>
  <si>
    <t>166.65-(-) Perda decorrente da baixa de ativo registrado at  a data de in cio de liquida  o - Efetiva sa da do ativo do patrim nio da pessoa jur dica ou da extin  o desta</t>
  </si>
  <si>
    <t>166.70-(-) Gastos ativados no imobilizado/intang vel na atividade de explora  o de petr leo e g s natural</t>
  </si>
  <si>
    <t>166.75-(-) Exaust o Acelerada dos gastos com o desenvolvimento da produ  o dos campos de petr leo e g s natural</t>
  </si>
  <si>
    <t>166.85-(-) Deprecia  o - diferen a entre as deprecia  es cont bil e fiscal - Art. 6  da IN RFB n  1.778/2017</t>
  </si>
  <si>
    <t>167-(-) Outras exclus es - com indicador de relacionamento 1</t>
  </si>
  <si>
    <t>167.01-(-) Outras exclus es - qualquer indicador de relacionamento</t>
  </si>
  <si>
    <t>168-SOMA DAS EXCLUS ES (IRPJ)</t>
  </si>
  <si>
    <t>169-LUCRO REAL ANTES DA COMPENSA  O DE PREJU ZOS DO PR PRIO PER ODO DE APURA  O</t>
  </si>
  <si>
    <t>170-(-)Compensa  o de Preju zo do Pr prio Per odo - Atividade Rural</t>
  </si>
  <si>
    <t>171-LUCRO REAL AP S A COMPENSA  O DOS PREJU ZOS DO PR PRIO PER ODO DE APURA  O</t>
  </si>
  <si>
    <t>172-COMPENSA  O DE PREJU ZOS FISCAIS DE PER ODOS DE APURA  O ANTERIORES</t>
  </si>
  <si>
    <t>173-(-) Compensa  o de Preju zos Fiscais de Per odos Anteriores - Atividades em Geral</t>
  </si>
  <si>
    <t>174-(-) Compensa  o de Preju zos Fiscais de Per odos Anteriores - Atividade Rural</t>
  </si>
  <si>
    <t>175-LUCRO REAL</t>
  </si>
  <si>
    <t>176-LUCRO REAL POSTERGADO DE PER ODOS DE APURA  O ANTERIORES</t>
  </si>
  <si>
    <t>01012024-31012024</t>
  </si>
  <si>
    <t>01012024-29022024</t>
  </si>
  <si>
    <t>01012024-31032024</t>
  </si>
  <si>
    <t>01012024-30042024</t>
  </si>
  <si>
    <t>01012024-31052024</t>
  </si>
  <si>
    <t>01012024-30062024</t>
  </si>
  <si>
    <t>01012024-31072024</t>
  </si>
  <si>
    <t>01012024-31082024</t>
  </si>
  <si>
    <t>01012024-30092024</t>
  </si>
  <si>
    <t>01012024-31102024</t>
  </si>
  <si>
    <t>01012024-30112024</t>
  </si>
  <si>
    <t>NUM LANCTO</t>
  </si>
  <si>
    <t>PERÍODO</t>
  </si>
  <si>
    <t xml:space="preserve">A-ADIÇÃO </t>
  </si>
  <si>
    <t>E-EXCLUSÃO</t>
  </si>
  <si>
    <t>P-COMPENSAÇÃO</t>
  </si>
  <si>
    <t>L-LUCRO</t>
  </si>
  <si>
    <t>4-SEM RELACIONAMENTO</t>
  </si>
  <si>
    <t>Provisoes no período</t>
  </si>
  <si>
    <t>|M305|3|59865,21|D|</t>
  </si>
  <si>
    <t>|M310|3.3.3.09.009||59865,21|D|</t>
  </si>
  <si>
    <t>|M310|3.3.3.09.007||234,78|D|</t>
  </si>
  <si>
    <t>|M310|3.3.1.03.008||247,22|D|</t>
  </si>
  <si>
    <t>|M310|3.3.1.03.011||1895,14|D|</t>
  </si>
  <si>
    <t>|M310|3.3.3.09.001||399,84|D|</t>
  </si>
  <si>
    <t>|M310|3.3.3.09.002||4000|D|</t>
  </si>
  <si>
    <t>|M305|6|5500|C|</t>
  </si>
  <si>
    <t>|M310|3.3.3.09.013||5500|C|</t>
  </si>
  <si>
    <t>|M305|3|119730,42|D|</t>
  </si>
  <si>
    <t>|M310|3.3.3.09.009||119730,42|D|</t>
  </si>
  <si>
    <t>|M310|3.3.3.09.007||892,7|D|</t>
  </si>
  <si>
    <t>|M310|3.3.1.01.010||142525,44|D|</t>
  </si>
  <si>
    <t>|M310|3.3.1.03.008||494,44|D|</t>
  </si>
  <si>
    <t>|M310|3.3.1.03.011||3723,48|D|</t>
  </si>
  <si>
    <t>|M310|3.3.3.09.001||3769,8|D|</t>
  </si>
  <si>
    <t>|M305|9|494093,83|C|</t>
  </si>
  <si>
    <t>|M310|3.3.3.09.005||494093,83|C|</t>
  </si>
  <si>
    <t>|M305|6|11000|C|</t>
  </si>
  <si>
    <t>|M310|3.3.3.09.013||11000|C|</t>
  </si>
  <si>
    <t>|M305|10|171944,65|C|</t>
  </si>
  <si>
    <t>|M310|3.3.3.09.019||171944,65|C|</t>
  </si>
  <si>
    <t>|M355|3|59865,21|D|</t>
  </si>
  <si>
    <t>|M360|3.3.3.09.009||59865,21|D|</t>
  </si>
  <si>
    <t>|M360|3.3.3.09.007||234,78|D|</t>
  </si>
  <si>
    <t>|M360|3.3.1.03.008||247,22|D|</t>
  </si>
  <si>
    <t>|M360|3.3.1.03.011||1895,14|D|</t>
  </si>
  <si>
    <t>|M360|3.3.3.09.001||399,84|D|</t>
  </si>
  <si>
    <t>|M360|3.3.3.09.002||4000|D|</t>
  </si>
  <si>
    <t>|M355|6|5500|C|</t>
  </si>
  <si>
    <t>|M360|3.3.3.09.013||5500|C|</t>
  </si>
  <si>
    <t>|M355|3|119730,42|D|</t>
  </si>
  <si>
    <t>|M360|3.3.3.09.009||119730,42|D|</t>
  </si>
  <si>
    <t>|M360|3.3.3.09.007||892,7|D|</t>
  </si>
  <si>
    <t>|M360|3.3.1.03.008||494,44|D|</t>
  </si>
  <si>
    <t>|M360|3.3.1.03.011||3723,48|D|</t>
  </si>
  <si>
    <t>|M360|3.3.3.09.001||3769,8|D|</t>
  </si>
  <si>
    <t>|M355|9|494093,83|C|</t>
  </si>
  <si>
    <t>|M360|3.3.3.09.005||494093,83|C|</t>
  </si>
  <si>
    <t>|M355|6|11000|C|</t>
  </si>
  <si>
    <t>|M360|3.3.3.09.013||11000|C|</t>
  </si>
  <si>
    <t>|M355|10|171944,65|C|</t>
  </si>
  <si>
    <t>|M360|3.3.3.09.019||171944,65|C|</t>
  </si>
  <si>
    <t>|M030|01012024|31122024|A01|</t>
  </si>
  <si>
    <t>|M300|6|Provis es ou perdas estimadas n o dedut veis|A|3||Provisoes no período|</t>
  </si>
  <si>
    <t>|M300|8.65|Multas impostas por transgress es de leis de natureza n o tribut ria|A|2||Mutas nao fiscais no periodo|</t>
  </si>
  <si>
    <t>|M300|8.75|Remunera  o de s cios|A|2|||</t>
  </si>
  <si>
    <t>|M300|8|Despesas n o necess rias|A|2|||</t>
  </si>
  <si>
    <t>|M300|95|(-) Revers o ou uso de provis es ou perdas estimadas n o dedut veis|E|3|||</t>
  </si>
  <si>
    <t>|M350|6|Provis es ou perdas estimadas n o dedut veis|A|3||Provisoes no período|</t>
  </si>
  <si>
    <t>|M350|8.75|Remunera  o de s cios|A|2|||</t>
  </si>
  <si>
    <t>|M350|8|Despesas n o necess rias|A|2|||</t>
  </si>
  <si>
    <t>|M350|95|(-) Revers o ou uso de provis es ou perdas estimadas n o dedut veis|E|3|||</t>
  </si>
  <si>
    <t>TIPO APURAÇAO</t>
  </si>
  <si>
    <t>M030</t>
  </si>
  <si>
    <t>M300</t>
  </si>
  <si>
    <t>M310-TP1-2|M305-TP3</t>
  </si>
  <si>
    <t>M310-M360-TP3</t>
  </si>
  <si>
    <t>tipo Registro 3CCTB</t>
  </si>
  <si>
    <t>tipo registro 3 PARTE B</t>
  </si>
  <si>
    <t>|M355|9|0|D|</t>
  </si>
  <si>
    <t>|M355|10|0|D|</t>
  </si>
  <si>
    <t>|M355|5|0|D|</t>
  </si>
  <si>
    <t>|M355|12|0|D|</t>
  </si>
  <si>
    <t>|M355|9|0|C|</t>
  </si>
  <si>
    <t>|M355|10|0|C|</t>
  </si>
  <si>
    <t>|M355|13|0|C|</t>
  </si>
  <si>
    <t>|M355|12|0|C|</t>
  </si>
  <si>
    <t>|M305|9|0|D|</t>
  </si>
  <si>
    <t>|M305|10|0|D|</t>
  </si>
  <si>
    <t>|M305|5|0|D|</t>
  </si>
  <si>
    <t>|M305|12|0|D|</t>
  </si>
  <si>
    <t>|M305|12|0|C|</t>
  </si>
  <si>
    <t>|M360|3.3.3.09.005||0|D|</t>
  </si>
  <si>
    <t>|M360|3.3.3.09.019||0|D|</t>
  </si>
  <si>
    <t>|M360|3.3.3.09.010||0|D|</t>
  </si>
  <si>
    <t>|M360|3.3.3.09.015||0|D|</t>
  </si>
  <si>
    <t>|M360|3.3.3.09.021||0|D|</t>
  </si>
  <si>
    <t>|M360|3.3.3.09.005||0|C|</t>
  </si>
  <si>
    <t>|M360|3.3.3.09.019||0|C|</t>
  </si>
  <si>
    <t>|M360|3.3.3.09.014||0|C|</t>
  </si>
  <si>
    <t>|M360|3.3.3.09.021||0|C|</t>
  </si>
  <si>
    <t>|M310|3.3.3.09.005||0|D|</t>
  </si>
  <si>
    <t>|M310|3.3.3.09.019||0|D|</t>
  </si>
  <si>
    <t>|M310|3.3.3.09.010||0|D|</t>
  </si>
  <si>
    <t>|M310|3.3.3.09.015||0|D|</t>
  </si>
  <si>
    <t>|M310|3.3.3.09.021||0|D|</t>
  </si>
  <si>
    <t>|M310|3.3.3.09.021||0|C|</t>
  </si>
  <si>
    <t>registros</t>
  </si>
  <si>
    <t>|M300|6|Provis es ou perdas estimadas n o dedut veis|A|3|59865,21|Provisoes no período|</t>
  </si>
  <si>
    <t>|M300|6|Provis es ou perdas estimadas n o dedut veis|A|3|0|Provisoes no período|</t>
  </si>
  <si>
    <t>|M300|6|Provis es ou perdas estimadas n o dedut veis|A|3|119730,42|Provisoes no período|</t>
  </si>
  <si>
    <t>|M350|6|Provis es ou perdas estimadas n o dedut veis|A|3|0|Provisoes no período|</t>
  </si>
  <si>
    <t>|M350|6|Provis es ou perdas estimadas n o dedut veis|A|3|59865,21|Provisoes no período|</t>
  </si>
  <si>
    <t>|M350|6|Provis es ou perdas estimadas n o dedut veis|A|3|119730,42|Provisoes no período|</t>
  </si>
  <si>
    <t>Remuneracoes a socios</t>
  </si>
  <si>
    <t>Despesas nao dedutiveis no periodo</t>
  </si>
  <si>
    <t>|M310|3.3.3.09.019||23838|D|</t>
  </si>
  <si>
    <t>|M310|3.3.3.09.005||68500|D|</t>
  </si>
  <si>
    <t>|M310|3.3.3.09.009||179595,63|D|</t>
  </si>
  <si>
    <t>|M305|10|23838|D|</t>
  </si>
  <si>
    <t>|M305|9|68500|D|</t>
  </si>
  <si>
    <t>|M305|3|179595,63|D|</t>
  </si>
  <si>
    <t>|M310|3.3.3.09.001||5872,9|D|</t>
  </si>
  <si>
    <t>|M310|3.3.1.03.008||741,66|D|</t>
  </si>
  <si>
    <t>|M310|3.3.1.03.011||5551,82|D|</t>
  </si>
  <si>
    <t>|M310|3.3.3.09.021||122550|C|</t>
  </si>
  <si>
    <t>|M305|12|122550|C|</t>
  </si>
  <si>
    <t>|M310|3.3.3.09.019||47676|D|</t>
  </si>
  <si>
    <t>|M310|3.3.3.09.005||137000|D|</t>
  </si>
  <si>
    <t>|M310|3.3.3.09.009||239460,84|D|</t>
  </si>
  <si>
    <t>|M305|10|47676|D|</t>
  </si>
  <si>
    <t>|M305|9|137000|D|</t>
  </si>
  <si>
    <t>|M305|3|239460,84|D|</t>
  </si>
  <si>
    <t>|M310|3.3.3.09.001||6965,7|D|</t>
  </si>
  <si>
    <t>|M310|3.3.3.09.007||1234,36|D|</t>
  </si>
  <si>
    <t>|M310|3.3.1.03.008||988,88|D|</t>
  </si>
  <si>
    <t>|M310|3.3.1.03.011||7380,16|D|</t>
  </si>
  <si>
    <t>|M310|3.3.3.09.021||167940|C|</t>
  </si>
  <si>
    <t>|M305|12|167940|C|</t>
  </si>
  <si>
    <t>|M310|3.3.3.09.019||71514|D|</t>
  </si>
  <si>
    <t>|M310|3.3.3.09.005||205500|D|</t>
  </si>
  <si>
    <t>|M310|3.3.3.09.009||299326,05|D|</t>
  </si>
  <si>
    <t>|M305|10|71514|D|</t>
  </si>
  <si>
    <t>|M305|9|205500|D|</t>
  </si>
  <si>
    <t>|M305|3|299326,05|D|</t>
  </si>
  <si>
    <t>|M310|3.3.3.09.001||7540,35|D|</t>
  </si>
  <si>
    <t>|M310|3.3.3.09.007||1533,72|D|</t>
  </si>
  <si>
    <t>|M310|3.3.1.03.008||1236,1|D|</t>
  </si>
  <si>
    <t>|M310|3.3.1.03.011||9380,16|D|</t>
  </si>
  <si>
    <t>|M310|3.3.3.09.019||95352|D|</t>
  </si>
  <si>
    <t>|M310|3.3.3.09.009||359191,26|D|</t>
  </si>
  <si>
    <t>|M310|3.3.3.09.021||24920|D|</t>
  </si>
  <si>
    <t>|M310|3.3.3.09.005||274000|D|</t>
  </si>
  <si>
    <t>|M305|12|24920|D|</t>
  </si>
  <si>
    <t>|M305|10|95352|D|</t>
  </si>
  <si>
    <t>|M305|9|274000|D|</t>
  </si>
  <si>
    <t>|M305|3|359191,26|D|</t>
  </si>
  <si>
    <t>|M310|3.3.3.09.001||8748,72|D|</t>
  </si>
  <si>
    <t>|M310|3.3.3.09.002||40847,75|D|</t>
  </si>
  <si>
    <t>|M310|3.3.3.09.007||1637,85|D|</t>
  </si>
  <si>
    <t>|M310|3.3.1.03.008||1483,32|D|</t>
  </si>
  <si>
    <t>|M310|3.3.1.03.011||11380,16|D|</t>
  </si>
  <si>
    <t>|M310|3.3.3.09.018||5080,5|C|</t>
  </si>
  <si>
    <t>|M305|5|5080,5|C|</t>
  </si>
  <si>
    <t>|M310|3.3.3.09.019||119190|D|</t>
  </si>
  <si>
    <t>|M310|3.3.3.09.009||419056,47|D|</t>
  </si>
  <si>
    <t>|M310|3.3.3.09.005||342500|D|</t>
  </si>
  <si>
    <t>|M305|10|119190|D|</t>
  </si>
  <si>
    <t>|M305|9|342500|D|</t>
  </si>
  <si>
    <t>|M305|3|419056,47|D|</t>
  </si>
  <si>
    <t>|M310|3.3.3.09.001||10263,14|D|</t>
  </si>
  <si>
    <t>|M310|3.3.3.09.002||42847,75|D|</t>
  </si>
  <si>
    <t>|M310|3.3.3.09.007||1741,98|D|</t>
  </si>
  <si>
    <t>|M310|3.3.1.03.008||1730,54|D|</t>
  </si>
  <si>
    <t>|M310|3.3.1.03.011||13380,16|D|</t>
  </si>
  <si>
    <t>|M310|3.3.3.09.019||143028|D|</t>
  </si>
  <si>
    <t>|M310|3.3.3.09.009||478921,68|D|</t>
  </si>
  <si>
    <t>|M310|3.3.3.09.005||411000|D|</t>
  </si>
  <si>
    <t>|M305|10|143028|D|</t>
  </si>
  <si>
    <t>|M305|9|411000|D|</t>
  </si>
  <si>
    <t>|M305|3|478921,68|D|</t>
  </si>
  <si>
    <t>|M310|3.3.3.09.001||12346,81|D|</t>
  </si>
  <si>
    <t>|M310|3.3.3.09.002||42887,55|D|</t>
  </si>
  <si>
    <t>|M310|3.3.3.09.007||1950,24|D|</t>
  </si>
  <si>
    <t>|M310|3.3.1.03.008||1977,76|D|</t>
  </si>
  <si>
    <t>|M310|3.3.1.03.011||15380,16|D|</t>
  </si>
  <si>
    <t>|M310|3.3.3.09.019||166866|D|</t>
  </si>
  <si>
    <t>|M310|3.3.3.09.009||538786,89|D|</t>
  </si>
  <si>
    <t>|M310|3.3.3.09.021||74920|D|</t>
  </si>
  <si>
    <t>|M310|3.3.3.09.005||479500|D|</t>
  </si>
  <si>
    <t>|M305|12|74920|D|</t>
  </si>
  <si>
    <t>|M305|10|166866|D|</t>
  </si>
  <si>
    <t>|M305|9|479500|D|</t>
  </si>
  <si>
    <t>|M305|3|538786,89|D|</t>
  </si>
  <si>
    <t>|M310|3.3.3.09.001||15437,37|D|</t>
  </si>
  <si>
    <t>|M310|3.3.3.09.002||43225,32|D|</t>
  </si>
  <si>
    <t>|M310|3.3.3.09.007||1394,23|D|</t>
  </si>
  <si>
    <t>|M310|3.3.1.03.008||2224,98|D|</t>
  </si>
  <si>
    <t>|M310|3.3.1.03.011||17380,16|D|</t>
  </si>
  <si>
    <t>|M310|3.3.3.09.019||190704|D|</t>
  </si>
  <si>
    <t>|M310|3.3.3.09.009||598652,1|D|</t>
  </si>
  <si>
    <t>|M310|3.3.3.09.005||548000|D|</t>
  </si>
  <si>
    <t>|M305|10|190704|D|</t>
  </si>
  <si>
    <t>|M305|9|548000|D|</t>
  </si>
  <si>
    <t>|M305|3|598652,1|D|</t>
  </si>
  <si>
    <t>|M310|3.3.3.09.001||16545,82|D|</t>
  </si>
  <si>
    <t>|M310|3.3.3.09.002||43470,25|D|</t>
  </si>
  <si>
    <t>|M310|3.3.3.09.007||1602,47|D|</t>
  </si>
  <si>
    <t>|M310|3.3.1.03.008||2472,2|D|</t>
  </si>
  <si>
    <t>|M310|3.3.1.03.011||19943,76|D|</t>
  </si>
  <si>
    <t>|M310|3.3.3.09.019||214542|D|</t>
  </si>
  <si>
    <t>|M310|3.3.3.09.009||658517,31|D|</t>
  </si>
  <si>
    <t>|M310|3.3.3.09.005||616500|D|</t>
  </si>
  <si>
    <t>|M305|10|214542|D|</t>
  </si>
  <si>
    <t>|M305|9|616500|D|</t>
  </si>
  <si>
    <t>|M305|3|658517,31|D|</t>
  </si>
  <si>
    <t>|M310|3.3.3.09.001||16861,66|D|</t>
  </si>
  <si>
    <t>|M310|3.3.3.09.002||44130,29|D|</t>
  </si>
  <si>
    <t>|M310|3.3.3.09.007||2227,21|D|</t>
  </si>
  <si>
    <t>|M310|3.3.1.03.011||22225,56|D|</t>
  </si>
  <si>
    <t>|M310|3.3.3.09.022||1418785,67|D|</t>
  </si>
  <si>
    <t>|M310|3.3.3.09.024||320000|D|</t>
  </si>
  <si>
    <t>|M310|3.3.3.09.021||89920|D|</t>
  </si>
  <si>
    <t>|M310|3.3.3.09.010||21738,29|D|</t>
  </si>
  <si>
    <t>|M310|3.3.3.09.015||279368,68|D|</t>
  </si>
  <si>
    <t>|M310|3.3.3.09.005||689384,57|D|</t>
  </si>
  <si>
    <t>|M310|3.3.3.09.012||5366,53|D|</t>
  </si>
  <si>
    <t>|M310|3.3.3.09.019||239905,83|D|</t>
  </si>
  <si>
    <t>|M310|3.3.3.09.009||727955,89|D|</t>
  </si>
  <si>
    <t>|M305|6|5366,53|D|</t>
  </si>
  <si>
    <t>|M305|5|21738,29|D|</t>
  </si>
  <si>
    <t>|M305|12|89920|D|</t>
  </si>
  <si>
    <t>|M305|10|239905,83|D|</t>
  </si>
  <si>
    <t>|M305|9|279368,68|D|</t>
  </si>
  <si>
    <t>|M305|6|320000|D|</t>
  </si>
  <si>
    <t>|M305|9|689384,57|D|</t>
  </si>
  <si>
    <t>|M305|3|727955,89|D|</t>
  </si>
  <si>
    <t>|M305|1.1.4.01.999|1418785,67|D|</t>
  </si>
  <si>
    <t>|M310|3.3.3.09.001||24790,58|D|</t>
  </si>
  <si>
    <t>|M310|3.3.3.09.007||136,67|D|</t>
  </si>
  <si>
    <t>|M310|3.3.1.03.008||2966,64|D|</t>
  </si>
  <si>
    <t>|M310|3.3.1.03.011||24507,36|D|</t>
  </si>
  <si>
    <t>|M310|3.3.3.09.014||572647,08|C|</t>
  </si>
  <si>
    <t>|M305|13|572647,08|C|</t>
  </si>
  <si>
    <t>|M360|3.3.3.09.019||23838|D|</t>
  </si>
  <si>
    <t>|M360|3.3.3.09.005||68500|D|</t>
  </si>
  <si>
    <t>|M360|3.3.3.09.009||179595,63|D|</t>
  </si>
  <si>
    <t>|M355|10|23838|D|</t>
  </si>
  <si>
    <t>|M355|9|68500|D|</t>
  </si>
  <si>
    <t>|M355|3|179595,63|D|</t>
  </si>
  <si>
    <t>|M360|3.3.3.09.001||5872,9|D|</t>
  </si>
  <si>
    <t>|M360|3.3.1.03.008||741,66|D|</t>
  </si>
  <si>
    <t>|M360|3.3.1.03.011||5551,82|D|</t>
  </si>
  <si>
    <t>|M360|3.3.3.09.021||122550|C|</t>
  </si>
  <si>
    <t>|M355|12|122550|C|</t>
  </si>
  <si>
    <t>|M360|3.3.3.09.019||47676|D|</t>
  </si>
  <si>
    <t>|M360|3.3.3.09.005||137000|D|</t>
  </si>
  <si>
    <t>|M360|3.3.3.09.009||239460,84|D|</t>
  </si>
  <si>
    <t>|M355|10|47676|D|</t>
  </si>
  <si>
    <t>|M355|9|137000|D|</t>
  </si>
  <si>
    <t>|M355|3|239460,84|D|</t>
  </si>
  <si>
    <t>|M360|3.3.3.09.001||6965,7|D|</t>
  </si>
  <si>
    <t>|M360|3.3.3.09.007||1234,36|D|</t>
  </si>
  <si>
    <t>|M360|3.3.1.03.008||988,88|D|</t>
  </si>
  <si>
    <t>|M360|3.3.1.03.011||7380,16|D|</t>
  </si>
  <si>
    <t>|M360|3.3.3.09.021||167940|C|</t>
  </si>
  <si>
    <t>|M355|12|167940|C|</t>
  </si>
  <si>
    <t>|M360|3.3.3.09.019||71514|D|</t>
  </si>
  <si>
    <t>|M360|3.3.3.09.005||205500|D|</t>
  </si>
  <si>
    <t>|M360|3.3.3.09.009||299326,05|D|</t>
  </si>
  <si>
    <t>|M355|10|71514|D|</t>
  </si>
  <si>
    <t>|M355|9|205500|D|</t>
  </si>
  <si>
    <t>|M355|3|299326,05|D|</t>
  </si>
  <si>
    <t>|M360|3.3.3.09.001||7540,35|D|</t>
  </si>
  <si>
    <t>|M360|3.3.3.09.007||1533,72|D|</t>
  </si>
  <si>
    <t>|M360|3.3.1.03.008||1236,1|D|</t>
  </si>
  <si>
    <t>|M360|3.3.1.03.011||9380,16|D|</t>
  </si>
  <si>
    <t>|M360|3.3.3.09.019||95352|D|</t>
  </si>
  <si>
    <t>|M360|3.3.3.09.009||359191,26|D|</t>
  </si>
  <si>
    <t>|M360|3.3.3.09.021||24920|D|</t>
  </si>
  <si>
    <t>|M360|3.3.3.09.005||274000|D|</t>
  </si>
  <si>
    <t>|M355|12|24920|D|</t>
  </si>
  <si>
    <t>|M355|10|95352|D|</t>
  </si>
  <si>
    <t>|M355|9|274000|D|</t>
  </si>
  <si>
    <t>|M355|3|359191,26|D|</t>
  </si>
  <si>
    <t>|M360|3.3.3.09.001||8748,72|D|</t>
  </si>
  <si>
    <t>|M360|3.3.3.09.002||40847,75|D|</t>
  </si>
  <si>
    <t>|M360|3.3.3.09.007||1637,85|D|</t>
  </si>
  <si>
    <t>|M360|3.3.1.03.008||1483,32|D|</t>
  </si>
  <si>
    <t>|M360|3.3.1.03.011||11380,16|D|</t>
  </si>
  <si>
    <t>|M360|3.3.3.09.018||5080,5|C|</t>
  </si>
  <si>
    <t>|M355|5|5080,5|C|</t>
  </si>
  <si>
    <t>|M360|3.3.3.09.019||119190|D|</t>
  </si>
  <si>
    <t>|M360|3.3.3.09.009||419056,47|D|</t>
  </si>
  <si>
    <t>|M360|3.3.3.09.005||342500|D|</t>
  </si>
  <si>
    <t>|M355|10|119190|D|</t>
  </si>
  <si>
    <t>|M355|9|342500|D|</t>
  </si>
  <si>
    <t>|M355|3|419056,47|D|</t>
  </si>
  <si>
    <t>|M360|3.3.3.09.001||10263,14|D|</t>
  </si>
  <si>
    <t>|M360|3.3.3.09.002||42847,75|D|</t>
  </si>
  <si>
    <t>|M360|3.3.3.09.007||1741,98|D|</t>
  </si>
  <si>
    <t>|M360|3.3.1.03.008||1730,54|D|</t>
  </si>
  <si>
    <t>|M360|3.3.1.03.011||13380,16|D|</t>
  </si>
  <si>
    <t>|M360|3.3.3.09.019||143028|D|</t>
  </si>
  <si>
    <t>|M360|3.3.3.09.009||478921,68|D|</t>
  </si>
  <si>
    <t>|M360|3.3.3.09.005||411000|D|</t>
  </si>
  <si>
    <t>|M355|10|143028|D|</t>
  </si>
  <si>
    <t>|M355|9|411000|D|</t>
  </si>
  <si>
    <t>|M355|3|478921,68|D|</t>
  </si>
  <si>
    <t>|M360|3.3.3.09.001||12346,81|D|</t>
  </si>
  <si>
    <t>|M360|3.3.3.09.002||42887,55|D|</t>
  </si>
  <si>
    <t>|M360|3.3.3.09.007||1950,24|D|</t>
  </si>
  <si>
    <t>|M360|3.3.1.03.008||1977,76|D|</t>
  </si>
  <si>
    <t>|M360|3.3.1.03.011||15380,16|D|</t>
  </si>
  <si>
    <t>|M360|3.3.3.09.019||166866|D|</t>
  </si>
  <si>
    <t>|M360|3.3.3.09.009||538786,89|D|</t>
  </si>
  <si>
    <t>|M360|3.3.3.09.021||74920|D|</t>
  </si>
  <si>
    <t>|M360|3.3.3.09.005||479500|D|</t>
  </si>
  <si>
    <t>|M355|12|74920|D|</t>
  </si>
  <si>
    <t>|M355|10|166866|D|</t>
  </si>
  <si>
    <t>|M355|9|479500|D|</t>
  </si>
  <si>
    <t>|M355|3|538786,89|D|</t>
  </si>
  <si>
    <t>|M360|3.3.3.09.001||15437,37|D|</t>
  </si>
  <si>
    <t>|M360|3.3.3.09.002||43225,32|D|</t>
  </si>
  <si>
    <t>|M360|3.3.3.09.007||1394,23|D|</t>
  </si>
  <si>
    <t>|M360|3.3.1.03.008||2224,98|D|</t>
  </si>
  <si>
    <t>|M360|3.3.1.03.011||17380,16|D|</t>
  </si>
  <si>
    <t>|M360|3.3.3.09.019||190704|D|</t>
  </si>
  <si>
    <t>|M360|3.3.3.09.009||598652,1|D|</t>
  </si>
  <si>
    <t>|M360|3.3.3.09.005||548000|D|</t>
  </si>
  <si>
    <t>|M355|10|190704|D|</t>
  </si>
  <si>
    <t>|M355|9|548000|D|</t>
  </si>
  <si>
    <t>|M355|3|598652,1|D|</t>
  </si>
  <si>
    <t>|M360|3.3.3.09.001||16545,82|D|</t>
  </si>
  <si>
    <t>|M360|3.3.3.09.002||43470,25|D|</t>
  </si>
  <si>
    <t>|M360|3.3.3.09.007||1602,47|D|</t>
  </si>
  <si>
    <t>|M360|3.3.1.03.008||2472,2|D|</t>
  </si>
  <si>
    <t>|M360|3.3.1.03.011||19943,76|D|</t>
  </si>
  <si>
    <t>|M360|3.3.3.09.019||214542|D|</t>
  </si>
  <si>
    <t>|M360|3.3.3.09.009||658517,31|D|</t>
  </si>
  <si>
    <t>|M360|3.3.3.09.005||616500|D|</t>
  </si>
  <si>
    <t>|M355|10|214542|D|</t>
  </si>
  <si>
    <t>|M355|9|616500|D|</t>
  </si>
  <si>
    <t>|M355|3|658517,31|D|</t>
  </si>
  <si>
    <t>|M360|3.3.3.09.001||16861,66|D|</t>
  </si>
  <si>
    <t>|M360|3.3.3.09.002||44130,29|D|</t>
  </si>
  <si>
    <t>|M360|3.3.3.09.007||2227,21|D|</t>
  </si>
  <si>
    <t>|M360|3.3.1.03.011||22225,56|D|</t>
  </si>
  <si>
    <t>|M360|3.3.3.09.022||1418785,67|D|</t>
  </si>
  <si>
    <t>|M360|3.3.3.09.024||320000|D|</t>
  </si>
  <si>
    <t>|M360|3.3.3.09.021||89920|D|</t>
  </si>
  <si>
    <t>|M360|3.3.3.09.010||21738,29|D|</t>
  </si>
  <si>
    <t>|M360|3.3.3.09.015||279368,68|D|</t>
  </si>
  <si>
    <t>|M360|3.3.3.09.005||689384,57|D|</t>
  </si>
  <si>
    <t>|M360|3.3.3.09.012||5366,53|D|</t>
  </si>
  <si>
    <t>|M360|3.3.3.09.019||239905,83|D|</t>
  </si>
  <si>
    <t>|M360|3.3.3.09.009||727955,89|D|</t>
  </si>
  <si>
    <t>|M355|6|5366,53|D|</t>
  </si>
  <si>
    <t>|M355|5|21738,29|D|</t>
  </si>
  <si>
    <t>|M355|12|89920|D|</t>
  </si>
  <si>
    <t>|M355|10|239905,83|D|</t>
  </si>
  <si>
    <t>|M355|9|279368,68|D|</t>
  </si>
  <si>
    <t>|M355|6|320000|D|</t>
  </si>
  <si>
    <t>|M355|9|689384,57|D|</t>
  </si>
  <si>
    <t>|M355|3|727955,89|D|</t>
  </si>
  <si>
    <t>|M355|1.1.4.01.999|1418785,67|D|</t>
  </si>
  <si>
    <t>|M360|3.3.3.09.001||24790,58|D|</t>
  </si>
  <si>
    <t>|M360|3.3.3.09.007||136,67|D|</t>
  </si>
  <si>
    <t>|M360|3.3.1.03.008||2966,64|D|</t>
  </si>
  <si>
    <t>|M360|3.3.1.03.011||24507,36|D|</t>
  </si>
  <si>
    <t>|M360|3.3.3.09.014||572647,08|C|</t>
  </si>
  <si>
    <t>|M355|13|572647,08|C|</t>
  </si>
  <si>
    <t>Multas nao fiscais no periodo</t>
  </si>
  <si>
    <t>|M300|8.65|Multas impostas por transgress es de leis de natureza n o tribut ria|A|2|234,78|Multas nao fiscais no periodo|</t>
  </si>
  <si>
    <t>|M300|8.75|Remunera  o de s cios|A|2|1895,14|Remuneracoes a socios|</t>
  </si>
  <si>
    <t>|M300|8.75|Remunera  o de s cios|A|2|247,22|Remuneracoes a socios|</t>
  </si>
  <si>
    <t>|M300|8|Despesas n o necess rias|A|2|4000|Despesas nao dedutiveis no periodo|</t>
  </si>
  <si>
    <t>|M300|8|Despesas n o necess rias|A|2|399,84|Despesas nao dedutiveis no periodo|</t>
  </si>
  <si>
    <t>|M300|8.65|Multas impostas por transgress es de leis de natureza n o tribut ria|A|2|892,7|Multas nao fiscais no periodo|</t>
  </si>
  <si>
    <t>|M300|8.75|Remunera  o de s cios|A|2|142525,44|Remuneracoes a socios|</t>
  </si>
  <si>
    <t>|M300|8.75|Remunera  o de s cios|A|2|3723,48|Remuneracoes a socios|</t>
  </si>
  <si>
    <t>|M300|8.75|Remunera  o de s cios|A|2|494,44|Remuneracoes a socios|</t>
  </si>
  <si>
    <t>|M300|8|Despesas n o necess rias|A|2|3769,8|Despesas nao dedutiveis no periodo|</t>
  </si>
  <si>
    <t>|M350|8.65|Multas impostas por transgress es de leis de natureza n o tribut ria|A|2|234,78|Multas nao fiscais no periodo|</t>
  </si>
  <si>
    <t>|M350|8.75|Remunera  o de s cios|A|2|1895,14|Remuneracoes a socios|</t>
  </si>
  <si>
    <t>|M350|8.75|Remunera  o de s cios|A|2|247,22|Remuneracoes a socios|</t>
  </si>
  <si>
    <t>|M350|8|Despesas n o necess rias|A|2|4000|Despesas nao dedutiveis no periodo|</t>
  </si>
  <si>
    <t>|M350|8|Despesas n o necess rias|A|2|399,84|Despesas nao dedutiveis no periodo|</t>
  </si>
  <si>
    <t>|M350|8.65|Multas impostas por transgress es de leis de natureza n o tribut ria|A|2|892,7|Multas nao fiscais no periodo|</t>
  </si>
  <si>
    <t>|M350|8.75|Remunera  o de s cios|A|2|3723,48|Remuneracoes a socios|</t>
  </si>
  <si>
    <t>|M350|8.75|Remunera  o de s cios|A|2|494,44|Remuneracoes a socios|</t>
  </si>
  <si>
    <t>|M350|8|Despesas n o necess rias|A|2|3769,8|Despesas nao dedutiveis no periodo|</t>
  </si>
  <si>
    <t>|M030|01012024|31012024|A01|</t>
  </si>
  <si>
    <t>|M300|8.65|Multas impostas por transgress es de leis de natureza n o tribut ria|A|2|1234,36|Multas nao fiscais no periodo|</t>
  </si>
  <si>
    <t>|M300|8.65|Multas impostas por transgress es de leis de natureza n o tribut ria|A|2|1533,72|Multas nao fiscais no periodo|</t>
  </si>
  <si>
    <t>|M300|8.65|Multas impostas por transgress es de leis de natureza n o tribut ria|A|2|1637,85|Multas nao fiscais no periodo|</t>
  </si>
  <si>
    <t>|M300|8.65|Multas impostas por transgress es de leis de natureza n o tribut ria|A|2|1741,98|Multas nao fiscais no periodo|</t>
  </si>
  <si>
    <t>|M300|8.65|Multas impostas por transgress es de leis de natureza n o tribut ria|A|2|1950,24|Multas nao fiscais no periodo|</t>
  </si>
  <si>
    <t>|M300|8.65|Multas impostas por transgress es de leis de natureza n o tribut ria|A|2|1394,23|Multas nao fiscais no periodo|</t>
  </si>
  <si>
    <t>|M300|8.65|Multas impostas por transgress es de leis de natureza n o tribut ria|A|2|1602,47|Multas nao fiscais no periodo|</t>
  </si>
  <si>
    <t>|M300|8.65|Multas impostas por transgress es de leis de natureza n o tribut ria|A|2|2227,21|Multas nao fiscais no periodo|</t>
  </si>
  <si>
    <t>|M300|8.65|Multas impostas por transgress es de leis de natureza n o tribut ria|A|2|136,67|Multas nao fiscais no periodo|</t>
  </si>
  <si>
    <t>|M350|8.65|Multas impostas por transgress es de leis de natureza n o tribut ria|A|2|1234,36|Multas nao fiscais no periodo|</t>
  </si>
  <si>
    <t>|M350|8.65|Multas impostas por transgress es de leis de natureza n o tribut ria|A|2|1533,72|Multas nao fiscais no periodo|</t>
  </si>
  <si>
    <t>|M350|8.65|Multas impostas por transgress es de leis de natureza n o tribut ria|A|2|1637,85|Multas nao fiscais no periodo|</t>
  </si>
  <si>
    <t>|M350|8.65|Multas impostas por transgress es de leis de natureza n o tribut ria|A|2|1741,98|Multas nao fiscais no periodo|</t>
  </si>
  <si>
    <t>|M350|8.65|Multas impostas por transgress es de leis de natureza n o tribut ria|A|2|1950,24|Multas nao fiscais no periodo|</t>
  </si>
  <si>
    <t>|M350|8.65|Multas impostas por transgress es de leis de natureza n o tribut ria|A|2|1394,23|Multas nao fiscais no periodo|</t>
  </si>
  <si>
    <t>|M350|8.65|Multas impostas por transgress es de leis de natureza n o tribut ria|A|2|1602,47|Multas nao fiscais no periodo|</t>
  </si>
  <si>
    <t>|M350|8.65|Multas impostas por transgress es de leis de natureza n o tribut ria|A|2|2227,21|Multas nao fiscais no periodo|</t>
  </si>
  <si>
    <t>|M350|8.65|Multas impostas por transgress es de leis de natureza n o tribut ria|A|2|136,67|Multas nao fiscais no periodo|</t>
  </si>
  <si>
    <t>|M300|95|(-) Revers o ou uso de provis es ou perdas estimadas n o dedut veis|E|3|5500|Reversao provisoes no periodo|</t>
  </si>
  <si>
    <t>|M030|01022024|29022024|A02|</t>
  </si>
  <si>
    <t>|M300|95|(-) Revers o ou uso de provis es ou perdas estimadas n o dedut veis|E|3|494093,83|Reversao provisoes no periodo|</t>
  </si>
  <si>
    <t>|M300|95|(-) Revers o ou uso de provis es ou perdas estimadas n o dedut veis|E|3|11000|Reversao provisoes no periodo|</t>
  </si>
  <si>
    <t>|M300|95|(-) Revers o ou uso de provis es ou perdas estimadas n o dedut veis|E|3|171944,65|Reversao provisoes no periodo|</t>
  </si>
  <si>
    <t>|M300|95|(-) Revers o ou uso de provis es ou perdas estimadas n o dedut veis|E|3|0|Reversao provisoes no periodo|</t>
  </si>
  <si>
    <t>|M030|01032024|31032024|A03|</t>
  </si>
  <si>
    <t>|M300|6|Provis es ou perdas estimadas n o dedut veis|A|3|68500|Provisoes no período|</t>
  </si>
  <si>
    <t>|M300|6|Provis es ou perdas estimadas n o dedut veis|A|3|23838|Provisoes no período|</t>
  </si>
  <si>
    <t>|M300|6|Provis es ou perdas estimadas n o dedut veis|A|3|179595,63|Provisoes no período|</t>
  </si>
  <si>
    <t>|M300|8.75|Remunera  o de s cios|A|2|5551,82|Remuneracoes a socios|</t>
  </si>
  <si>
    <t>|M300|8.75|Remunera  o de s cios|A|2|741,66|Remuneracoes a socios|</t>
  </si>
  <si>
    <t>|M300|8|Despesas n o necess rias|A|2|5872,9|Despesas nao dedutiveis no periodo|</t>
  </si>
  <si>
    <t>|M300|95|(-) Revers o ou uso de provis es ou perdas estimadas n o dedut veis|E|3|122550|Reversao provisoes no periodo|</t>
  </si>
  <si>
    <t>|M030|01042024|30042024|A04|</t>
  </si>
  <si>
    <t>|M300|6|Provis es ou perdas estimadas n o dedut veis|A|3|137000|Provisoes no período|</t>
  </si>
  <si>
    <t>|M300|6|Provis es ou perdas estimadas n o dedut veis|A|3|47676|Provisoes no período|</t>
  </si>
  <si>
    <t>|M300|6|Provis es ou perdas estimadas n o dedut veis|A|3|239460,84|Provisoes no período|</t>
  </si>
  <si>
    <t>|M300|8.75|Remunera  o de s cios|A|2|7380,16|Remuneracoes a socios|</t>
  </si>
  <si>
    <t>|M300|8.75|Remunera  o de s cios|A|2|988,88|Remuneracoes a socios|</t>
  </si>
  <si>
    <t>|M300|8|Despesas n o necess rias|A|2|6965,7|Despesas nao dedutiveis no periodo|</t>
  </si>
  <si>
    <t>|M300|95|(-) Revers o ou uso de provis es ou perdas estimadas n o dedut veis|E|3|167940|Reversao provisoes no periodo|</t>
  </si>
  <si>
    <t>|M030|01052024|31052024|A05|</t>
  </si>
  <si>
    <t>|M300|6|Provis es ou perdas estimadas n o dedut veis|A|3|205500|Provisoes no período|</t>
  </si>
  <si>
    <t>|M300|6|Provis es ou perdas estimadas n o dedut veis|A|3|71514|Provisoes no período|</t>
  </si>
  <si>
    <t>|M300|6|Provis es ou perdas estimadas n o dedut veis|A|3|299326,05|Provisoes no período|</t>
  </si>
  <si>
    <t>|M300|8.75|Remunera  o de s cios|A|2|9380,16|Remuneracoes a socios|</t>
  </si>
  <si>
    <t>|M300|8.75|Remunera  o de s cios|A|2|1236,1|Remuneracoes a socios|</t>
  </si>
  <si>
    <t>|M300|8|Despesas n o necess rias|A|2|7540,35|Despesas nao dedutiveis no periodo|</t>
  </si>
  <si>
    <t>|M030|01062024|30062024|A06|</t>
  </si>
  <si>
    <t>|M300|6|Provis es ou perdas estimadas n o dedut veis|A|3|274000|Provisoes no período|</t>
  </si>
  <si>
    <t>|M300|6|Provis es ou perdas estimadas n o dedut veis|A|3|95352|Provisoes no período|</t>
  </si>
  <si>
    <t>|M300|6|Provis es ou perdas estimadas n o dedut veis|A|3|359191,26|Provisoes no período|</t>
  </si>
  <si>
    <t>|M300|6|Provis es ou perdas estimadas n o dedut veis|A|3|24920|Provisoes no período|</t>
  </si>
  <si>
    <t>|M300|8.75|Remunera  o de s cios|A|2|11380,16|Remuneracoes a socios|</t>
  </si>
  <si>
    <t>|M300|8.75|Remunera  o de s cios|A|2|1483,32|Remuneracoes a socios|</t>
  </si>
  <si>
    <t>|M300|8|Despesas n o necess rias|A|2|40847,75|Despesas nao dedutiveis no periodo|</t>
  </si>
  <si>
    <t>|M300|8|Despesas n o necess rias|A|2|8748,72|Despesas nao dedutiveis no periodo|</t>
  </si>
  <si>
    <t>|M300|95|(-) Revers o ou uso de provis es ou perdas estimadas n o dedut veis|E|3|5080,5|Reversao provisoes no periodo|</t>
  </si>
  <si>
    <t>|M030|01072024|31072024|A07|</t>
  </si>
  <si>
    <t>|M300|6|Provis es ou perdas estimadas n o dedut veis|A|3|342500|Provisoes no período|</t>
  </si>
  <si>
    <t>|M300|6|Provis es ou perdas estimadas n o dedut veis|A|3|119190|Provisoes no período|</t>
  </si>
  <si>
    <t>|M300|6|Provis es ou perdas estimadas n o dedut veis|A|3|419056,47|Provisoes no período|</t>
  </si>
  <si>
    <t>|M300|8.75|Remunera  o de s cios|A|2|13380,16|Remuneracoes a socios|</t>
  </si>
  <si>
    <t>|M300|8.75|Remunera  o de s cios|A|2|1730,54|Remuneracoes a socios|</t>
  </si>
  <si>
    <t>|M300|8|Despesas n o necess rias|A|2|42847,75|Despesas nao dedutiveis no periodo|</t>
  </si>
  <si>
    <t>|M300|8|Despesas n o necess rias|A|2|10263,14|Despesas nao dedutiveis no periodo|</t>
  </si>
  <si>
    <t>|M030|01082024|31082024|A08|</t>
  </si>
  <si>
    <t>|M300|6|Provis es ou perdas estimadas n o dedut veis|A|3|411000|Provisoes no período|</t>
  </si>
  <si>
    <t>|M300|6|Provis es ou perdas estimadas n o dedut veis|A|3|143028|Provisoes no período|</t>
  </si>
  <si>
    <t>|M300|6|Provis es ou perdas estimadas n o dedut veis|A|3|478921,68|Provisoes no período|</t>
  </si>
  <si>
    <t>|M300|8.75|Remunera  o de s cios|A|2|15380,16|Remuneracoes a socios|</t>
  </si>
  <si>
    <t>|M300|8.75|Remunera  o de s cios|A|2|1977,76|Remuneracoes a socios|</t>
  </si>
  <si>
    <t>|M300|8|Despesas n o necess rias|A|2|42887,55|Despesas nao dedutiveis no periodo|</t>
  </si>
  <si>
    <t>|M300|8|Despesas n o necess rias|A|2|12346,81|Despesas nao dedutiveis no periodo|</t>
  </si>
  <si>
    <t>|M030|01092024|30092024|A09|</t>
  </si>
  <si>
    <t>|M300|6|Provis es ou perdas estimadas n o dedut veis|A|3|479500|Provisoes no período|</t>
  </si>
  <si>
    <t>|M300|6|Provis es ou perdas estimadas n o dedut veis|A|3|166866|Provisoes no período|</t>
  </si>
  <si>
    <t>|M300|6|Provis es ou perdas estimadas n o dedut veis|A|3|538786,89|Provisoes no período|</t>
  </si>
  <si>
    <t>|M300|6|Provis es ou perdas estimadas n o dedut veis|A|3|74920|Provisoes no período|</t>
  </si>
  <si>
    <t>|M300|8.75|Remunera  o de s cios|A|2|17380,16|Remuneracoes a socios|</t>
  </si>
  <si>
    <t>|M300|8.75|Remunera  o de s cios|A|2|2224,98|Remuneracoes a socios|</t>
  </si>
  <si>
    <t>|M300|8|Despesas n o necess rias|A|2|43225,32|Despesas nao dedutiveis no periodo|</t>
  </si>
  <si>
    <t>|M300|8|Despesas n o necess rias|A|2|15437,37|Despesas nao dedutiveis no periodo|</t>
  </si>
  <si>
    <t>|M030|01102024|31102024|A10|</t>
  </si>
  <si>
    <t>|M300|6|Provis es ou perdas estimadas n o dedut veis|A|3|548000|Provisoes no período|</t>
  </si>
  <si>
    <t>|M300|6|Provis es ou perdas estimadas n o dedut veis|A|3|190704|Provisoes no período|</t>
  </si>
  <si>
    <t>|M300|6|Provis es ou perdas estimadas n o dedut veis|A|3|598652,1|Provisoes no período|</t>
  </si>
  <si>
    <t>|M300|8.75|Remunera  o de s cios|A|2|19943,76|Remuneracoes a socios|</t>
  </si>
  <si>
    <t>|M300|8.75|Remunera  o de s cios|A|2|2472,2|Remuneracoes a socios|</t>
  </si>
  <si>
    <t>|M300|8|Despesas n o necess rias|A|2|43470,25|Despesas nao dedutiveis no periodo|</t>
  </si>
  <si>
    <t>|M300|8|Despesas n o necess rias|A|2|16545,82|Despesas nao dedutiveis no periodo|</t>
  </si>
  <si>
    <t>|M030|01112024|30112024|A11|</t>
  </si>
  <si>
    <t>|M300|6|Provis es ou perdas estimadas n o dedut veis|A|3|616500|Provisoes no período|</t>
  </si>
  <si>
    <t>|M300|6|Provis es ou perdas estimadas n o dedut veis|A|3|214542|Provisoes no período|</t>
  </si>
  <si>
    <t>|M300|6|Provis es ou perdas estimadas n o dedut veis|A|3|658517,31|Provisoes no período|</t>
  </si>
  <si>
    <t>|M300|8.75|Remunera  o de s cios|A|2|22225,56|Remuneracoes a socios|</t>
  </si>
  <si>
    <t>|M300|8|Despesas n o necess rias|A|2|44130,29|Despesas nao dedutiveis no periodo|</t>
  </si>
  <si>
    <t>|M300|8|Despesas n o necess rias|A|2|16861,66|Despesas nao dedutiveis no periodo|</t>
  </si>
  <si>
    <t>|M030|01122024|31122024|A12|</t>
  </si>
  <si>
    <t>|M300|6|Provis es ou perdas estimadas n o dedut veis|A|3|689384,57|Provisoes no período|</t>
  </si>
  <si>
    <t>|M300|6|Provis es ou perdas estimadas n o dedut veis|A|3|239905,83|Provisoes no período|</t>
  </si>
  <si>
    <t>|M300|6|Provis es ou perdas estimadas n o dedut veis|A|3|320000|Provisoes no período|</t>
  </si>
  <si>
    <t>|M300|6|Provis es ou perdas estimadas n o dedut veis|A|3|21738,29|Provisoes no período|</t>
  </si>
  <si>
    <t>|M300|6|Provis es ou perdas estimadas n o dedut veis|A|3|279368,68|Provisoes no período|</t>
  </si>
  <si>
    <t>|M300|6|Provis es ou perdas estimadas n o dedut veis|A|3|1418785,67|Provisoes no período|</t>
  </si>
  <si>
    <t>|M300|6|Provis es ou perdas estimadas n o dedut veis|A|3|727955,89|Provisoes no período|</t>
  </si>
  <si>
    <t>|M300|6|Provis es ou perdas estimadas n o dedut veis|A|3|89920|Provisoes no período|</t>
  </si>
  <si>
    <t>|M300|6|Provis es ou perdas estimadas n o dedut veis|A|3|5366,53|Provisoes no período|</t>
  </si>
  <si>
    <t>|M300|8.75|Remunera  o de s cios|A|2|24507,36|Remuneracoes a socios|</t>
  </si>
  <si>
    <t>|M300|8.75|Remunera  o de s cios|A|2|2966,64|Remuneracoes a socios|</t>
  </si>
  <si>
    <t>|M300|8|Despesas n o necess rias|A|2|24790,58|Despesas nao dedutiveis no periodo|</t>
  </si>
  <si>
    <t>|M300|95|(-) Revers o ou uso de provis es ou perdas estimadas n o dedut veis|E|3|572647,08|Reversao provisoes no periodo|</t>
  </si>
  <si>
    <t>|M350|95|(-) Revers o ou uso de provis es ou perdas estimadas n o dedut veis|E|3|0|Reversao provisoes no periodo|</t>
  </si>
  <si>
    <t>|M350|95|(-) Revers o ou uso de provis es ou perdas estimadas n o dedut veis|E|3|5500|Reversao provisoes no periodo|</t>
  </si>
  <si>
    <t>|M350|95|(-) Revers o ou uso de provis es ou perdas estimadas n o dedut veis|E|3|494093,83|Reversao provisoes no periodo|</t>
  </si>
  <si>
    <t>|M350|95|(-) Revers o ou uso de provis es ou perdas estimadas n o dedut veis|E|3|11000|Reversao provisoes no periodo|</t>
  </si>
  <si>
    <t>|M350|95|(-) Revers o ou uso de provis es ou perdas estimadas n o dedut veis|E|3|171944,65|Reversao provisoes no periodo|</t>
  </si>
  <si>
    <t>|M350|6|Provis es ou perdas estimadas n o dedut veis|A|3|68500|Provisoes no período|</t>
  </si>
  <si>
    <t>|M350|6|Provis es ou perdas estimadas n o dedut veis|A|3|23838|Provisoes no período|</t>
  </si>
  <si>
    <t>|M350|6|Provis es ou perdas estimadas n o dedut veis|A|3|179595,63|Provisoes no período|</t>
  </si>
  <si>
    <t>|M350|8.75|Remunera  o de s cios|A|2|5551,82|Remuneracoes a socios|</t>
  </si>
  <si>
    <t>|M350|8.75|Remunera  o de s cios|A|2|741,66|Remuneracoes a socios|</t>
  </si>
  <si>
    <t>|M350|8|Despesas n o necess rias|A|2|5872,9|Despesas nao dedutiveis no periodo|</t>
  </si>
  <si>
    <t>|M350|95|(-) Revers o ou uso de provis es ou perdas estimadas n o dedut veis|E|3|122550|Reversao provisoes no periodo|</t>
  </si>
  <si>
    <t>|M350|6|Provis es ou perdas estimadas n o dedut veis|A|3|137000|Provisoes no período|</t>
  </si>
  <si>
    <t>|M350|6|Provis es ou perdas estimadas n o dedut veis|A|3|47676|Provisoes no período|</t>
  </si>
  <si>
    <t>|M350|6|Provis es ou perdas estimadas n o dedut veis|A|3|239460,84|Provisoes no período|</t>
  </si>
  <si>
    <t>|M350|8.75|Remunera  o de s cios|A|2|7380,16|Remuneracoes a socios|</t>
  </si>
  <si>
    <t>|M350|8.75|Remunera  o de s cios|A|2|988,88|Remuneracoes a socios|</t>
  </si>
  <si>
    <t>|M350|8|Despesas n o necess rias|A|2|6965,7|Despesas nao dedutiveis no periodo|</t>
  </si>
  <si>
    <t>|M350|95|(-) Revers o ou uso de provis es ou perdas estimadas n o dedut veis|E|3|167940|Reversao provisoes no periodo|</t>
  </si>
  <si>
    <t>|M350|6|Provis es ou perdas estimadas n o dedut veis|A|3|205500|Provisoes no período|</t>
  </si>
  <si>
    <t>|M350|6|Provis es ou perdas estimadas n o dedut veis|A|3|71514|Provisoes no período|</t>
  </si>
  <si>
    <t>|M350|6|Provis es ou perdas estimadas n o dedut veis|A|3|299326,05|Provisoes no período|</t>
  </si>
  <si>
    <t>|M350|8.75|Remunera  o de s cios|A|2|9380,16|Remuneracoes a socios|</t>
  </si>
  <si>
    <t>|M350|8.75|Remunera  o de s cios|A|2|1236,1|Remuneracoes a socios|</t>
  </si>
  <si>
    <t>|M350|8|Despesas n o necess rias|A|2|7540,35|Despesas nao dedutiveis no periodo|</t>
  </si>
  <si>
    <t>|M350|6|Provis es ou perdas estimadas n o dedut veis|A|3|274000|Provisoes no período|</t>
  </si>
  <si>
    <t>|M350|6|Provis es ou perdas estimadas n o dedut veis|A|3|95352|Provisoes no período|</t>
  </si>
  <si>
    <t>|M350|6|Provis es ou perdas estimadas n o dedut veis|A|3|359191,26|Provisoes no período|</t>
  </si>
  <si>
    <t>|M350|6|Provis es ou perdas estimadas n o dedut veis|A|3|24920|Provisoes no período|</t>
  </si>
  <si>
    <t>|M350|8.75|Remunera  o de s cios|A|2|11380,16|Remuneracoes a socios|</t>
  </si>
  <si>
    <t>|M350|8.75|Remunera  o de s cios|A|2|1483,32|Remuneracoes a socios|</t>
  </si>
  <si>
    <t>|M350|8|Despesas n o necess rias|A|2|40847,75|Despesas nao dedutiveis no periodo|</t>
  </si>
  <si>
    <t>|M350|8|Despesas n o necess rias|A|2|8748,72|Despesas nao dedutiveis no periodo|</t>
  </si>
  <si>
    <t>|M350|95|(-) Revers o ou uso de provis es ou perdas estimadas n o dedut veis|E|3|5080,5|Reversao provisoes no periodo|</t>
  </si>
  <si>
    <t>|M350|6|Provis es ou perdas estimadas n o dedut veis|A|3|342500|Provisoes no período|</t>
  </si>
  <si>
    <t>|M350|6|Provis es ou perdas estimadas n o dedut veis|A|3|119190|Provisoes no período|</t>
  </si>
  <si>
    <t>|M350|6|Provis es ou perdas estimadas n o dedut veis|A|3|419056,47|Provisoes no período|</t>
  </si>
  <si>
    <t>|M350|8.75|Remunera  o de s cios|A|2|13380,16|Remuneracoes a socios|</t>
  </si>
  <si>
    <t>|M350|8.75|Remunera  o de s cios|A|2|1730,54|Remuneracoes a socios|</t>
  </si>
  <si>
    <t>|M350|8|Despesas n o necess rias|A|2|42847,75|Despesas nao dedutiveis no periodo|</t>
  </si>
  <si>
    <t>|M350|8|Despesas n o necess rias|A|2|10263,14|Despesas nao dedutiveis no periodo|</t>
  </si>
  <si>
    <t>|M350|6|Provis es ou perdas estimadas n o dedut veis|A|3|411000|Provisoes no período|</t>
  </si>
  <si>
    <t>|M350|6|Provis es ou perdas estimadas n o dedut veis|A|3|143028|Provisoes no período|</t>
  </si>
  <si>
    <t>|M350|6|Provis es ou perdas estimadas n o dedut veis|A|3|478921,68|Provisoes no período|</t>
  </si>
  <si>
    <t>|M350|8.75|Remunera  o de s cios|A|2|15380,16|Remuneracoes a socios|</t>
  </si>
  <si>
    <t>|M350|8.75|Remunera  o de s cios|A|2|1977,76|Remuneracoes a socios|</t>
  </si>
  <si>
    <t>|M350|8|Despesas n o necess rias|A|2|42887,55|Despesas nao dedutiveis no periodo|</t>
  </si>
  <si>
    <t>|M350|8|Despesas n o necess rias|A|2|12346,81|Despesas nao dedutiveis no periodo|</t>
  </si>
  <si>
    <t>|M350|6|Provis es ou perdas estimadas n o dedut veis|A|3|479500|Provisoes no período|</t>
  </si>
  <si>
    <t>|M350|6|Provis es ou perdas estimadas n o dedut veis|A|3|166866|Provisoes no período|</t>
  </si>
  <si>
    <t>|M350|6|Provis es ou perdas estimadas n o dedut veis|A|3|538786,89|Provisoes no período|</t>
  </si>
  <si>
    <t>|M350|6|Provis es ou perdas estimadas n o dedut veis|A|3|74920|Provisoes no período|</t>
  </si>
  <si>
    <t>|M350|8.75|Remunera  o de s cios|A|2|17380,16|Remuneracoes a socios|</t>
  </si>
  <si>
    <t>|M350|8.75|Remunera  o de s cios|A|2|2224,98|Remuneracoes a socios|</t>
  </si>
  <si>
    <t>|M350|8|Despesas n o necess rias|A|2|43225,32|Despesas nao dedutiveis no periodo|</t>
  </si>
  <si>
    <t>|M350|8|Despesas n o necess rias|A|2|15437,37|Despesas nao dedutiveis no periodo|</t>
  </si>
  <si>
    <t>|M350|6|Provis es ou perdas estimadas n o dedut veis|A|3|548000|Provisoes no período|</t>
  </si>
  <si>
    <t>|M350|6|Provis es ou perdas estimadas n o dedut veis|A|3|190704|Provisoes no período|</t>
  </si>
  <si>
    <t>|M350|6|Provis es ou perdas estimadas n o dedut veis|A|3|598652,1|Provisoes no período|</t>
  </si>
  <si>
    <t>|M350|8.75|Remunera  o de s cios|A|2|19943,76|Remuneracoes a socios|</t>
  </si>
  <si>
    <t>|M350|8.75|Remunera  o de s cios|A|2|2472,2|Remuneracoes a socios|</t>
  </si>
  <si>
    <t>|M350|8|Despesas n o necess rias|A|2|43470,25|Despesas nao dedutiveis no periodo|</t>
  </si>
  <si>
    <t>|M350|8|Despesas n o necess rias|A|2|16545,82|Despesas nao dedutiveis no periodo|</t>
  </si>
  <si>
    <t>|M350|6|Provis es ou perdas estimadas n o dedut veis|A|3|616500|Provisoes no período|</t>
  </si>
  <si>
    <t>|M350|6|Provis es ou perdas estimadas n o dedut veis|A|3|214542|Provisoes no período|</t>
  </si>
  <si>
    <t>|M350|6|Provis es ou perdas estimadas n o dedut veis|A|3|658517,31|Provisoes no período|</t>
  </si>
  <si>
    <t>|M350|8.75|Remunera  o de s cios|A|2|22225,56|Remuneracoes a socios|</t>
  </si>
  <si>
    <t>|M350|8|Despesas n o necess rias|A|2|44130,29|Despesas nao dedutiveis no periodo|</t>
  </si>
  <si>
    <t>|M350|8|Despesas n o necess rias|A|2|16861,66|Despesas nao dedutiveis no periodo|</t>
  </si>
  <si>
    <t>|M350|6|Provis es ou perdas estimadas n o dedut veis|A|3|689384,57|Provisoes no período|</t>
  </si>
  <si>
    <t>|M350|6|Provis es ou perdas estimadas n o dedut veis|A|3|239905,83|Provisoes no período|</t>
  </si>
  <si>
    <t>|M350|6|Provis es ou perdas estimadas n o dedut veis|A|3|320000|Provisoes no período|</t>
  </si>
  <si>
    <t>|M350|6|Provis es ou perdas estimadas n o dedut veis|A|3|21738,29|Provisoes no período|</t>
  </si>
  <si>
    <t>|M350|6|Provis es ou perdas estimadas n o dedut veis|A|3|279368,68|Provisoes no período|</t>
  </si>
  <si>
    <t>|M350|6|Provis es ou perdas estimadas n o dedut veis|A|3|1418785,67|Provisoes no período|</t>
  </si>
  <si>
    <t>|M350|6|Provis es ou perdas estimadas n o dedut veis|A|3|727955,89|Provisoes no período|</t>
  </si>
  <si>
    <t>|M350|6|Provis es ou perdas estimadas n o dedut veis|A|3|89920|Provisoes no período|</t>
  </si>
  <si>
    <t>|M350|6|Provis es ou perdas estimadas n o dedut veis|A|3|5366,53|Provisoes no período|</t>
  </si>
  <si>
    <t>|M350|8.75|Remunera  o de s cios|A|2|24507,36|Remuneracoes a socios|</t>
  </si>
  <si>
    <t>|M350|8.75|Remunera  o de s cios|A|2|2966,64|Remuneracoes a socios|</t>
  </si>
  <si>
    <t>|M350|8|Despesas n o necess rias|A|2|24790,58|Despesas nao dedutiveis no periodo|</t>
  </si>
  <si>
    <t>|M350|95|(-) Revers o ou uso de provis es ou perdas estimadas n o dedut veis|E|3|572647,08|Reversao provisoes no periodo|</t>
  </si>
  <si>
    <t>Reversao de provisoes no periodo</t>
  </si>
  <si>
    <t>Amortizacao aluguel no periodo</t>
  </si>
  <si>
    <t>Juros aluguel no periodo</t>
  </si>
  <si>
    <t>VARIACAO CAMBIAL PASSIVA NAO REALIZADA</t>
  </si>
  <si>
    <t>Variacao cambial ativa realizada no periodo</t>
  </si>
  <si>
    <t>Variacao cambial ativa nao realizada no periodo</t>
  </si>
  <si>
    <t>VARIACAO CAMBIAL ATIVA NAO REALIZADA</t>
  </si>
  <si>
    <t>Variacao cambial passiva realizada no periodo</t>
  </si>
  <si>
    <t>Contraprestacoes pagas de aluguel no periodo</t>
  </si>
  <si>
    <t>Juros ativos de credito extemporaneo de pis e cofins</t>
  </si>
  <si>
    <t>3211304</t>
  </si>
  <si>
    <t>CONTRIBUICOES A ENTIDADE DE CLASSE</t>
  </si>
  <si>
    <t>3211305</t>
  </si>
  <si>
    <t>CONTRIBUICOES A DEMAIS ENTIDADES DE CLASSE</t>
  </si>
  <si>
    <t>Custos nao dedutiveis</t>
  </si>
  <si>
    <t>3211005</t>
  </si>
  <si>
    <t>Perda c/ rec. Ind.</t>
  </si>
  <si>
    <t>Descontos concedidos</t>
  </si>
  <si>
    <t>3210806</t>
  </si>
  <si>
    <t>MULTA DE TRANSITO</t>
  </si>
  <si>
    <t>3230108</t>
  </si>
  <si>
    <t>MULTAS TRIBUTOS E OBRIG ACESS - INDEDUTI</t>
  </si>
  <si>
    <t>3230106</t>
  </si>
  <si>
    <t>AUTO DE INFRACAO</t>
  </si>
  <si>
    <t>Multas por infracoes fiscais no periodo</t>
  </si>
  <si>
    <t>3211505</t>
  </si>
  <si>
    <t>DEPRECIACAO - PARCELA INDEDUTIVEL VEICUL</t>
  </si>
  <si>
    <t>3150202</t>
  </si>
  <si>
    <t>PROVISAO DE COMISSOES S/ VENDAS</t>
  </si>
  <si>
    <t>PROVISAO S/ INDENIZACAO A REPRES COMERCI</t>
  </si>
  <si>
    <t>PROVISAO DE FRETES SOBRE VENDAS</t>
  </si>
  <si>
    <t>3260210</t>
  </si>
  <si>
    <t>JUROS S/ EMPRESTIMO EXTERIOR - INDEDUTIV</t>
  </si>
  <si>
    <t>Juros sobre emprestimo matriz no periodo</t>
  </si>
  <si>
    <t>3260301</t>
  </si>
  <si>
    <t>3260302</t>
  </si>
  <si>
    <t>3260308</t>
  </si>
  <si>
    <t>3260401</t>
  </si>
  <si>
    <t>3260402</t>
  </si>
  <si>
    <t>3260403</t>
  </si>
  <si>
    <t>Variacao cambial nao realizada no periodo</t>
  </si>
  <si>
    <t>|M300|16|Varia  o cambial passiva - regra geral - valor evidenciado no registro L300 de acordo com o regime de compet ncia|A|3|4233819,91|Variacao cambial nao realizada no periodo|</t>
  </si>
  <si>
    <t>VARIACAO CAMBIAL ATIVA REALIZADA</t>
  </si>
  <si>
    <t>VARIAC CAMBIAL EMPRESTIMOS A RECEBER</t>
  </si>
  <si>
    <t>VARIACAO CAMBIAL PASSIVA REALIZADA</t>
  </si>
  <si>
    <t>VARIACAO CAMBIAL EMPRESTIMOS INTERCOMPAN</t>
  </si>
  <si>
    <t>VAR. CAMBIAL</t>
  </si>
  <si>
    <t>3260406</t>
  </si>
  <si>
    <t>VARIAC CAMB PASSIVA EMPRESTIMOS INTERCOMPANY (REALIZADA)</t>
  </si>
  <si>
    <t>3260801</t>
  </si>
  <si>
    <t>VARIACAO CAMBIAL REALIZADA - OTHER EXPENSES</t>
  </si>
  <si>
    <t>3260802</t>
  </si>
  <si>
    <t>VARIACAO CAMBIAL NÃO REALIZADA - OTHER EXPENSES</t>
  </si>
  <si>
    <t>3260803</t>
  </si>
  <si>
    <t>V.CAMBIAL IMP TRANSITO - OTHER COS</t>
  </si>
  <si>
    <t>3260303</t>
  </si>
  <si>
    <t>|M300|101|(-) Varia  o cambial ativa - regra geral|E|3|212418,88|Variacao cambial ativa nao realizada no periodo|</t>
  </si>
  <si>
    <t>PROVISOES DE HONORARIOS S/ PROCESSOS</t>
  </si>
  <si>
    <t>PROVISOES DE PROCESSOS TRABALHISTAS NEW</t>
  </si>
  <si>
    <t>PROVISOES DE PROCESSOS CIVEIS NEW</t>
  </si>
  <si>
    <t>PROVISAO S/ PARTICIPACAO LUCROS</t>
  </si>
  <si>
    <t>PROVISAO S/ PLR EMPREGADOS</t>
  </si>
  <si>
    <t>PROVISAO S/ VERBAS RESCISORIA</t>
  </si>
  <si>
    <t>3220101</t>
  </si>
  <si>
    <t>PROVISOES S/ CREDITOS LIQ DUVIDOSA</t>
  </si>
  <si>
    <t>PROVISAO S/ DESPESAS DE MARKETING</t>
  </si>
  <si>
    <t>VENDAS NAO ENTREGUES</t>
  </si>
  <si>
    <t>ELIMINACAO IMPOSTO S/ VDAS NAO ENTREGUES</t>
  </si>
  <si>
    <t>CUSTO S/ VDA NAO ENTREGUE</t>
  </si>
  <si>
    <t>Ajuste cut-off no periodo</t>
  </si>
  <si>
    <t>|M300|159|(-) CPC 47 - Ajustes de Receita Bruta|E|3|806843,40|Ajuste cut-off no periodo|</t>
  </si>
  <si>
    <t>3211404</t>
  </si>
  <si>
    <t>DEPR S/ VDAS NAO ENTREGUES</t>
  </si>
  <si>
    <t>3210704</t>
  </si>
  <si>
    <t>ALUGUEL DE IMOVEIS IND. CPC06</t>
  </si>
  <si>
    <t>|M300|134.15|(-) Arrendamento mercantil - PJ arrendat ria - contrapresta  es pagas ou creditadas de contratos n o tipificados como arrendamento|E|2|3829,47|Contraprestacoes pagas de aluguel no periodo|</t>
  </si>
  <si>
    <t>|M300|102|(-) Varia  o cambial passiva - regra geral|E|3|40702,46|Variacao cambial passiva realizada no periodo|</t>
  </si>
  <si>
    <t>|M305|VAR. CAMBIAL|40702,46|C|</t>
  </si>
  <si>
    <t>Juros credito extemporaneo de impostos</t>
  </si>
  <si>
    <t>3260107</t>
  </si>
  <si>
    <t>JUROS/ATUALIZACOES DE IMPOSTOS - INDEDUTIVEL</t>
  </si>
  <si>
    <t>Juros ativos de credito extemporaneo e despesas dedutiveis</t>
  </si>
  <si>
    <t>|M300|167.01|(-) Outras exclus es - qualquer indicador de relacionamento|E|2|34382124,90|Juros ativos de credito extemporaneo e despesas dedutiveis|</t>
  </si>
  <si>
    <t>Dividendos recebidos no periodo</t>
  </si>
  <si>
    <t>DIVIDENDOS</t>
  </si>
  <si>
    <t>INDENIZAÇÕES</t>
  </si>
  <si>
    <t>CONTINGENCIAS</t>
  </si>
  <si>
    <t>PROVISAO CESTAS NATAL</t>
  </si>
  <si>
    <t>PROVISAO PARA EVENTOS</t>
  </si>
  <si>
    <t>PROVISAO QUALIDADE</t>
  </si>
  <si>
    <t>PROVISAO ESTORNO IMP S/ BX MAT OBSOLETO</t>
  </si>
  <si>
    <t>PROVISAO ESTORNO IMP S/ BX MAT QUALIDADE</t>
  </si>
  <si>
    <t>PROVISAO - OUTRAS</t>
  </si>
  <si>
    <t>PROVISAO SLOW MOVING</t>
  </si>
  <si>
    <t>PROVISAO OBSOLETO</t>
  </si>
  <si>
    <t>PROVISÃO MATERIAL POP</t>
  </si>
  <si>
    <t>PROVISÃO IMPOSTOS S/ MATERIAL POP</t>
  </si>
  <si>
    <t>Contribuicoes a associacoes no periodo</t>
  </si>
  <si>
    <t>3230304</t>
  </si>
  <si>
    <t>3230305</t>
  </si>
  <si>
    <t>3230306</t>
  </si>
  <si>
    <t>3230307</t>
  </si>
  <si>
    <t>|M300|6|Provis es ou perdas estimadas n o dedut veis|A|3|906904,27|Provisoes no período|</t>
  </si>
  <si>
    <t>|M305|1120201|202076,83|D|</t>
  </si>
  <si>
    <t>|M305|1130608|141671,27|D|</t>
  </si>
  <si>
    <t>|M305|2130304|35025,59|D|</t>
  </si>
  <si>
    <t>|M300|8|Despesas n o necess rias|A|2|30614,68|Despesas nao dedutiveis no periodo|</t>
  </si>
  <si>
    <t>|M300|8.13|Doa  es a entidades civis - parcelas n o dedut veis|A|2|9785,53|Contribuicoes a associacoes no periodo|</t>
  </si>
  <si>
    <t>|M300|8.75|Remunera  o de s cios|A|2|38449,72|Remuneracoes a socios|</t>
  </si>
  <si>
    <t>|M305|1140301|171284,04|D|</t>
  </si>
  <si>
    <t>|M300|95|(-) Revers o ou uso de provis es ou perdas estimadas n o dedut veis|E|3|3916150,03|Reversao de provisoes no periodo|</t>
  </si>
  <si>
    <t>|M305|1130601|120536,03|C|</t>
  </si>
  <si>
    <t>|M305|1130603|155871,22|C|</t>
  </si>
  <si>
    <t>|M305|1130604|13720,19|C|</t>
  </si>
  <si>
    <t>|M305|1130609|75621,88|C|</t>
  </si>
  <si>
    <t>|M305|2130302|266461,79|C|</t>
  </si>
  <si>
    <t>|M305|2130303|499908,35|C|</t>
  </si>
  <si>
    <t>|M305|2130307|2405053,05|C|</t>
  </si>
  <si>
    <t>|M305|2130308|87791,17|C|</t>
  </si>
  <si>
    <t>|M305|21405|24506,65|C|</t>
  </si>
  <si>
    <t>|M030|01012024|29022024|A02|</t>
  </si>
  <si>
    <t>|M300|101|(-) Varia  o cambial ativa - regra geral|E|3|1170715,70|Variacao cambial ativa nao realizada no periodo|</t>
  </si>
  <si>
    <t>|M300|102|(-) Varia  o cambial passiva - regra geral|E|3|239590,01|Variacao cambial passiva realizada no periodo|</t>
  </si>
  <si>
    <t>|M305|VAR. CAMBIAL|239590,01|C|</t>
  </si>
  <si>
    <t>|M300|16|Varia  o cambial passiva - regra geral - valor evidenciado no registro L300 de acordo com o regime de compet ncia|A|3|15369263,81|Variacao cambial nao realizada no periodo|</t>
  </si>
  <si>
    <t>|M300|167.01|(-) Outras exclus es - qualquer indicador de relacionamento|E|2|810727,18|Juros ativos de credito extemporaneo e despesas dedutiveis|</t>
  </si>
  <si>
    <t>|M300|6|Provis es ou perdas estimadas n o dedut veis|A|3|457456,69|Provisoes no período|</t>
  </si>
  <si>
    <t>|M305|1120201|143072,83|D|</t>
  </si>
  <si>
    <t>|M305|2130302|277993,11|D|</t>
  </si>
  <si>
    <t>|M305|2130308|36281,97|D|</t>
  </si>
  <si>
    <t>|M300|8.13|Doa  es a entidades civis - parcelas n o dedut veis|A|2|8708,14|Contribuicoes a associacoes no periodo|</t>
  </si>
  <si>
    <t>|M300|8.75|Remunera  o de s cios|A|2|33137,73|Remuneracoes a socios|</t>
  </si>
  <si>
    <t>|M300|95|(-) Revers o ou uso de provis es ou perdas estimadas n o dedut veis|E|3|5176284,32|Reversao de provisoes no periodo|</t>
  </si>
  <si>
    <t>|M305|1130601|21244,43|C|</t>
  </si>
  <si>
    <t>|M305|1130602|501641,03|C|</t>
  </si>
  <si>
    <t>|M305|1130603|148180,84|C|</t>
  </si>
  <si>
    <t>|M305|1130604|185431,33|C|</t>
  </si>
  <si>
    <t>|M305|1130608|102011,38|C|</t>
  </si>
  <si>
    <t>|M305|1130609|13760,08|C|</t>
  </si>
  <si>
    <t>|M305|2130301|2020199,99|C|</t>
  </si>
  <si>
    <t>|M305|2130303|39551,98|C|</t>
  </si>
  <si>
    <t>|M305|2130307|1544852,63|C|</t>
  </si>
  <si>
    <t>|M305|21405|291638,04|C|</t>
  </si>
  <si>
    <t>|M300|96|(-) Lucros e dividendos derivados de investimentos avaliados pelo custo de aquisi  o|E|2|10026842,92|Dividendos recebidos no periodo|</t>
  </si>
  <si>
    <t>|M030|01012024|31032024|A03|</t>
  </si>
  <si>
    <t>|M300|101|(-) Varia  o cambial ativa - regra geral|E|3|8915989,35|Variacao cambial ativa nao realizada no periodo|</t>
  </si>
  <si>
    <t>|M300|102|(-) Varia  o cambial passiva - regra geral|E|3|865052,72|Variacao cambial passiva realizada no periodo|</t>
  </si>
  <si>
    <t>|M305|VAR. CAMBIAL|865052,72|C|</t>
  </si>
  <si>
    <t>|M300|13|Regras de subcapitaliza  o - ajustes decorrentes de empr stimos com pessoa f sica ou jur dica|A|2|29227,42|Juros sobre emprestimo matriz no periodo|</t>
  </si>
  <si>
    <t>|M300|159|(-) CPC 47 - Ajustes de Receita Bruta|E|3|152789,77|Ajuste cut-off no periodo|</t>
  </si>
  <si>
    <t>|M300|16|Varia  o cambial passiva - regra geral - valor evidenciado no registro L300 de acordo com o regime de compet ncia|A|3|2782193,25|Variacao cambial nao realizada no periodo|</t>
  </si>
  <si>
    <t>|M300|167.01|(-) Outras exclus es - qualquer indicador de relacionamento|E|2|756999,47|Juros ativos de credito extemporaneo e despesas dedutiveis|</t>
  </si>
  <si>
    <t>|M300|6|Provis es ou perdas estimadas n o dedut veis|A|3|3784313,82|Provisoes no período|</t>
  </si>
  <si>
    <t>|M305|2130304|215057,86|D|</t>
  </si>
  <si>
    <t>|M300|8|Despesas n o necess rias|A|2|37674,14|Despesas nao dedutiveis no periodo|</t>
  </si>
  <si>
    <t>|M300|8.13|Doa  es a entidades civis - parcelas n o dedut veis|A|2|7040,30|Contribuicoes a associacoes no periodo|</t>
  </si>
  <si>
    <t>|M300|8.60|Multas por infra  es fiscais|A|2|89412,88|Multas por infracoes fiscais no periodo|</t>
  </si>
  <si>
    <t>|M300|8.75|Remunera  o de s cios|A|2|32666,31|Remuneracoes a socios|</t>
  </si>
  <si>
    <t>|M300|95|(-) Revers o ou uso de provis es ou perdas estimadas n o dedut veis|E|3|3423925,49|Reversao de provisoes no periodo|</t>
  </si>
  <si>
    <t>|M305|1120201|140551,66|C|</t>
  </si>
  <si>
    <t>|M305|1130602|644521,43|C|</t>
  </si>
  <si>
    <t>|M305|1130603|144850,35|C|</t>
  </si>
  <si>
    <t>|M305|1130604|8392,99|C|</t>
  </si>
  <si>
    <t>|M305|2130302|337294,02|C|</t>
  </si>
  <si>
    <t>|M305|2130303|9959,16|C|</t>
  </si>
  <si>
    <t>|M305|2130308|44133,86|C|</t>
  </si>
  <si>
    <t>|M300|96|(-) Lucros e dividendos derivados de investimentos avaliados pelo custo de aquisi  o|E|2|4000000,00|Dividendos recebidos no periodo|</t>
  </si>
  <si>
    <t>|M030|01012024|30042024|A04|</t>
  </si>
  <si>
    <t>|M300|101|(-) Varia  o cambial ativa - regra geral|E|3|638386,90|Variacao cambial ativa nao realizada no periodo|</t>
  </si>
  <si>
    <t>|M300|102|(-) Varia  o cambial passiva - regra geral|E|3|1730003,63|Variacao cambial passiva realizada no periodo|</t>
  </si>
  <si>
    <t>|M305|VAR. CAMBIAL|1730003,63|C|</t>
  </si>
  <si>
    <t>|M300|13|Regras de subcapitaliza  o - ajustes decorrentes de empr stimos com pessoa f sica ou jur dica|A|2|1906237,24|Juros sobre emprestimo matriz no periodo|</t>
  </si>
  <si>
    <t>|M300|16|Varia  o cambial passiva - regra geral - valor evidenciado no registro L300 de acordo com o regime de compet ncia|A|3|28840408,78|Variacao cambial nao realizada no periodo|</t>
  </si>
  <si>
    <t>|M300|167.01|(-) Outras exclus es - qualquer indicador de relacionamento|E|2|1053312,95|Juros ativos de credito extemporaneo e despesas dedutiveis|</t>
  </si>
  <si>
    <t>|M300|6|Provis es ou perdas estimadas n o dedut veis|A|3|3195821,75|Provisoes no período|</t>
  </si>
  <si>
    <t>|M305|2130301|340114,33|D|</t>
  </si>
  <si>
    <t>|M305|2130307|2283248,67|D|</t>
  </si>
  <si>
    <t>|M305|21405|83886,14|D|</t>
  </si>
  <si>
    <t>|M300|8|Despesas n o necess rias|A|2|186808,90|Despesas nao dedutiveis no periodo|</t>
  </si>
  <si>
    <t>|M300|8.13|Doa  es a entidades civis - parcelas n o dedut veis|A|2|13830,24|Contribuicoes a associacoes no periodo|</t>
  </si>
  <si>
    <t>|M300|8.60|Multas por infra  es fiscais|A|2|25894,04|Multas por infracoes fiscais no periodo|</t>
  </si>
  <si>
    <t>|M300|8.65|Multas impostas por transgress es de leis de natureza n o tribut ria|A|2|208,26|Multas nao fiscais no periodo|</t>
  </si>
  <si>
    <t>|M300|8.75|Remunera  o de s cios|A|2|19594,37|Remuneracoes a socios|</t>
  </si>
  <si>
    <t>|M300|95|(-) Revers o ou uso de provis es ou perdas estimadas n o dedut veis|E|3|3996151,49|Reversao de provisoes no periodo|</t>
  </si>
  <si>
    <t>|M305|1120201|347367,74|C|</t>
  </si>
  <si>
    <t>|M305|1130601|23580,49|C|</t>
  </si>
  <si>
    <t>|M305|1130602|1066390,38|C|</t>
  </si>
  <si>
    <t>|M305|1130603|426260,19|C|</t>
  </si>
  <si>
    <t>|M305|1130608|373236,64|C|</t>
  </si>
  <si>
    <t>|M305|1130609|62997,83|C|</t>
  </si>
  <si>
    <t>|M305|2130303|171664,94|C|</t>
  </si>
  <si>
    <t>3150106</t>
  </si>
  <si>
    <t>3220204</t>
  </si>
  <si>
    <t>3211603</t>
  </si>
  <si>
    <t>3110901</t>
  </si>
  <si>
    <t>3120901</t>
  </si>
  <si>
    <t>3160303</t>
  </si>
  <si>
    <t>1130306</t>
  </si>
  <si>
    <t>|M300|84|CPC 47 - Ajustes de Receita Bruta|A|3|427895,67|Ajuste cut-off no periodo|</t>
  </si>
  <si>
    <t>|M305|1130306|256611,63|D|</t>
  </si>
  <si>
    <t>|M300|8|Despesas n o necess rias|A|2|451392,69|Despesas nao dedutiveis no periodo|</t>
  </si>
  <si>
    <t>|M305|1130306|152789,77|C|</t>
  </si>
  <si>
    <t>|M305|VAR. CAMBIAL|212418,88|C|</t>
  </si>
  <si>
    <t>|M305|1120195|806843,40|C|</t>
  </si>
  <si>
    <t>|M305|VAR. CAMBIAL|4233819,91|D|</t>
  </si>
  <si>
    <t>|M305|2130301|341253,00|D|</t>
  </si>
  <si>
    <t>|M305|2130306|44249,63|D|</t>
  </si>
  <si>
    <t>|M305|21405|142627,95|D|</t>
  </si>
  <si>
    <t>|M305|1130602|26485,70|C|</t>
  </si>
  <si>
    <t>|M305|2130304|240194,00|C|</t>
  </si>
  <si>
    <t>|M305|VAR. CAMBIAL|1170715,70|C|</t>
  </si>
  <si>
    <t>|M305|VAR. CAMBIAL|15369263,81|D|</t>
  </si>
  <si>
    <t>|M305|21405|108,78|D|</t>
  </si>
  <si>
    <t>|M305|2130304|265021,33|C|</t>
  </si>
  <si>
    <t>|M305|2130306|42751,26|C|</t>
  </si>
  <si>
    <t>|M305|VAR. CAMBIAL|8915989,35|C|</t>
  </si>
  <si>
    <t>|M305|VAR. CAMBIAL|2782193,25|D|</t>
  </si>
  <si>
    <t>|M305|1130609|3868,40|D|</t>
  </si>
  <si>
    <t>|M305|2130301|453150,00|D|</t>
  </si>
  <si>
    <t>|M305|21405|3112237,56|D|</t>
  </si>
  <si>
    <t>|M305|1130601|99923,60|C|</t>
  </si>
  <si>
    <t>|M305|1130608|225582,50|C|</t>
  </si>
  <si>
    <t>|M305|2130307|1733715,92|C|</t>
  </si>
  <si>
    <t>|M305|21405|35000,00|C|</t>
  </si>
  <si>
    <t>|M305|VAR. CAMBIAL|638386,90|C|</t>
  </si>
  <si>
    <t>|M305|VAR. CAMBIAL|28840408,78|D|</t>
  </si>
  <si>
    <t>|M305|2130302|452072,50|D|</t>
  </si>
  <si>
    <t>|M305|2130304|6607,01|D|</t>
  </si>
  <si>
    <t>|M305|2130308|29893,10|D|</t>
  </si>
  <si>
    <t>|M305|1130604|3192,00|C|</t>
  </si>
  <si>
    <t>|M305|2130307|22982,97|C|</t>
  </si>
  <si>
    <t>|M305|21405|1498478,31|C|</t>
  </si>
  <si>
    <t>|M310|3260301||66960,32|C|</t>
  </si>
  <si>
    <t>|M310|3260308||145458,56|C|</t>
  </si>
  <si>
    <t>|M310|3260401||40702,46|C|</t>
  </si>
  <si>
    <t>|M310|3210704||3829,47|C|</t>
  </si>
  <si>
    <t>|M310|3110901||806843,40|C|</t>
  </si>
  <si>
    <t>|M310|3260302||6337,68|D|</t>
  </si>
  <si>
    <t>|M310|3260401||107662,78|D|</t>
  </si>
  <si>
    <t>|M310|3260402||51599,75|D|</t>
  </si>
  <si>
    <t>|M310|3260403||4068219,70|D|</t>
  </si>
  <si>
    <t>|M310|3260107||34382124,90|C|</t>
  </si>
  <si>
    <t>|M310|3160408||141671,27|D|</t>
  </si>
  <si>
    <t>|M310|3210201||341253,00|D|</t>
  </si>
  <si>
    <t>|M310|3210205||11499,95|D|</t>
  </si>
  <si>
    <t>|M310|3210206||32749,68|D|</t>
  </si>
  <si>
    <t>|M310|3211602||35025,59|D|</t>
  </si>
  <si>
    <t>|M310|3220101||202076,83|D|</t>
  </si>
  <si>
    <t>|M310|3230305||26780,33|D|</t>
  </si>
  <si>
    <t>|M310|3230306||115841,50|D|</t>
  </si>
  <si>
    <t>|M310|3230307||6,12|D|</t>
  </si>
  <si>
    <t>|M310|3150106||25070,60|D|</t>
  </si>
  <si>
    <t>|M310|3211005||5544,08|D|</t>
  </si>
  <si>
    <t>|M310|3211304||1034,46|D|</t>
  </si>
  <si>
    <t>|M310|3211305||8751,07|D|</t>
  </si>
  <si>
    <t>|M310|3211505||38449,72|D|</t>
  </si>
  <si>
    <t>|M310|3120901||171284,04|D|</t>
  </si>
  <si>
    <t>|M310|3160303||256611,63|D|</t>
  </si>
  <si>
    <t>|M310|3150201||87791,17|C|</t>
  </si>
  <si>
    <t>|M310|3150202||240194,00|C|</t>
  </si>
  <si>
    <t>|M310|3160401||120536,03|C|</t>
  </si>
  <si>
    <t>|M310|3160403||13720,19|C|</t>
  </si>
  <si>
    <t>|M310|3160404||155871,22|C|</t>
  </si>
  <si>
    <t>|M310|3160405||26485,70|C|</t>
  </si>
  <si>
    <t>|M310|3160406||75621,88|C|</t>
  </si>
  <si>
    <t>|M310|3210202||266461,79|C|</t>
  </si>
  <si>
    <t>|M310|3210204||499908,35|C|</t>
  </si>
  <si>
    <t>|M310|3211603||2405053,05|C|</t>
  </si>
  <si>
    <t>|M310|3230304||24506,65|C|</t>
  </si>
  <si>
    <t>|M310|3260301||233165,86|C|</t>
  </si>
  <si>
    <t>|M310|3260302||51674,54|C|</t>
  </si>
  <si>
    <t>|M310|3260308||319655,44|C|</t>
  </si>
  <si>
    <t>|M310|3260803||566219,86|C|</t>
  </si>
  <si>
    <t>|M310|3260401||239590,01|C|</t>
  </si>
  <si>
    <t>|M310|3260401||131313,46|D|</t>
  </si>
  <si>
    <t>|M310|3260402||215527,29|D|</t>
  </si>
  <si>
    <t>|M310|3260403||14534717,20|D|</t>
  </si>
  <si>
    <t>|M310|3260406||52770,23|D|</t>
  </si>
  <si>
    <t>|M310|3260801||288672,18|D|</t>
  </si>
  <si>
    <t>|M310|3260802||146263,45|D|</t>
  </si>
  <si>
    <t>|M310|3260107||810727,18|C|</t>
  </si>
  <si>
    <t>|M310|3150201||36281,97|D|</t>
  </si>
  <si>
    <t>|M310|3210202||277993,11|D|</t>
  </si>
  <si>
    <t>|M310|3220101||143072,83|D|</t>
  </si>
  <si>
    <t>|M310|3230306||102,66|D|</t>
  </si>
  <si>
    <t>|M310|3150106||76578,91|D|</t>
  </si>
  <si>
    <t>|M310|3210113||363113,42|D|</t>
  </si>
  <si>
    <t>|M310|3211005||11288,65|D|</t>
  </si>
  <si>
    <t>|M310|3220204||411,71|D|</t>
  </si>
  <si>
    <t>|M310|3211304||894,04|D|</t>
  </si>
  <si>
    <t>|M310|3211305||7814,10|D|</t>
  </si>
  <si>
    <t>|M310|3211505||33137,73|D|</t>
  </si>
  <si>
    <t>|M310|3121602||54580,55|C|</t>
  </si>
  <si>
    <t>|M310|3150202||210440,78|C|</t>
  </si>
  <si>
    <t>|M310|3160401||21244,43|C|</t>
  </si>
  <si>
    <t>|M310|3160403||185431,33|C|</t>
  </si>
  <si>
    <t>|M310|3160404||148180,84|C|</t>
  </si>
  <si>
    <t>|M310|3160405||501641,03|C|</t>
  </si>
  <si>
    <t>|M310|3160406||13760,08|C|</t>
  </si>
  <si>
    <t>|M310|3160408||102011,38|C|</t>
  </si>
  <si>
    <t>|M310|3210201||2020199,99|C|</t>
  </si>
  <si>
    <t>|M310|3210204||39551,98|C|</t>
  </si>
  <si>
    <t>|M310|3210205||11110,62|C|</t>
  </si>
  <si>
    <t>|M310|3210206||31640,64|C|</t>
  </si>
  <si>
    <t>|M310|3211603||1544852,63|C|</t>
  </si>
  <si>
    <t>|M310|3230305||291638,04|C|</t>
  </si>
  <si>
    <t>|M310|3290104||10026842,92|C|</t>
  </si>
  <si>
    <t>|M310|3260301||182016,94|C|</t>
  </si>
  <si>
    <t>|M310|3260302||142892,31|C|</t>
  </si>
  <si>
    <t>|M310|3260303||7529714,87|C|</t>
  </si>
  <si>
    <t>|M310|3260402||780591,94|C|</t>
  </si>
  <si>
    <t>|M310|3260802||254849,69|C|</t>
  </si>
  <si>
    <t>|M310|3260803||25923,60|C|</t>
  </si>
  <si>
    <t>|M310|3260401||865052,72|C|</t>
  </si>
  <si>
    <t>|M310|3260210||29227,42|D|</t>
  </si>
  <si>
    <t>|M310|3211404||152789,77|C|</t>
  </si>
  <si>
    <t>|M310|3260401||912883,65|D|</t>
  </si>
  <si>
    <t>|M310|3260403||1735123,59|D|</t>
  </si>
  <si>
    <t>|M310|3260406||131757,23|D|</t>
  </si>
  <si>
    <t>|M310|3260801||2428,78|D|</t>
  </si>
  <si>
    <t>|M310|3260107||756999,47|C|</t>
  </si>
  <si>
    <t>|M310|3150202||215057,86|D|</t>
  </si>
  <si>
    <t>|M310|3160406||3868,40|D|</t>
  </si>
  <si>
    <t>|M310|3210201||453150,00|D|</t>
  </si>
  <si>
    <t>|M310|3230304||2955108,87|D|</t>
  </si>
  <si>
    <t>|M310|3230305||497,35|D|</t>
  </si>
  <si>
    <t>|M310|3230306||154485,92|D|</t>
  </si>
  <si>
    <t>|M310|3230307||2145,42|D|</t>
  </si>
  <si>
    <t>|M310|3150106||25721,76|D|</t>
  </si>
  <si>
    <t>|M310|3211005||11952,38|D|</t>
  </si>
  <si>
    <t>|M310|3211304||1277,10|D|</t>
  </si>
  <si>
    <t>|M310|3211305||5763,20|D|</t>
  </si>
  <si>
    <t>|M310|3230106||59345,13|D|</t>
  </si>
  <si>
    <t>|M310|3230108||30067,75|D|</t>
  </si>
  <si>
    <t>|M310|3211505||32666,31|D|</t>
  </si>
  <si>
    <t>|M310|3150201||44133,86|C|</t>
  </si>
  <si>
    <t>|M310|3160401||99923,60|C|</t>
  </si>
  <si>
    <t>|M310|3160403||8392,99|C|</t>
  </si>
  <si>
    <t>|M310|3160404||144850,35|C|</t>
  </si>
  <si>
    <t>|M310|3160405||644521,43|C|</t>
  </si>
  <si>
    <t>|M310|3160408||225582,50|C|</t>
  </si>
  <si>
    <t>|M310|3210202||337294,02|C|</t>
  </si>
  <si>
    <t>|M310|3210204||9959,16|C|</t>
  </si>
  <si>
    <t>|M310|3211602||35000,00|C|</t>
  </si>
  <si>
    <t>|M310|3211603||953179,63|C|</t>
  </si>
  <si>
    <t>|M310|3211606||628602,19|C|</t>
  </si>
  <si>
    <t>|M310|3211607||151934,10|C|</t>
  </si>
  <si>
    <t>|M310|3220101||140551,66|C|</t>
  </si>
  <si>
    <t>|M310|3290104||4000000,00|C|</t>
  </si>
  <si>
    <t>|M310|3260301||282477,92|C|</t>
  </si>
  <si>
    <t>|M310|3260801||28,55|C|</t>
  </si>
  <si>
    <t>|M310|3260802||3088,15|C|</t>
  </si>
  <si>
    <t>|M310|3260803||352792,28|C|</t>
  </si>
  <si>
    <t>|M310|3260401||1730003,63|C|</t>
  </si>
  <si>
    <t>|M310|3260210||1906237,24|D|</t>
  </si>
  <si>
    <t>|M310|3260302||165508,32|D|</t>
  </si>
  <si>
    <t>|M310|3260401||986512,59|D|</t>
  </si>
  <si>
    <t>|M310|3260402||364786,59|D|</t>
  </si>
  <si>
    <t>|M310|3260403||26297603,77|D|</t>
  </si>
  <si>
    <t>|M310|3260406||1025997,51|D|</t>
  </si>
  <si>
    <t>|M310|3220204||299089,04|C|</t>
  </si>
  <si>
    <t>|M310|3260107||754223,91|C|</t>
  </si>
  <si>
    <t>|M310|3150201||29893,10|D|</t>
  </si>
  <si>
    <t>|M310|3150202||6607,01|D|</t>
  </si>
  <si>
    <t>|M310|3210201||340114,33|D|</t>
  </si>
  <si>
    <t>|M310|3210202||452072,50|D|</t>
  </si>
  <si>
    <t>|M310|3211603||2283248,67|D|</t>
  </si>
  <si>
    <t>|M310|3230305||83886,14|D|</t>
  </si>
  <si>
    <t>|M310|3150106||172311,76|D|</t>
  </si>
  <si>
    <t>|M310|3211005||14497,14|D|</t>
  </si>
  <si>
    <t>|M310|3211304||1596,84|D|</t>
  </si>
  <si>
    <t>|M310|3211305||12233,40|D|</t>
  </si>
  <si>
    <t>|M310|3230106||987,47|D|</t>
  </si>
  <si>
    <t>|M310|3230108||24906,57|D|</t>
  </si>
  <si>
    <t>|M310|3210806||208,26|D|</t>
  </si>
  <si>
    <t>|M310|3211505||19594,37|D|</t>
  </si>
  <si>
    <t>|M310|3160401||23580,49|C|</t>
  </si>
  <si>
    <t>|M310|3160403||3192,00|C|</t>
  </si>
  <si>
    <t>|M310|3160404||426260,19|C|</t>
  </si>
  <si>
    <t>|M310|3160405||1066390,38|C|</t>
  </si>
  <si>
    <t>|M310|3160406||62997,83|C|</t>
  </si>
  <si>
    <t>|M310|3160408||373236,64|C|</t>
  </si>
  <si>
    <t>|M310|3210204||171664,94|C|</t>
  </si>
  <si>
    <t>|M310|3211606||4025,51|C|</t>
  </si>
  <si>
    <t>|M310|3211607||18957,46|C|</t>
  </si>
  <si>
    <t>|M310|3220101||347367,74|C|</t>
  </si>
  <si>
    <t>|M310|3230306||105111,65|C|</t>
  </si>
  <si>
    <t>|M310|3230307||1268198,55|C|</t>
  </si>
  <si>
    <t>|M310|3230308||125168,11|C|</t>
  </si>
  <si>
    <t>Histórico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</si>
</sst>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1" fillId="0" borderId="0">
      <alignment vertical="top"/>
    </xf>
    <xf numFmtId="0" fontId="2" fillId="0" borderId="0">
      <alignment vertical="top"/>
    </xf>
    <xf numFmtId="164" fontId="1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>
      <alignment vertical="top"/>
    </xf>
    <xf numFmtId="0" fontId="1" fillId="0" borderId="0">
      <alignment vertical="top"/>
    </xf>
    <xf numFmtId="0" fontId="9" fillId="0" borderId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1">
      <alignment vertical="top"/>
    </xf>
    <xf numFmtId="4" fontId="1" fillId="0" borderId="0" xfId="1" applyNumberFormat="1">
      <alignment vertical="top"/>
    </xf>
    <xf numFmtId="40" fontId="1" fillId="0" borderId="0" xfId="1" applyNumberFormat="1">
      <alignment vertical="top"/>
    </xf>
    <xf numFmtId="4" fontId="1" fillId="0" borderId="0" xfId="3" applyNumberFormat="1" applyFont="1" applyFill="1" applyBorder="1">
      <alignment vertical="top"/>
    </xf>
    <xf numFmtId="164" fontId="1" fillId="0" borderId="0" xfId="3" applyFont="1" applyFill="1" applyBorder="1" applyAlignment="1"/>
    <xf numFmtId="4" fontId="1" fillId="0" borderId="0" xfId="3" applyNumberFormat="1" applyFont="1" applyFill="1" applyBorder="1" applyAlignment="1"/>
    <xf numFmtId="4" fontId="3" fillId="0" borderId="0" xfId="3" applyNumberFormat="1" applyFont="1" applyFill="1" applyBorder="1" applyAlignment="1"/>
    <xf numFmtId="164" fontId="3" fillId="0" borderId="0" xfId="3" applyFont="1" applyFill="1" applyBorder="1" applyAlignment="1"/>
    <xf numFmtId="164" fontId="1" fillId="0" borderId="0" xfId="3" applyFont="1" applyFill="1" applyBorder="1">
      <alignment vertical="top"/>
    </xf>
    <xf numFmtId="164" fontId="4" fillId="0" borderId="0" xfId="1" applyNumberFormat="1" applyFont="1">
      <alignment vertical="top"/>
    </xf>
    <xf numFmtId="14" fontId="0" fillId="0" borderId="0" xfId="0" applyNumberFormat="1"/>
    <xf numFmtId="0" fontId="0" fillId="0" borderId="0" xfId="0" pivotButton="1"/>
    <xf numFmtId="17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49" fontId="1" fillId="0" borderId="0" xfId="1" applyNumberFormat="1">
      <alignment vertical="top"/>
    </xf>
    <xf numFmtId="164" fontId="3" fillId="0" borderId="0" xfId="3" applyFont="1" applyFill="1" applyAlignment="1"/>
    <xf numFmtId="49" fontId="1" fillId="2" borderId="0" xfId="1" applyNumberFormat="1" applyFill="1">
      <alignment vertical="top"/>
    </xf>
    <xf numFmtId="4" fontId="3" fillId="0" borderId="0" xfId="3" applyNumberFormat="1" applyFont="1" applyFill="1" applyAlignment="1"/>
    <xf numFmtId="164" fontId="3" fillId="2" borderId="0" xfId="3" applyFont="1" applyFill="1" applyAlignment="1"/>
    <xf numFmtId="164" fontId="3" fillId="3" borderId="0" xfId="3" applyFont="1" applyFill="1" applyAlignment="1"/>
    <xf numFmtId="164" fontId="1" fillId="3" borderId="0" xfId="3" applyFont="1" applyFill="1" applyBorder="1" applyAlignment="1"/>
    <xf numFmtId="164" fontId="3" fillId="3" borderId="0" xfId="3" applyFont="1" applyFill="1" applyBorder="1" applyAlignment="1"/>
    <xf numFmtId="0" fontId="0" fillId="4" borderId="0" xfId="0" applyFill="1"/>
    <xf numFmtId="49" fontId="1" fillId="4" borderId="0" xfId="1" quotePrefix="1" applyNumberFormat="1" applyFill="1">
      <alignment vertical="top"/>
    </xf>
    <xf numFmtId="49" fontId="3" fillId="0" borderId="0" xfId="5" applyNumberFormat="1" applyFont="1">
      <alignment vertical="top"/>
    </xf>
    <xf numFmtId="49" fontId="2" fillId="0" borderId="0" xfId="2" applyNumberFormat="1">
      <alignment vertical="top"/>
    </xf>
    <xf numFmtId="49" fontId="1" fillId="0" borderId="0" xfId="2" applyNumberFormat="1" applyFont="1">
      <alignment vertical="top"/>
    </xf>
    <xf numFmtId="49" fontId="2" fillId="2" borderId="0" xfId="2" applyNumberFormat="1" applyFill="1">
      <alignment vertical="top"/>
    </xf>
    <xf numFmtId="49" fontId="3" fillId="0" borderId="0" xfId="1" applyNumberFormat="1" applyFont="1">
      <alignment vertical="top"/>
    </xf>
    <xf numFmtId="49" fontId="3" fillId="2" borderId="0" xfId="1" applyNumberFormat="1" applyFont="1" applyFill="1">
      <alignment vertical="top"/>
    </xf>
    <xf numFmtId="49" fontId="8" fillId="0" borderId="0" xfId="0" applyNumberFormat="1" applyFont="1"/>
  </cellXfs>
  <cellStyles count="10">
    <cellStyle name="Normal" xfId="0" builtinId="0"/>
    <cellStyle name="Normal 12" xfId="6" xr:uid="{7775CCBF-14F5-41F9-B3C3-A405CFE68775}"/>
    <cellStyle name="Normal 2" xfId="2" xr:uid="{6232CCB3-A06B-405C-8740-895D00FBF1F6}"/>
    <cellStyle name="Normal 4" xfId="5" xr:uid="{9F47C701-C767-42C6-ABD0-507B97D3AF9E}"/>
    <cellStyle name="Normal 53" xfId="8" xr:uid="{8C878BB7-A86F-4871-A8CD-5F0D265FA629}"/>
    <cellStyle name="Normal_Lalur Schmidt  2006" xfId="1" xr:uid="{6D82331E-9783-49C8-A2E6-B5E1071274BB}"/>
    <cellStyle name="Separador de milhares 5" xfId="4" xr:uid="{FBB3CF47-6A36-4A1A-A68C-E125AFDC9BC2}"/>
    <cellStyle name="Vírgula 2" xfId="3" xr:uid="{4822AC91-965F-49C4-AC5B-86FE1601C846}"/>
    <cellStyle name="Vírgula 3" xfId="7" xr:uid="{769C36E5-B787-4C73-8174-A803D8D7E3EF}"/>
    <cellStyle name="Vírgula 7" xfId="9" xr:uid="{03A09B99-91D4-4C1C-8A05-97C0F28F6713}"/>
  </cellStyles>
  <dxfs count="36">
    <dxf>
      <numFmt numFmtId="30" formatCode="@"/>
    </dxf>
    <dxf>
      <numFmt numFmtId="22" formatCode="mmm/yy"/>
    </dxf>
    <dxf>
      <numFmt numFmtId="19" formatCode="dd/mm/yyyy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8" formatCode="#,##0.00;[Red]\-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8" formatCode="#,##0.00;[Red]\-#,##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33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609599</xdr:colOff>
      <xdr:row>2</xdr:row>
      <xdr:rowOff>152398</xdr:rowOff>
    </xdr:from>
    <xdr:to>
      <xdr:col>6</xdr:col>
      <xdr:colOff>470399</xdr:colOff>
      <xdr:row>5</xdr:row>
      <xdr:rowOff>84199</xdr:rowOff>
    </xdr:to>
    <xdr:sp macro="[0]!TratarColunas_LALUR_V2_para_BASEM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86A052-6D82-485D-A23F-16F7747CE827}"/>
            </a:ext>
          </a:extLst>
        </xdr:cNvPr>
        <xdr:cNvSpPr>
          <a:spLocks noChangeAspect="1"/>
        </xdr:cNvSpPr>
      </xdr:nvSpPr>
      <xdr:spPr>
        <a:xfrm>
          <a:off x="3047999" y="533398"/>
          <a:ext cx="1080000" cy="503301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Ajustar Lalur</a:t>
          </a:r>
        </a:p>
      </xdr:txBody>
    </xdr:sp>
    <xdr:clientData fPrintsWithSheet="0"/>
  </xdr:twoCellAnchor>
  <xdr:twoCellAnchor editAs="absolute">
    <xdr:from>
      <xdr:col>7</xdr:col>
      <xdr:colOff>142874</xdr:colOff>
      <xdr:row>2</xdr:row>
      <xdr:rowOff>161925</xdr:rowOff>
    </xdr:from>
    <xdr:to>
      <xdr:col>9</xdr:col>
      <xdr:colOff>184649</xdr:colOff>
      <xdr:row>5</xdr:row>
      <xdr:rowOff>94425</xdr:rowOff>
    </xdr:to>
    <xdr:sp macro="[0]!Gerar_ECF_M_e_Exportar_Unico_localp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FB80B0E5-EB8E-4D6E-A319-52D4C6862894}"/>
            </a:ext>
          </a:extLst>
        </xdr:cNvPr>
        <xdr:cNvSpPr>
          <a:spLocks/>
        </xdr:cNvSpPr>
      </xdr:nvSpPr>
      <xdr:spPr>
        <a:xfrm>
          <a:off x="4410074" y="542925"/>
          <a:ext cx="1080000" cy="50400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Gerar Txt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0</xdr:row>
      <xdr:rowOff>19051</xdr:rowOff>
    </xdr:from>
    <xdr:to>
      <xdr:col>2</xdr:col>
      <xdr:colOff>1504950</xdr:colOff>
      <xdr:row>0</xdr:row>
      <xdr:rowOff>476250</xdr:rowOff>
    </xdr:to>
    <xdr:sp macro="[0]!TratarColunas_LALUR_V2_para_BASE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1601297-83D9-8D70-DD8A-4957769B987C}"/>
            </a:ext>
          </a:extLst>
        </xdr:cNvPr>
        <xdr:cNvSpPr>
          <a:spLocks noChangeAspect="1"/>
        </xdr:cNvSpPr>
      </xdr:nvSpPr>
      <xdr:spPr>
        <a:xfrm>
          <a:off x="9944100" y="19051"/>
          <a:ext cx="981075" cy="4571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Ajustar</a:t>
          </a:r>
          <a:r>
            <a:rPr lang="pt-BR" sz="1100" baseline="0"/>
            <a:t> Lalur</a:t>
          </a:r>
          <a:endParaRPr lang="pt-BR" sz="1100"/>
        </a:p>
      </xdr:txBody>
    </xdr:sp>
    <xdr:clientData fPrintsWithSheet="0"/>
  </xdr:twoCellAnchor>
  <xdr:twoCellAnchor editAs="absolute">
    <xdr:from>
      <xdr:col>2</xdr:col>
      <xdr:colOff>1647825</xdr:colOff>
      <xdr:row>0</xdr:row>
      <xdr:rowOff>19051</xdr:rowOff>
    </xdr:from>
    <xdr:to>
      <xdr:col>3</xdr:col>
      <xdr:colOff>628650</xdr:colOff>
      <xdr:row>0</xdr:row>
      <xdr:rowOff>485775</xdr:rowOff>
    </xdr:to>
    <xdr:sp macro="[0]!Gerar_ECF_M_e_Exportar_Unico_localp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E1AC6CF-7EEA-4FC9-B43A-6D483BA926F9}"/>
            </a:ext>
          </a:extLst>
        </xdr:cNvPr>
        <xdr:cNvSpPr>
          <a:spLocks noChangeAspect="1"/>
        </xdr:cNvSpPr>
      </xdr:nvSpPr>
      <xdr:spPr>
        <a:xfrm>
          <a:off x="11068050" y="19051"/>
          <a:ext cx="847725" cy="4667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 Txt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dnaldo Vince" id="{2B664A4E-B7C5-436B-9841-9F62D0F12E27}" userId="S::ednaldo.vince@dcompany.com.br::75cc8f32-9b09-4fbd-b0bd-eb99dc58052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naldo" refreshedDate="45841.737229282407" missingItemsLimit="0" createdVersion="8" refreshedVersion="8" minRefreshableVersion="3" recordCount="396" xr:uid="{DA53B5C3-65CE-4CE6-BD52-73C2AFA647AC}">
  <cacheSource type="worksheet">
    <worksheetSource name="Tabela_BaseM"/>
  </cacheSource>
  <cacheFields count="17">
    <cacheField name="TIPO APURAÇÃO" numFmtId="0">
      <sharedItems count="2">
        <s v="IRPJ"/>
        <s v="CSOCIAL"/>
      </sharedItems>
    </cacheField>
    <cacheField name="TIPO RELACIONAMENTO" numFmtId="0">
      <sharedItems/>
    </cacheField>
    <cacheField name="CÓDIGO" numFmtId="0">
      <sharedItems/>
    </cacheField>
    <cacheField name="AD/EX" numFmtId="0">
      <sharedItems/>
    </cacheField>
    <cacheField name="HISTÓRICO" numFmtId="0">
      <sharedItems/>
    </cacheField>
    <cacheField name="CONTA" numFmtId="0">
      <sharedItems/>
    </cacheField>
    <cacheField name="DECRIÇÃO CONTA" numFmtId="0">
      <sharedItems/>
    </cacheField>
    <cacheField name="CONTA PARTE B" numFmtId="0">
      <sharedItems containsBlank="1" containsMixedTypes="1" containsNumber="1" containsInteger="1" minValue="3" maxValue="13"/>
    </cacheField>
    <cacheField name="DESCRIÇAO CONTA PARTE B" numFmtId="0">
      <sharedItems containsBlank="1"/>
    </cacheField>
    <cacheField name="Periodo" numFmtId="14">
      <sharedItems containsSemiMixedTypes="0" containsNonDate="0" containsDate="1" containsString="0" minDate="2024-01-31T00:00:00" maxDate="2025-01-01T00:00:00"/>
    </cacheField>
    <cacheField name="Valor" numFmtId="0">
      <sharedItems containsSemiMixedTypes="0" containsString="0" containsNumber="1" minValue="0" maxValue="1418785.67"/>
    </cacheField>
    <cacheField name="tipo Registro 3CCTB" numFmtId="0">
      <sharedItems/>
    </cacheField>
    <cacheField name="tipo registro 3 PARTE B" numFmtId="0">
      <sharedItems/>
    </cacheField>
    <cacheField name="M310-TP1-2|M305-TP3" numFmtId="0">
      <sharedItems count="216">
        <s v="|M305|3|59865,21|D|"/>
        <s v="|M310|3.3.3.09.007||234,78|D|"/>
        <s v="|M310|3.3.1.03.011||1895,14|D|"/>
        <s v="|M310|3.3.1.03.008||247,22|D|"/>
        <s v="|M310|3.3.3.09.002||4000|D|"/>
        <s v="|M310|3.3.3.09.001||399,84|D|"/>
        <s v="|M305|6|5500|C|"/>
        <s v="|M305|9|0|D|"/>
        <s v="|M305|10|0|D|"/>
        <s v="|M305|5|0|D|"/>
        <s v="|M305|3|119730,42|D|"/>
        <s v="|M305|12|0|D|"/>
        <s v="|M310|3.3.3.09.007||892,7|D|"/>
        <s v="|M310|3.3.1.01.010||142525,44|D|"/>
        <s v="|M310|3.3.1.03.011||3723,48|D|"/>
        <s v="|M310|3.3.1.03.008||494,44|D|"/>
        <s v="|M310|3.3.3.09.001||3769,8|D|"/>
        <s v="|M305|9|494093,83|C|"/>
        <s v="|M305|6|11000|C|"/>
        <s v="|M305|10|171944,65|C|"/>
        <s v="|M305|12|0|C|"/>
        <s v="|M305|9|68500|D|"/>
        <s v="|M305|10|23838|D|"/>
        <s v="|M305|3|179595,63|D|"/>
        <s v="|M310|3.3.1.03.011||5551,82|D|"/>
        <s v="|M310|3.3.1.03.008||741,66|D|"/>
        <s v="|M310|3.3.3.09.001||5872,9|D|"/>
        <s v="|M305|12|122550|C|"/>
        <s v="|M305|9|137000|D|"/>
        <s v="|M305|10|47676|D|"/>
        <s v="|M305|3|239460,84|D|"/>
        <s v="|M310|3.3.3.09.007||1234,36|D|"/>
        <s v="|M310|3.3.1.03.011||7380,16|D|"/>
        <s v="|M310|3.3.1.03.008||988,88|D|"/>
        <s v="|M310|3.3.3.09.001||6965,7|D|"/>
        <s v="|M305|12|167940|C|"/>
        <s v="|M305|9|205500|D|"/>
        <s v="|M305|10|71514|D|"/>
        <s v="|M305|3|299326,05|D|"/>
        <s v="|M310|3.3.3.09.007||1533,72|D|"/>
        <s v="|M310|3.3.1.03.011||9380,16|D|"/>
        <s v="|M310|3.3.1.03.008||1236,1|D|"/>
        <s v="|M310|3.3.3.09.001||7540,35|D|"/>
        <s v="|M305|9|274000|D|"/>
        <s v="|M305|10|95352|D|"/>
        <s v="|M305|3|359191,26|D|"/>
        <s v="|M305|12|24920|D|"/>
        <s v="|M310|3.3.3.09.007||1637,85|D|"/>
        <s v="|M310|3.3.1.03.011||11380,16|D|"/>
        <s v="|M310|3.3.1.03.008||1483,32|D|"/>
        <s v="|M310|3.3.3.09.002||40847,75|D|"/>
        <s v="|M310|3.3.3.09.001||8748,72|D|"/>
        <s v="|M305|5|5080,5|C|"/>
        <s v="|M305|9|342500|D|"/>
        <s v="|M305|10|119190|D|"/>
        <s v="|M305|3|419056,47|D|"/>
        <s v="|M310|3.3.3.09.007||1741,98|D|"/>
        <s v="|M310|3.3.1.03.011||13380,16|D|"/>
        <s v="|M310|3.3.1.03.008||1730,54|D|"/>
        <s v="|M310|3.3.3.09.002||42847,75|D|"/>
        <s v="|M310|3.3.3.09.001||10263,14|D|"/>
        <s v="|M305|9|411000|D|"/>
        <s v="|M305|10|143028|D|"/>
        <s v="|M305|3|478921,68|D|"/>
        <s v="|M310|3.3.3.09.007||1950,24|D|"/>
        <s v="|M310|3.3.1.03.011||15380,16|D|"/>
        <s v="|M310|3.3.1.03.008||1977,76|D|"/>
        <s v="|M310|3.3.3.09.002||42887,55|D|"/>
        <s v="|M310|3.3.3.09.001||12346,81|D|"/>
        <s v="|M305|9|479500|D|"/>
        <s v="|M305|10|166866|D|"/>
        <s v="|M305|3|538786,89|D|"/>
        <s v="|M305|12|74920|D|"/>
        <s v="|M310|3.3.3.09.007||1394,23|D|"/>
        <s v="|M310|3.3.1.03.011||17380,16|D|"/>
        <s v="|M310|3.3.1.03.008||2224,98|D|"/>
        <s v="|M310|3.3.3.09.002||43225,32|D|"/>
        <s v="|M310|3.3.3.09.001||15437,37|D|"/>
        <s v="|M305|9|548000|D|"/>
        <s v="|M305|10|190704|D|"/>
        <s v="|M305|3|598652,1|D|"/>
        <s v="|M310|3.3.3.09.007||1602,47|D|"/>
        <s v="|M310|3.3.1.03.011||19943,76|D|"/>
        <s v="|M310|3.3.1.03.008||2472,2|D|"/>
        <s v="|M310|3.3.3.09.002||43470,25|D|"/>
        <s v="|M310|3.3.3.09.001||16545,82|D|"/>
        <s v="|M305|9|616500|D|"/>
        <s v="|M305|10|214542|D|"/>
        <s v="|M305|3|658517,31|D|"/>
        <s v="|M310|3.3.3.09.007||2227,21|D|"/>
        <s v="|M310|3.3.1.03.011||22225,56|D|"/>
        <s v="|M310|3.3.3.09.002||44130,29|D|"/>
        <s v="|M310|3.3.3.09.001||16861,66|D|"/>
        <s v="|M305|9|689384,57|D|"/>
        <s v="|M305|10|239905,83|D|"/>
        <s v="|M305|6|320000|D|"/>
        <s v="|M305|5|21738,29|D|"/>
        <s v="|M305|9|279368,68|D|"/>
        <s v="|M305|1.1.4.01.999|1418785,67|D|"/>
        <s v="|M305|3|727955,89|D|"/>
        <s v="|M305|12|89920|D|"/>
        <s v="|M305|6|5366,53|D|"/>
        <s v="|M310|3.3.3.09.007||136,67|D|"/>
        <s v="|M310|3.3.1.03.011||24507,36|D|"/>
        <s v="|M310|3.3.1.03.008||2966,64|D|"/>
        <s v="|M310|3.3.3.09.001||24790,58|D|"/>
        <s v="|M305|13|572647,08|C|"/>
        <s v="|M355|9|0|D|"/>
        <s v="|M355|10|0|D|"/>
        <s v="|M355|5|0|D|"/>
        <s v="|M355|3|59865,21|D|"/>
        <s v="|M355|12|0|D|"/>
        <s v="|M360|3.3.3.09.007||234,78|D|"/>
        <s v="|M360|3.3.1.03.011||1895,14|D|"/>
        <s v="|M360|3.3.1.03.008||247,22|D|"/>
        <s v="|M360|3.3.3.09.002||4000|D|"/>
        <s v="|M360|3.3.3.09.001||399,84|D|"/>
        <s v="|M355|9|0|C|"/>
        <s v="|M355|6|5500|C|"/>
        <s v="|M355|10|0|C|"/>
        <s v="|M355|13|0|C|"/>
        <s v="|M355|12|0|C|"/>
        <s v="|M355|3|119730,42|D|"/>
        <s v="|M360|3.3.3.09.007||892,7|D|"/>
        <s v="|M360|3.3.1.03.011||3723,48|D|"/>
        <s v="|M360|3.3.1.03.008||494,44|D|"/>
        <s v="|M360|3.3.3.09.001||3769,8|D|"/>
        <s v="|M355|9|494093,83|C|"/>
        <s v="|M355|6|11000|C|"/>
        <s v="|M355|10|171944,65|C|"/>
        <s v="|M355|9|68500|D|"/>
        <s v="|M355|10|23838|D|"/>
        <s v="|M355|3|179595,63|D|"/>
        <s v="|M360|3.3.1.03.011||5551,82|D|"/>
        <s v="|M360|3.3.1.03.008||741,66|D|"/>
        <s v="|M360|3.3.3.09.001||5872,9|D|"/>
        <s v="|M355|12|122550|C|"/>
        <s v="|M355|9|137000|D|"/>
        <s v="|M355|10|47676|D|"/>
        <s v="|M355|3|239460,84|D|"/>
        <s v="|M360|3.3.3.09.007||1234,36|D|"/>
        <s v="|M360|3.3.1.03.011||7380,16|D|"/>
        <s v="|M360|3.3.1.03.008||988,88|D|"/>
        <s v="|M360|3.3.3.09.001||6965,7|D|"/>
        <s v="|M355|12|167940|C|"/>
        <s v="|M355|9|205500|D|"/>
        <s v="|M355|10|71514|D|"/>
        <s v="|M355|3|299326,05|D|"/>
        <s v="|M360|3.3.3.09.007||1533,72|D|"/>
        <s v="|M360|3.3.1.03.011||9380,16|D|"/>
        <s v="|M360|3.3.1.03.008||1236,1|D|"/>
        <s v="|M360|3.3.3.09.001||7540,35|D|"/>
        <s v="|M355|9|274000|D|"/>
        <s v="|M355|10|95352|D|"/>
        <s v="|M355|3|359191,26|D|"/>
        <s v="|M355|12|24920|D|"/>
        <s v="|M360|3.3.3.09.007||1637,85|D|"/>
        <s v="|M360|3.3.1.03.011||11380,16|D|"/>
        <s v="|M360|3.3.1.03.008||1483,32|D|"/>
        <s v="|M360|3.3.3.09.002||40847,75|D|"/>
        <s v="|M360|3.3.3.09.001||8748,72|D|"/>
        <s v="|M355|5|5080,5|C|"/>
        <s v="|M355|9|342500|D|"/>
        <s v="|M355|10|119190|D|"/>
        <s v="|M355|3|419056,47|D|"/>
        <s v="|M360|3.3.3.09.007||1741,98|D|"/>
        <s v="|M360|3.3.1.03.011||13380,16|D|"/>
        <s v="|M360|3.3.1.03.008||1730,54|D|"/>
        <s v="|M360|3.3.3.09.002||42847,75|D|"/>
        <s v="|M360|3.3.3.09.001||10263,14|D|"/>
        <s v="|M355|9|411000|D|"/>
        <s v="|M355|10|143028|D|"/>
        <s v="|M355|3|478921,68|D|"/>
        <s v="|M360|3.3.3.09.007||1950,24|D|"/>
        <s v="|M360|3.3.1.03.011||15380,16|D|"/>
        <s v="|M360|3.3.1.03.008||1977,76|D|"/>
        <s v="|M360|3.3.3.09.002||42887,55|D|"/>
        <s v="|M360|3.3.3.09.001||12346,81|D|"/>
        <s v="|M355|9|479500|D|"/>
        <s v="|M355|10|166866|D|"/>
        <s v="|M355|3|538786,89|D|"/>
        <s v="|M355|12|74920|D|"/>
        <s v="|M360|3.3.3.09.007||1394,23|D|"/>
        <s v="|M360|3.3.1.03.011||17380,16|D|"/>
        <s v="|M360|3.3.1.03.008||2224,98|D|"/>
        <s v="|M360|3.3.3.09.002||43225,32|D|"/>
        <s v="|M360|3.3.3.09.001||15437,37|D|"/>
        <s v="|M355|9|548000|D|"/>
        <s v="|M355|10|190704|D|"/>
        <s v="|M355|3|598652,1|D|"/>
        <s v="|M360|3.3.3.09.007||1602,47|D|"/>
        <s v="|M360|3.3.1.03.011||19943,76|D|"/>
        <s v="|M360|3.3.1.03.008||2472,2|D|"/>
        <s v="|M360|3.3.3.09.002||43470,25|D|"/>
        <s v="|M360|3.3.3.09.001||16545,82|D|"/>
        <s v="|M355|9|616500|D|"/>
        <s v="|M355|10|214542|D|"/>
        <s v="|M355|3|658517,31|D|"/>
        <s v="|M360|3.3.3.09.007||2227,21|D|"/>
        <s v="|M360|3.3.1.03.011||22225,56|D|"/>
        <s v="|M360|3.3.3.09.002||44130,29|D|"/>
        <s v="|M360|3.3.3.09.001||16861,66|D|"/>
        <s v="|M355|9|689384,57|D|"/>
        <s v="|M355|10|239905,83|D|"/>
        <s v="|M355|6|320000|D|"/>
        <s v="|M355|5|21738,29|D|"/>
        <s v="|M355|9|279368,68|D|"/>
        <s v="|M355|1.1.4.01.999|1418785,67|D|"/>
        <s v="|M355|3|727955,89|D|"/>
        <s v="|M355|12|89920|D|"/>
        <s v="|M355|6|5366,53|D|"/>
        <s v="|M360|3.3.3.09.007||136,67|D|"/>
        <s v="|M360|3.3.1.03.011||24507,36|D|"/>
        <s v="|M360|3.3.1.03.008||2966,64|D|"/>
        <s v="|M360|3.3.3.09.001||24790,58|D|"/>
        <s v="|M355|13|572647,08|C|"/>
      </sharedItems>
    </cacheField>
    <cacheField name="M310-M360-TP3" numFmtId="0">
      <sharedItems count="112">
        <s v="|M310|3.3.3.09.009||59865,21|D|"/>
        <s v=""/>
        <s v="|M310|3.3.3.09.013||5500|C|"/>
        <s v="|M310|3.3.3.09.005||0|D|"/>
        <s v="|M310|3.3.3.09.019||0|D|"/>
        <s v="|M310|3.3.3.09.010||0|D|"/>
        <s v="|M310|3.3.3.09.015||0|D|"/>
        <s v="|M310|3.3.3.09.009||119730,42|D|"/>
        <s v="|M310|3.3.3.09.021||0|D|"/>
        <s v="|M310|3.3.3.09.005||494093,83|C|"/>
        <s v="|M310|3.3.3.09.013||11000|C|"/>
        <s v="|M310|3.3.3.09.019||171944,65|C|"/>
        <s v="|M310|3.3.3.09.021||0|C|"/>
        <s v="|M310|3.3.3.09.005||68500|D|"/>
        <s v="|M310|3.3.3.09.019||23838|D|"/>
        <s v="|M310|3.3.3.09.009||179595,63|D|"/>
        <s v="|M310|3.3.3.09.021||122550|C|"/>
        <s v="|M310|3.3.3.09.005||137000|D|"/>
        <s v="|M310|3.3.3.09.019||47676|D|"/>
        <s v="|M310|3.3.3.09.009||239460,84|D|"/>
        <s v="|M310|3.3.3.09.021||167940|C|"/>
        <s v="|M310|3.3.3.09.005||205500|D|"/>
        <s v="|M310|3.3.3.09.019||71514|D|"/>
        <s v="|M310|3.3.3.09.009||299326,05|D|"/>
        <s v="|M310|3.3.3.09.005||274000|D|"/>
        <s v="|M310|3.3.3.09.019||95352|D|"/>
        <s v="|M310|3.3.3.09.009||359191,26|D|"/>
        <s v="|M310|3.3.3.09.021||24920|D|"/>
        <s v="|M310|3.3.3.09.018||5080,5|C|"/>
        <s v="|M310|3.3.3.09.005||342500|D|"/>
        <s v="|M310|3.3.3.09.019||119190|D|"/>
        <s v="|M310|3.3.3.09.009||419056,47|D|"/>
        <s v="|M310|3.3.3.09.005||411000|D|"/>
        <s v="|M310|3.3.3.09.019||143028|D|"/>
        <s v="|M310|3.3.3.09.009||478921,68|D|"/>
        <s v="|M310|3.3.3.09.005||479500|D|"/>
        <s v="|M310|3.3.3.09.019||166866|D|"/>
        <s v="|M310|3.3.3.09.009||538786,89|D|"/>
        <s v="|M310|3.3.3.09.021||74920|D|"/>
        <s v="|M310|3.3.3.09.005||548000|D|"/>
        <s v="|M310|3.3.3.09.019||190704|D|"/>
        <s v="|M310|3.3.3.09.009||598652,1|D|"/>
        <s v="|M310|3.3.3.09.005||616500|D|"/>
        <s v="|M310|3.3.3.09.019||214542|D|"/>
        <s v="|M310|3.3.3.09.009||658517,31|D|"/>
        <s v="|M310|3.3.3.09.005||689384,57|D|"/>
        <s v="|M310|3.3.3.09.019||239905,83|D|"/>
        <s v="|M310|3.3.3.09.024||320000|D|"/>
        <s v="|M310|3.3.3.09.010||21738,29|D|"/>
        <s v="|M310|3.3.3.09.015||279368,68|D|"/>
        <s v="|M310|3.3.3.09.022||1418785,67|D|"/>
        <s v="|M310|3.3.3.09.009||727955,89|D|"/>
        <s v="|M310|3.3.3.09.021||89920|D|"/>
        <s v="|M310|3.3.3.09.012||5366,53|D|"/>
        <s v="|M310|3.3.3.09.014||572647,08|C|"/>
        <s v="|M360|3.3.3.09.005||0|D|"/>
        <s v="|M360|3.3.3.09.019||0|D|"/>
        <s v="|M360|3.3.3.09.010||0|D|"/>
        <s v="|M360|3.3.3.09.015||0|D|"/>
        <s v="|M360|3.3.3.09.009||59865,21|D|"/>
        <s v="|M360|3.3.3.09.021||0|D|"/>
        <s v="|M360|3.3.3.09.005||0|C|"/>
        <s v="|M360|3.3.3.09.013||5500|C|"/>
        <s v="|M360|3.3.3.09.019||0|C|"/>
        <s v="|M360|3.3.3.09.014||0|C|"/>
        <s v="|M360|3.3.3.09.021||0|C|"/>
        <s v="|M360|3.3.3.09.009||119730,42|D|"/>
        <s v="|M360|3.3.3.09.005||494093,83|C|"/>
        <s v="|M360|3.3.3.09.013||11000|C|"/>
        <s v="|M360|3.3.3.09.019||171944,65|C|"/>
        <s v="|M360|3.3.3.09.005||68500|D|"/>
        <s v="|M360|3.3.3.09.019||23838|D|"/>
        <s v="|M360|3.3.3.09.009||179595,63|D|"/>
        <s v="|M360|3.3.3.09.021||122550|C|"/>
        <s v="|M360|3.3.3.09.005||137000|D|"/>
        <s v="|M360|3.3.3.09.019||47676|D|"/>
        <s v="|M360|3.3.3.09.009||239460,84|D|"/>
        <s v="|M360|3.3.3.09.021||167940|C|"/>
        <s v="|M360|3.3.3.09.005||205500|D|"/>
        <s v="|M360|3.3.3.09.019||71514|D|"/>
        <s v="|M360|3.3.3.09.009||299326,05|D|"/>
        <s v="|M360|3.3.3.09.005||274000|D|"/>
        <s v="|M360|3.3.3.09.019||95352|D|"/>
        <s v="|M360|3.3.3.09.009||359191,26|D|"/>
        <s v="|M360|3.3.3.09.021||24920|D|"/>
        <s v="|M360|3.3.3.09.018||5080,5|C|"/>
        <s v="|M360|3.3.3.09.005||342500|D|"/>
        <s v="|M360|3.3.3.09.019||119190|D|"/>
        <s v="|M360|3.3.3.09.009||419056,47|D|"/>
        <s v="|M360|3.3.3.09.005||411000|D|"/>
        <s v="|M360|3.3.3.09.019||143028|D|"/>
        <s v="|M360|3.3.3.09.009||478921,68|D|"/>
        <s v="|M360|3.3.3.09.005||479500|D|"/>
        <s v="|M360|3.3.3.09.019||166866|D|"/>
        <s v="|M360|3.3.3.09.009||538786,89|D|"/>
        <s v="|M360|3.3.3.09.021||74920|D|"/>
        <s v="|M360|3.3.3.09.005||548000|D|"/>
        <s v="|M360|3.3.3.09.019||190704|D|"/>
        <s v="|M360|3.3.3.09.009||598652,1|D|"/>
        <s v="|M360|3.3.3.09.005||616500|D|"/>
        <s v="|M360|3.3.3.09.019||214542|D|"/>
        <s v="|M360|3.3.3.09.009||658517,31|D|"/>
        <s v="|M360|3.3.3.09.005||689384,57|D|"/>
        <s v="|M360|3.3.3.09.019||239905,83|D|"/>
        <s v="|M360|3.3.3.09.024||320000|D|"/>
        <s v="|M360|3.3.3.09.010||21738,29|D|"/>
        <s v="|M360|3.3.3.09.015||279368,68|D|"/>
        <s v="|M360|3.3.3.09.022||1418785,67|D|"/>
        <s v="|M360|3.3.3.09.009||727955,89|D|"/>
        <s v="|M360|3.3.3.09.021||89920|D|"/>
        <s v="|M360|3.3.3.09.012||5366,53|D|"/>
        <s v="|M360|3.3.3.09.014||572647,08|C|"/>
      </sharedItems>
    </cacheField>
    <cacheField name="M030" numFmtId="0">
      <sharedItems count="12">
        <s v="|M030|01012024|31012024|A01|"/>
        <s v="|M030|01022024|29022024|A02|"/>
        <s v="|M030|01032024|31032024|A03|"/>
        <s v="|M030|01042024|30042024|A04|"/>
        <s v="|M030|01052024|31052024|A05|"/>
        <s v="|M030|01062024|30062024|A06|"/>
        <s v="|M030|01072024|31072024|A07|"/>
        <s v="|M030|01082024|31082024|A08|"/>
        <s v="|M030|01092024|30092024|A09|"/>
        <s v="|M030|01102024|31102024|A10|"/>
        <s v="|M030|01112024|30112024|A11|"/>
        <s v="|M030|01122024|31122024|A12|"/>
      </sharedItems>
    </cacheField>
    <cacheField name="M300" numFmtId="0">
      <sharedItems count="207">
        <s v="|M300|6|Provis es ou perdas estimadas n o dedut veis|A|3|59865,21|Provisoes no período|"/>
        <s v="|M300|8.65|Multas impostas por transgress es de leis de natureza n o tribut ria|A|2|234,78|Multas nao fiscais no periodo|"/>
        <s v="|M300|8.75|Remunera  o de s cios|A|2|1895,14|Remuneracoes a socios|"/>
        <s v="|M300|8.75|Remunera  o de s cios|A|2|247,22|Remuneracoes a socios|"/>
        <s v="|M300|8|Despesas n o necess rias|A|2|4000|Despesas nao dedutiveis no periodo|"/>
        <s v="|M300|8|Despesas n o necess rias|A|2|399,84|Despesas nao dedutiveis no periodo|"/>
        <s v="|M300|95|(-) Revers o ou uso de provis es ou perdas estimadas n o dedut veis|E|3|5500|Reversao provisoes no periodo|"/>
        <s v="|M300|6|Provis es ou perdas estimadas n o dedut veis|A|3|0|Provisoes no período|"/>
        <s v="|M300|6|Provis es ou perdas estimadas n o dedut veis|A|3|119730,42|Provisoes no período|"/>
        <s v="|M300|8.65|Multas impostas por transgress es de leis de natureza n o tribut ria|A|2|892,7|Multas nao fiscais no periodo|"/>
        <s v="|M300|8.75|Remunera  o de s cios|A|2|142525,44|Remuneracoes a socios|"/>
        <s v="|M300|8.75|Remunera  o de s cios|A|2|3723,48|Remuneracoes a socios|"/>
        <s v="|M300|8.75|Remunera  o de s cios|A|2|494,44|Remuneracoes a socios|"/>
        <s v="|M300|8|Despesas n o necess rias|A|2|3769,8|Despesas nao dedutiveis no periodo|"/>
        <s v="|M300|95|(-) Revers o ou uso de provis es ou perdas estimadas n o dedut veis|E|3|494093,83|Reversao provisoes no periodo|"/>
        <s v="|M300|95|(-) Revers o ou uso de provis es ou perdas estimadas n o dedut veis|E|3|11000|Reversao provisoes no periodo|"/>
        <s v="|M300|95|(-) Revers o ou uso de provis es ou perdas estimadas n o dedut veis|E|3|171944,65|Reversao provisoes no periodo|"/>
        <s v="|M300|95|(-) Revers o ou uso de provis es ou perdas estimadas n o dedut veis|E|3|0|Reversao provisoes no periodo|"/>
        <s v="|M300|6|Provis es ou perdas estimadas n o dedut veis|A|3|68500|Provisoes no período|"/>
        <s v="|M300|6|Provis es ou perdas estimadas n o dedut veis|A|3|23838|Provisoes no período|"/>
        <s v="|M300|6|Provis es ou perdas estimadas n o dedut veis|A|3|179595,63|Provisoes no período|"/>
        <s v="|M300|8.75|Remunera  o de s cios|A|2|5551,82|Remuneracoes a socios|"/>
        <s v="|M300|8.75|Remunera  o de s cios|A|2|741,66|Remuneracoes a socios|"/>
        <s v="|M300|8|Despesas n o necess rias|A|2|5872,9|Despesas nao dedutiveis no periodo|"/>
        <s v="|M300|95|(-) Revers o ou uso de provis es ou perdas estimadas n o dedut veis|E|3|122550|Reversao provisoes no periodo|"/>
        <s v="|M300|6|Provis es ou perdas estimadas n o dedut veis|A|3|137000|Provisoes no período|"/>
        <s v="|M300|6|Provis es ou perdas estimadas n o dedut veis|A|3|47676|Provisoes no período|"/>
        <s v="|M300|6|Provis es ou perdas estimadas n o dedut veis|A|3|239460,84|Provisoes no período|"/>
        <s v="|M300|8.65|Multas impostas por transgress es de leis de natureza n o tribut ria|A|2|1234,36|Multas nao fiscais no periodo|"/>
        <s v="|M300|8.75|Remunera  o de s cios|A|2|7380,16|Remuneracoes a socios|"/>
        <s v="|M300|8.75|Remunera  o de s cios|A|2|988,88|Remuneracoes a socios|"/>
        <s v="|M300|8|Despesas n o necess rias|A|2|6965,7|Despesas nao dedutiveis no periodo|"/>
        <s v="|M300|95|(-) Revers o ou uso de provis es ou perdas estimadas n o dedut veis|E|3|167940|Reversao provisoes no periodo|"/>
        <s v="|M300|6|Provis es ou perdas estimadas n o dedut veis|A|3|205500|Provisoes no período|"/>
        <s v="|M300|6|Provis es ou perdas estimadas n o dedut veis|A|3|71514|Provisoes no período|"/>
        <s v="|M300|6|Provis es ou perdas estimadas n o dedut veis|A|3|299326,05|Provisoes no período|"/>
        <s v="|M300|8.65|Multas impostas por transgress es de leis de natureza n o tribut ria|A|2|1533,72|Multas nao fiscais no periodo|"/>
        <s v="|M300|8.75|Remunera  o de s cios|A|2|9380,16|Remuneracoes a socios|"/>
        <s v="|M300|8.75|Remunera  o de s cios|A|2|1236,1|Remuneracoes a socios|"/>
        <s v="|M300|8|Despesas n o necess rias|A|2|7540,35|Despesas nao dedutiveis no periodo|"/>
        <s v="|M300|6|Provis es ou perdas estimadas n o dedut veis|A|3|274000|Provisoes no período|"/>
        <s v="|M300|6|Provis es ou perdas estimadas n o dedut veis|A|3|95352|Provisoes no período|"/>
        <s v="|M300|6|Provis es ou perdas estimadas n o dedut veis|A|3|359191,26|Provisoes no período|"/>
        <s v="|M300|6|Provis es ou perdas estimadas n o dedut veis|A|3|24920|Provisoes no período|"/>
        <s v="|M300|8.65|Multas impostas por transgress es de leis de natureza n o tribut ria|A|2|1637,85|Multas nao fiscais no periodo|"/>
        <s v="|M300|8.75|Remunera  o de s cios|A|2|11380,16|Remuneracoes a socios|"/>
        <s v="|M300|8.75|Remunera  o de s cios|A|2|1483,32|Remuneracoes a socios|"/>
        <s v="|M300|8|Despesas n o necess rias|A|2|40847,75|Despesas nao dedutiveis no periodo|"/>
        <s v="|M300|8|Despesas n o necess rias|A|2|8748,72|Despesas nao dedutiveis no periodo|"/>
        <s v="|M300|95|(-) Revers o ou uso de provis es ou perdas estimadas n o dedut veis|E|3|5080,5|Reversao provisoes no periodo|"/>
        <s v="|M300|6|Provis es ou perdas estimadas n o dedut veis|A|3|342500|Provisoes no período|"/>
        <s v="|M300|6|Provis es ou perdas estimadas n o dedut veis|A|3|119190|Provisoes no período|"/>
        <s v="|M300|6|Provis es ou perdas estimadas n o dedut veis|A|3|419056,47|Provisoes no período|"/>
        <s v="|M300|8.65|Multas impostas por transgress es de leis de natureza n o tribut ria|A|2|1741,98|Multas nao fiscais no periodo|"/>
        <s v="|M300|8.75|Remunera  o de s cios|A|2|13380,16|Remuneracoes a socios|"/>
        <s v="|M300|8.75|Remunera  o de s cios|A|2|1730,54|Remuneracoes a socios|"/>
        <s v="|M300|8|Despesas n o necess rias|A|2|42847,75|Despesas nao dedutiveis no periodo|"/>
        <s v="|M300|8|Despesas n o necess rias|A|2|10263,14|Despesas nao dedutiveis no periodo|"/>
        <s v="|M300|6|Provis es ou perdas estimadas n o dedut veis|A|3|411000|Provisoes no período|"/>
        <s v="|M300|6|Provis es ou perdas estimadas n o dedut veis|A|3|143028|Provisoes no período|"/>
        <s v="|M300|6|Provis es ou perdas estimadas n o dedut veis|A|3|478921,68|Provisoes no período|"/>
        <s v="|M300|8.65|Multas impostas por transgress es de leis de natureza n o tribut ria|A|2|1950,24|Multas nao fiscais no periodo|"/>
        <s v="|M300|8.75|Remunera  o de s cios|A|2|15380,16|Remuneracoes a socios|"/>
        <s v="|M300|8.75|Remunera  o de s cios|A|2|1977,76|Remuneracoes a socios|"/>
        <s v="|M300|8|Despesas n o necess rias|A|2|42887,55|Despesas nao dedutiveis no periodo|"/>
        <s v="|M300|8|Despesas n o necess rias|A|2|12346,81|Despesas nao dedutiveis no periodo|"/>
        <s v="|M300|6|Provis es ou perdas estimadas n o dedut veis|A|3|479500|Provisoes no período|"/>
        <s v="|M300|6|Provis es ou perdas estimadas n o dedut veis|A|3|166866|Provisoes no período|"/>
        <s v="|M300|6|Provis es ou perdas estimadas n o dedut veis|A|3|538786,89|Provisoes no período|"/>
        <s v="|M300|6|Provis es ou perdas estimadas n o dedut veis|A|3|74920|Provisoes no período|"/>
        <s v="|M300|8.65|Multas impostas por transgress es de leis de natureza n o tribut ria|A|2|1394,23|Multas nao fiscais no periodo|"/>
        <s v="|M300|8.75|Remunera  o de s cios|A|2|17380,16|Remuneracoes a socios|"/>
        <s v="|M300|8.75|Remunera  o de s cios|A|2|2224,98|Remuneracoes a socios|"/>
        <s v="|M300|8|Despesas n o necess rias|A|2|43225,32|Despesas nao dedutiveis no periodo|"/>
        <s v="|M300|8|Despesas n o necess rias|A|2|15437,37|Despesas nao dedutiveis no periodo|"/>
        <s v="|M300|6|Provis es ou perdas estimadas n o dedut veis|A|3|548000|Provisoes no período|"/>
        <s v="|M300|6|Provis es ou perdas estimadas n o dedut veis|A|3|190704|Provisoes no período|"/>
        <s v="|M300|6|Provis es ou perdas estimadas n o dedut veis|A|3|598652,1|Provisoes no período|"/>
        <s v="|M300|8.65|Multas impostas por transgress es de leis de natureza n o tribut ria|A|2|1602,47|Multas nao fiscais no periodo|"/>
        <s v="|M300|8.75|Remunera  o de s cios|A|2|19943,76|Remuneracoes a socios|"/>
        <s v="|M300|8.75|Remunera  o de s cios|A|2|2472,2|Remuneracoes a socios|"/>
        <s v="|M300|8|Despesas n o necess rias|A|2|43470,25|Despesas nao dedutiveis no periodo|"/>
        <s v="|M300|8|Despesas n o necess rias|A|2|16545,82|Despesas nao dedutiveis no periodo|"/>
        <s v="|M300|6|Provis es ou perdas estimadas n o dedut veis|A|3|616500|Provisoes no período|"/>
        <s v="|M300|6|Provis es ou perdas estimadas n o dedut veis|A|3|214542|Provisoes no período|"/>
        <s v="|M300|6|Provis es ou perdas estimadas n o dedut veis|A|3|658517,31|Provisoes no período|"/>
        <s v="|M300|8.65|Multas impostas por transgress es de leis de natureza n o tribut ria|A|2|2227,21|Multas nao fiscais no periodo|"/>
        <s v="|M300|8.75|Remunera  o de s cios|A|2|22225,56|Remuneracoes a socios|"/>
        <s v="|M300|8|Despesas n o necess rias|A|2|44130,29|Despesas nao dedutiveis no periodo|"/>
        <s v="|M300|8|Despesas n o necess rias|A|2|16861,66|Despesas nao dedutiveis no periodo|"/>
        <s v="|M300|6|Provis es ou perdas estimadas n o dedut veis|A|3|689384,57|Provisoes no período|"/>
        <s v="|M300|6|Provis es ou perdas estimadas n o dedut veis|A|3|239905,83|Provisoes no período|"/>
        <s v="|M300|6|Provis es ou perdas estimadas n o dedut veis|A|3|320000|Provisoes no período|"/>
        <s v="|M300|6|Provis es ou perdas estimadas n o dedut veis|A|3|21738,29|Provisoes no período|"/>
        <s v="|M300|6|Provis es ou perdas estimadas n o dedut veis|A|3|279368,68|Provisoes no período|"/>
        <s v="|M300|6|Provis es ou perdas estimadas n o dedut veis|A|3|1418785,67|Provisoes no período|"/>
        <s v="|M300|6|Provis es ou perdas estimadas n o dedut veis|A|3|727955,89|Provisoes no período|"/>
        <s v="|M300|6|Provis es ou perdas estimadas n o dedut veis|A|3|89920|Provisoes no período|"/>
        <s v="|M300|6|Provis es ou perdas estimadas n o dedut veis|A|3|5366,53|Provisoes no período|"/>
        <s v="|M300|8.65|Multas impostas por transgress es de leis de natureza n o tribut ria|A|2|136,67|Multas nao fiscais no periodo|"/>
        <s v="|M300|8.75|Remunera  o de s cios|A|2|24507,36|Remuneracoes a socios|"/>
        <s v="|M300|8.75|Remunera  o de s cios|A|2|2966,64|Remuneracoes a socios|"/>
        <s v="|M300|8|Despesas n o necess rias|A|2|24790,58|Despesas nao dedutiveis no periodo|"/>
        <s v="|M300|95|(-) Revers o ou uso de provis es ou perdas estimadas n o dedut veis|E|3|572647,08|Reversao provisoes no periodo|"/>
        <s v="|M350|6|Provis es ou perdas estimadas n o dedut veis|A|3|0|Provisoes no período|"/>
        <s v="|M350|6|Provis es ou perdas estimadas n o dedut veis|A|3|59865,21|Provisoes no período|"/>
        <s v="|M350|8.65|Multas impostas por transgress es de leis de natureza n o tribut ria|A|2|234,78|Multas nao fiscais no periodo|"/>
        <s v="|M350|8.75|Remunera  o de s cios|A|2|1895,14|Remuneracoes a socios|"/>
        <s v="|M350|8.75|Remunera  o de s cios|A|2|247,22|Remuneracoes a socios|"/>
        <s v="|M350|8|Despesas n o necess rias|A|2|4000|Despesas nao dedutiveis no periodo|"/>
        <s v="|M350|8|Despesas n o necess rias|A|2|399,84|Despesas nao dedutiveis no periodo|"/>
        <s v="|M350|95|(-) Revers o ou uso de provis es ou perdas estimadas n o dedut veis|E|3|0|Reversao provisoes no periodo|"/>
        <s v="|M350|95|(-) Revers o ou uso de provis es ou perdas estimadas n o dedut veis|E|3|5500|Reversao provisoes no periodo|"/>
        <s v="|M350|6|Provis es ou perdas estimadas n o dedut veis|A|3|119730,42|Provisoes no período|"/>
        <s v="|M350|8.65|Multas impostas por transgress es de leis de natureza n o tribut ria|A|2|892,7|Multas nao fiscais no periodo|"/>
        <s v="|M350|8.75|Remunera  o de s cios|A|2|3723,48|Remuneracoes a socios|"/>
        <s v="|M350|8.75|Remunera  o de s cios|A|2|494,44|Remuneracoes a socios|"/>
        <s v="|M350|8|Despesas n o necess rias|A|2|3769,8|Despesas nao dedutiveis no periodo|"/>
        <s v="|M350|95|(-) Revers o ou uso de provis es ou perdas estimadas n o dedut veis|E|3|494093,83|Reversao provisoes no periodo|"/>
        <s v="|M350|95|(-) Revers o ou uso de provis es ou perdas estimadas n o dedut veis|E|3|11000|Reversao provisoes no periodo|"/>
        <s v="|M350|95|(-) Revers o ou uso de provis es ou perdas estimadas n o dedut veis|E|3|171944,65|Reversao provisoes no periodo|"/>
        <s v="|M350|6|Provis es ou perdas estimadas n o dedut veis|A|3|68500|Provisoes no período|"/>
        <s v="|M350|6|Provis es ou perdas estimadas n o dedut veis|A|3|23838|Provisoes no período|"/>
        <s v="|M350|6|Provis es ou perdas estimadas n o dedut veis|A|3|179595,63|Provisoes no período|"/>
        <s v="|M350|8.75|Remunera  o de s cios|A|2|5551,82|Remuneracoes a socios|"/>
        <s v="|M350|8.75|Remunera  o de s cios|A|2|741,66|Remuneracoes a socios|"/>
        <s v="|M350|8|Despesas n o necess rias|A|2|5872,9|Despesas nao dedutiveis no periodo|"/>
        <s v="|M350|95|(-) Revers o ou uso de provis es ou perdas estimadas n o dedut veis|E|3|122550|Reversao provisoes no periodo|"/>
        <s v="|M350|6|Provis es ou perdas estimadas n o dedut veis|A|3|137000|Provisoes no período|"/>
        <s v="|M350|6|Provis es ou perdas estimadas n o dedut veis|A|3|47676|Provisoes no período|"/>
        <s v="|M350|6|Provis es ou perdas estimadas n o dedut veis|A|3|239460,84|Provisoes no período|"/>
        <s v="|M350|8.65|Multas impostas por transgress es de leis de natureza n o tribut ria|A|2|1234,36|Multas nao fiscais no periodo|"/>
        <s v="|M350|8.75|Remunera  o de s cios|A|2|7380,16|Remuneracoes a socios|"/>
        <s v="|M350|8.75|Remunera  o de s cios|A|2|988,88|Remuneracoes a socios|"/>
        <s v="|M350|8|Despesas n o necess rias|A|2|6965,7|Despesas nao dedutiveis no periodo|"/>
        <s v="|M350|95|(-) Revers o ou uso de provis es ou perdas estimadas n o dedut veis|E|3|167940|Reversao provisoes no periodo|"/>
        <s v="|M350|6|Provis es ou perdas estimadas n o dedut veis|A|3|205500|Provisoes no período|"/>
        <s v="|M350|6|Provis es ou perdas estimadas n o dedut veis|A|3|71514|Provisoes no período|"/>
        <s v="|M350|6|Provis es ou perdas estimadas n o dedut veis|A|3|299326,05|Provisoes no período|"/>
        <s v="|M350|8.65|Multas impostas por transgress es de leis de natureza n o tribut ria|A|2|1533,72|Multas nao fiscais no periodo|"/>
        <s v="|M350|8.75|Remunera  o de s cios|A|2|9380,16|Remuneracoes a socios|"/>
        <s v="|M350|8.75|Remunera  o de s cios|A|2|1236,1|Remuneracoes a socios|"/>
        <s v="|M350|8|Despesas n o necess rias|A|2|7540,35|Despesas nao dedutiveis no periodo|"/>
        <s v="|M350|6|Provis es ou perdas estimadas n o dedut veis|A|3|274000|Provisoes no período|"/>
        <s v="|M350|6|Provis es ou perdas estimadas n o dedut veis|A|3|95352|Provisoes no período|"/>
        <s v="|M350|6|Provis es ou perdas estimadas n o dedut veis|A|3|359191,26|Provisoes no período|"/>
        <s v="|M350|6|Provis es ou perdas estimadas n o dedut veis|A|3|24920|Provisoes no período|"/>
        <s v="|M350|8.65|Multas impostas por transgress es de leis de natureza n o tribut ria|A|2|1637,85|Multas nao fiscais no periodo|"/>
        <s v="|M350|8.75|Remunera  o de s cios|A|2|11380,16|Remuneracoes a socios|"/>
        <s v="|M350|8.75|Remunera  o de s cios|A|2|1483,32|Remuneracoes a socios|"/>
        <s v="|M350|8|Despesas n o necess rias|A|2|40847,75|Despesas nao dedutiveis no periodo|"/>
        <s v="|M350|8|Despesas n o necess rias|A|2|8748,72|Despesas nao dedutiveis no periodo|"/>
        <s v="|M350|95|(-) Revers o ou uso de provis es ou perdas estimadas n o dedut veis|E|3|5080,5|Reversao provisoes no periodo|"/>
        <s v="|M350|6|Provis es ou perdas estimadas n o dedut veis|A|3|342500|Provisoes no período|"/>
        <s v="|M350|6|Provis es ou perdas estimadas n o dedut veis|A|3|119190|Provisoes no período|"/>
        <s v="|M350|6|Provis es ou perdas estimadas n o dedut veis|A|3|419056,47|Provisoes no período|"/>
        <s v="|M350|8.65|Multas impostas por transgress es de leis de natureza n o tribut ria|A|2|1741,98|Multas nao fiscais no periodo|"/>
        <s v="|M350|8.75|Remunera  o de s cios|A|2|13380,16|Remuneracoes a socios|"/>
        <s v="|M350|8.75|Remunera  o de s cios|A|2|1730,54|Remuneracoes a socios|"/>
        <s v="|M350|8|Despesas n o necess rias|A|2|42847,75|Despesas nao dedutiveis no periodo|"/>
        <s v="|M350|8|Despesas n o necess rias|A|2|10263,14|Despesas nao dedutiveis no periodo|"/>
        <s v="|M350|6|Provis es ou perdas estimadas n o dedut veis|A|3|411000|Provisoes no período|"/>
        <s v="|M350|6|Provis es ou perdas estimadas n o dedut veis|A|3|143028|Provisoes no período|"/>
        <s v="|M350|6|Provis es ou perdas estimadas n o dedut veis|A|3|478921,68|Provisoes no período|"/>
        <s v="|M350|8.65|Multas impostas por transgress es de leis de natureza n o tribut ria|A|2|1950,24|Multas nao fiscais no periodo|"/>
        <s v="|M350|8.75|Remunera  o de s cios|A|2|15380,16|Remuneracoes a socios|"/>
        <s v="|M350|8.75|Remunera  o de s cios|A|2|1977,76|Remuneracoes a socios|"/>
        <s v="|M350|8|Despesas n o necess rias|A|2|42887,55|Despesas nao dedutiveis no periodo|"/>
        <s v="|M350|8|Despesas n o necess rias|A|2|12346,81|Despesas nao dedutiveis no periodo|"/>
        <s v="|M350|6|Provis es ou perdas estimadas n o dedut veis|A|3|479500|Provisoes no período|"/>
        <s v="|M350|6|Provis es ou perdas estimadas n o dedut veis|A|3|166866|Provisoes no período|"/>
        <s v="|M350|6|Provis es ou perdas estimadas n o dedut veis|A|3|538786,89|Provisoes no período|"/>
        <s v="|M350|6|Provis es ou perdas estimadas n o dedut veis|A|3|74920|Provisoes no período|"/>
        <s v="|M350|8.65|Multas impostas por transgress es de leis de natureza n o tribut ria|A|2|1394,23|Multas nao fiscais no periodo|"/>
        <s v="|M350|8.75|Remunera  o de s cios|A|2|17380,16|Remuneracoes a socios|"/>
        <s v="|M350|8.75|Remunera  o de s cios|A|2|2224,98|Remuneracoes a socios|"/>
        <s v="|M350|8|Despesas n o necess rias|A|2|43225,32|Despesas nao dedutiveis no periodo|"/>
        <s v="|M350|8|Despesas n o necess rias|A|2|15437,37|Despesas nao dedutiveis no periodo|"/>
        <s v="|M350|6|Provis es ou perdas estimadas n o dedut veis|A|3|548000|Provisoes no período|"/>
        <s v="|M350|6|Provis es ou perdas estimadas n o dedut veis|A|3|190704|Provisoes no período|"/>
        <s v="|M350|6|Provis es ou perdas estimadas n o dedut veis|A|3|598652,1|Provisoes no período|"/>
        <s v="|M350|8.65|Multas impostas por transgress es de leis de natureza n o tribut ria|A|2|1602,47|Multas nao fiscais no periodo|"/>
        <s v="|M350|8.75|Remunera  o de s cios|A|2|19943,76|Remuneracoes a socios|"/>
        <s v="|M350|8.75|Remunera  o de s cios|A|2|2472,2|Remuneracoes a socios|"/>
        <s v="|M350|8|Despesas n o necess rias|A|2|43470,25|Despesas nao dedutiveis no periodo|"/>
        <s v="|M350|8|Despesas n o necess rias|A|2|16545,82|Despesas nao dedutiveis no periodo|"/>
        <s v="|M350|6|Provis es ou perdas estimadas n o dedut veis|A|3|616500|Provisoes no período|"/>
        <s v="|M350|6|Provis es ou perdas estimadas n o dedut veis|A|3|214542|Provisoes no período|"/>
        <s v="|M350|6|Provis es ou perdas estimadas n o dedut veis|A|3|658517,31|Provisoes no período|"/>
        <s v="|M350|8.65|Multas impostas por transgress es de leis de natureza n o tribut ria|A|2|2227,21|Multas nao fiscais no periodo|"/>
        <s v="|M350|8.75|Remunera  o de s cios|A|2|22225,56|Remuneracoes a socios|"/>
        <s v="|M350|8|Despesas n o necess rias|A|2|44130,29|Despesas nao dedutiveis no periodo|"/>
        <s v="|M350|8|Despesas n o necess rias|A|2|16861,66|Despesas nao dedutiveis no periodo|"/>
        <s v="|M350|6|Provis es ou perdas estimadas n o dedut veis|A|3|689384,57|Provisoes no período|"/>
        <s v="|M350|6|Provis es ou perdas estimadas n o dedut veis|A|3|239905,83|Provisoes no período|"/>
        <s v="|M350|6|Provis es ou perdas estimadas n o dedut veis|A|3|320000|Provisoes no período|"/>
        <s v="|M350|6|Provis es ou perdas estimadas n o dedut veis|A|3|21738,29|Provisoes no período|"/>
        <s v="|M350|6|Provis es ou perdas estimadas n o dedut veis|A|3|279368,68|Provisoes no período|"/>
        <s v="|M350|6|Provis es ou perdas estimadas n o dedut veis|A|3|1418785,67|Provisoes no período|"/>
        <s v="|M350|6|Provis es ou perdas estimadas n o dedut veis|A|3|727955,89|Provisoes no período|"/>
        <s v="|M350|6|Provis es ou perdas estimadas n o dedut veis|A|3|89920|Provisoes no período|"/>
        <s v="|M350|6|Provis es ou perdas estimadas n o dedut veis|A|3|5366,53|Provisoes no período|"/>
        <s v="|M350|8.65|Multas impostas por transgress es de leis de natureza n o tribut ria|A|2|136,67|Multas nao fiscais no periodo|"/>
        <s v="|M350|8.75|Remunera  o de s cios|A|2|24507,36|Remuneracoes a socios|"/>
        <s v="|M350|8.75|Remunera  o de s cios|A|2|2966,64|Remuneracoes a socios|"/>
        <s v="|M350|8|Despesas n o necess rias|A|2|24790,58|Despesas nao dedutiveis no periodo|"/>
        <s v="|M350|95|(-) Revers o ou uso de provis es ou perdas estimadas n o dedut veis|E|3|572647,08|Reversao provisoes no periodo|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1-31T00:00:00"/>
    <n v="59865.21"/>
    <s v="|M305|"/>
    <s v="|M310|"/>
    <x v="0"/>
    <x v="0"/>
    <x v="0"/>
    <x v="0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1-31T00:00:00"/>
    <n v="234.78"/>
    <s v="|M310|"/>
    <s v=""/>
    <x v="1"/>
    <x v="1"/>
    <x v="0"/>
    <x v="1"/>
  </r>
  <r>
    <x v="0"/>
    <s v="2-CONTA CONTABIL"/>
    <s v="8.75-Remunera  o de s cios"/>
    <s v="A-ADIÇÃO "/>
    <s v="Remuneracoes a socios"/>
    <s v="3.3.1.03.011"/>
    <s v="PREVIDENCIA PRIVADA DIRETORIA"/>
    <m/>
    <m/>
    <d v="2024-01-31T00:00:00"/>
    <n v="1895.14"/>
    <s v="|M310|"/>
    <s v=""/>
    <x v="2"/>
    <x v="1"/>
    <x v="0"/>
    <x v="2"/>
  </r>
  <r>
    <x v="0"/>
    <s v="2-CONTA CONTABIL"/>
    <s v="8.75-Remunera  o de s cios"/>
    <s v="A-ADIÇÃO "/>
    <s v="Remuneracoes a socios"/>
    <s v="3.3.1.03.008"/>
    <s v="SEGURO DE VIDA EM GRUPO"/>
    <m/>
    <m/>
    <d v="2024-01-31T00:00:00"/>
    <n v="247.22"/>
    <s v="|M310|"/>
    <s v=""/>
    <x v="3"/>
    <x v="1"/>
    <x v="0"/>
    <x v="3"/>
  </r>
  <r>
    <x v="0"/>
    <s v="2-CONTA CONTABIL"/>
    <s v="8-Despesas n o necess rias"/>
    <s v="A-ADIÇÃO "/>
    <s v="Despesas nao dedutiveis no periodo"/>
    <s v="3.3.3.09.002"/>
    <s v="BRINDES"/>
    <m/>
    <m/>
    <d v="2024-01-31T00:00:00"/>
    <n v="4000"/>
    <s v="|M310|"/>
    <s v=""/>
    <x v="4"/>
    <x v="1"/>
    <x v="0"/>
    <x v="4"/>
  </r>
  <r>
    <x v="0"/>
    <s v="2-CONTA CONTABIL"/>
    <s v="8-Despesas n o necess rias"/>
    <s v="A-ADIÇÃO "/>
    <s v="Despesas nao dedutiveis no periodo"/>
    <s v="3.3.3.09.001"/>
    <s v="DESPESAS NÃO DEDUTIVEIS"/>
    <m/>
    <m/>
    <d v="2024-01-31T00:00:00"/>
    <n v="399.84000000000003"/>
    <s v="|M310|"/>
    <s v=""/>
    <x v="5"/>
    <x v="1"/>
    <x v="0"/>
    <x v="5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1-31T00:00:00"/>
    <n v="5500"/>
    <s v="|M305|"/>
    <s v="|M310|"/>
    <x v="6"/>
    <x v="2"/>
    <x v="0"/>
    <x v="6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2-29T00:00:00"/>
    <n v="0"/>
    <s v="|M305|"/>
    <s v="|M310|"/>
    <x v="7"/>
    <x v="3"/>
    <x v="1"/>
    <x v="7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2-29T00:00:00"/>
    <n v="0"/>
    <s v="|M305|"/>
    <s v="|M310|"/>
    <x v="8"/>
    <x v="4"/>
    <x v="1"/>
    <x v="7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2-29T00:00:00"/>
    <n v="0"/>
    <s v="|M305|"/>
    <s v="|M310|"/>
    <x v="9"/>
    <x v="5"/>
    <x v="1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2-29T00:00:00"/>
    <n v="0"/>
    <s v="|M305|"/>
    <s v="|M310|"/>
    <x v="7"/>
    <x v="6"/>
    <x v="1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2-29T00:00:00"/>
    <n v="119730.42"/>
    <s v="|M305|"/>
    <s v="|M310|"/>
    <x v="10"/>
    <x v="7"/>
    <x v="1"/>
    <x v="8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2-29T00:00:00"/>
    <n v="0"/>
    <s v="|M305|"/>
    <s v="|M310|"/>
    <x v="11"/>
    <x v="8"/>
    <x v="1"/>
    <x v="7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2-29T00:00:00"/>
    <n v="892.69999999999993"/>
    <s v="|M310|"/>
    <s v=""/>
    <x v="12"/>
    <x v="1"/>
    <x v="1"/>
    <x v="9"/>
  </r>
  <r>
    <x v="0"/>
    <s v="2-CONTA CONTABIL"/>
    <s v="8.75-Remunera  o de s cios"/>
    <s v="A-ADIÇÃO "/>
    <s v="Remuneracoes a socios"/>
    <s v="3.3.1.01.010"/>
    <s v="BONUS DIRETORIA ESTATUTARIA"/>
    <m/>
    <m/>
    <d v="2024-02-29T00:00:00"/>
    <n v="142525.44"/>
    <s v="|M310|"/>
    <s v=""/>
    <x v="13"/>
    <x v="1"/>
    <x v="1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2-29T00:00:00"/>
    <n v="3723.4800000000005"/>
    <s v="|M310|"/>
    <s v=""/>
    <x v="14"/>
    <x v="1"/>
    <x v="1"/>
    <x v="11"/>
  </r>
  <r>
    <x v="0"/>
    <s v="2-CONTA CONTABIL"/>
    <s v="8.75-Remunera  o de s cios"/>
    <s v="A-ADIÇÃO "/>
    <s v="Remuneracoes a socios"/>
    <s v="3.3.1.03.008"/>
    <s v="SEGURO DE VIDA EM GRUPO"/>
    <m/>
    <m/>
    <d v="2024-02-29T00:00:00"/>
    <n v="494.44"/>
    <s v="|M310|"/>
    <s v=""/>
    <x v="15"/>
    <x v="1"/>
    <x v="1"/>
    <x v="12"/>
  </r>
  <r>
    <x v="0"/>
    <s v="2-CONTA CONTABIL"/>
    <s v="8-Despesas n o necess rias"/>
    <s v="A-ADIÇÃO "/>
    <s v="Despesas nao dedutiveis no periodo"/>
    <s v="3.3.3.09.002"/>
    <s v="BRINDES"/>
    <m/>
    <m/>
    <d v="2024-02-29T00:00:00"/>
    <n v="4000"/>
    <s v="|M310|"/>
    <s v=""/>
    <x v="4"/>
    <x v="1"/>
    <x v="1"/>
    <x v="4"/>
  </r>
  <r>
    <x v="0"/>
    <s v="2-CONTA CONTABIL"/>
    <s v="8-Despesas n o necess rias"/>
    <s v="A-ADIÇÃO "/>
    <s v="Despesas nao dedutiveis no periodo"/>
    <s v="3.3.3.09.001"/>
    <s v="DESPESAS NÃO DEDUTIVEIS"/>
    <m/>
    <m/>
    <d v="2024-02-29T00:00:00"/>
    <n v="3769.8"/>
    <s v="|M310|"/>
    <s v=""/>
    <x v="16"/>
    <x v="1"/>
    <x v="1"/>
    <x v="13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2-29T00:00:00"/>
    <n v="494093.83"/>
    <s v="|M305|"/>
    <s v="|M310|"/>
    <x v="17"/>
    <x v="9"/>
    <x v="1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2-29T00:00:00"/>
    <n v="11000"/>
    <s v="|M305|"/>
    <s v="|M310|"/>
    <x v="18"/>
    <x v="10"/>
    <x v="1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2-29T00:00:00"/>
    <n v="171944.65"/>
    <s v="|M305|"/>
    <s v="|M310|"/>
    <x v="19"/>
    <x v="11"/>
    <x v="1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2-29T00:00:00"/>
    <n v="0"/>
    <s v="|M305|"/>
    <s v="|M310|"/>
    <x v="20"/>
    <x v="12"/>
    <x v="1"/>
    <x v="17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3-31T00:00:00"/>
    <n v="68500"/>
    <s v="|M305|"/>
    <s v="|M310|"/>
    <x v="21"/>
    <x v="13"/>
    <x v="2"/>
    <x v="18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3-31T00:00:00"/>
    <n v="23838"/>
    <s v="|M305|"/>
    <s v="|M310|"/>
    <x v="22"/>
    <x v="14"/>
    <x v="2"/>
    <x v="19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3-31T00:00:00"/>
    <n v="0"/>
    <s v="|M305|"/>
    <s v="|M310|"/>
    <x v="9"/>
    <x v="5"/>
    <x v="2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3-31T00:00:00"/>
    <n v="0"/>
    <s v="|M305|"/>
    <s v="|M310|"/>
    <x v="7"/>
    <x v="6"/>
    <x v="2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3-31T00:00:00"/>
    <n v="179595.63"/>
    <s v="|M305|"/>
    <s v="|M310|"/>
    <x v="23"/>
    <x v="15"/>
    <x v="2"/>
    <x v="20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3-31T00:00:00"/>
    <n v="0"/>
    <s v="|M305|"/>
    <s v="|M310|"/>
    <x v="11"/>
    <x v="8"/>
    <x v="2"/>
    <x v="7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3-31T00:00:00"/>
    <n v="892.69999999999993"/>
    <s v="|M310|"/>
    <s v=""/>
    <x v="12"/>
    <x v="1"/>
    <x v="2"/>
    <x v="9"/>
  </r>
  <r>
    <x v="0"/>
    <s v="2-CONTA CONTABIL"/>
    <s v="8.75-Remunera  o de s cios"/>
    <s v="A-ADIÇÃO "/>
    <s v="Remuneracoes a socios"/>
    <s v="3.3.1.01.010"/>
    <s v="BONUS DIRETORIA ESTATUTARIA"/>
    <m/>
    <m/>
    <d v="2024-03-31T00:00:00"/>
    <n v="142525.44"/>
    <s v="|M310|"/>
    <s v=""/>
    <x v="13"/>
    <x v="1"/>
    <x v="2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3-31T00:00:00"/>
    <n v="5551.8200000000006"/>
    <s v="|M310|"/>
    <s v=""/>
    <x v="24"/>
    <x v="1"/>
    <x v="2"/>
    <x v="21"/>
  </r>
  <r>
    <x v="0"/>
    <s v="2-CONTA CONTABIL"/>
    <s v="8.75-Remunera  o de s cios"/>
    <s v="A-ADIÇÃO "/>
    <s v="Remuneracoes a socios"/>
    <s v="3.3.1.03.008"/>
    <s v="SEGURO DE VIDA EM GRUPO"/>
    <m/>
    <m/>
    <d v="2024-03-31T00:00:00"/>
    <n v="741.66"/>
    <s v="|M310|"/>
    <s v=""/>
    <x v="25"/>
    <x v="1"/>
    <x v="2"/>
    <x v="22"/>
  </r>
  <r>
    <x v="0"/>
    <s v="2-CONTA CONTABIL"/>
    <s v="8-Despesas n o necess rias"/>
    <s v="A-ADIÇÃO "/>
    <s v="Despesas nao dedutiveis no periodo"/>
    <s v="3.3.3.09.002"/>
    <s v="BRINDES"/>
    <m/>
    <m/>
    <d v="2024-03-31T00:00:00"/>
    <n v="4000"/>
    <s v="|M310|"/>
    <s v=""/>
    <x v="4"/>
    <x v="1"/>
    <x v="2"/>
    <x v="4"/>
  </r>
  <r>
    <x v="0"/>
    <s v="2-CONTA CONTABIL"/>
    <s v="8-Despesas n o necess rias"/>
    <s v="A-ADIÇÃO "/>
    <s v="Despesas nao dedutiveis no periodo"/>
    <s v="3.3.3.09.001"/>
    <s v="DESPESAS NÃO DEDUTIVEIS"/>
    <m/>
    <m/>
    <d v="2024-03-31T00:00:00"/>
    <n v="5872.9"/>
    <s v="|M310|"/>
    <s v=""/>
    <x v="26"/>
    <x v="1"/>
    <x v="2"/>
    <x v="23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3-31T00:00:00"/>
    <n v="494093.83"/>
    <s v="|M305|"/>
    <s v="|M310|"/>
    <x v="17"/>
    <x v="9"/>
    <x v="2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3-31T00:00:00"/>
    <n v="11000"/>
    <s v="|M305|"/>
    <s v="|M310|"/>
    <x v="18"/>
    <x v="10"/>
    <x v="2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3-31T00:00:00"/>
    <n v="171944.65"/>
    <s v="|M305|"/>
    <s v="|M310|"/>
    <x v="19"/>
    <x v="11"/>
    <x v="2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3-31T00:00:00"/>
    <n v="122550"/>
    <s v="|M305|"/>
    <s v="|M310|"/>
    <x v="27"/>
    <x v="16"/>
    <x v="2"/>
    <x v="24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4-30T00:00:00"/>
    <n v="137000"/>
    <s v="|M305|"/>
    <s v="|M310|"/>
    <x v="28"/>
    <x v="17"/>
    <x v="3"/>
    <x v="25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4-30T00:00:00"/>
    <n v="47676"/>
    <s v="|M305|"/>
    <s v="|M310|"/>
    <x v="29"/>
    <x v="18"/>
    <x v="3"/>
    <x v="26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4-30T00:00:00"/>
    <n v="0"/>
    <s v="|M305|"/>
    <s v="|M310|"/>
    <x v="9"/>
    <x v="5"/>
    <x v="3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4-30T00:00:00"/>
    <n v="0"/>
    <s v="|M305|"/>
    <s v="|M310|"/>
    <x v="7"/>
    <x v="6"/>
    <x v="3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4-30T00:00:00"/>
    <n v="239460.84"/>
    <s v="|M305|"/>
    <s v="|M310|"/>
    <x v="30"/>
    <x v="19"/>
    <x v="3"/>
    <x v="27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4-30T00:00:00"/>
    <n v="0"/>
    <s v="|M305|"/>
    <s v="|M310|"/>
    <x v="11"/>
    <x v="8"/>
    <x v="3"/>
    <x v="7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4-30T00:00:00"/>
    <n v="1234.3599999999999"/>
    <s v="|M310|"/>
    <s v=""/>
    <x v="31"/>
    <x v="1"/>
    <x v="3"/>
    <x v="28"/>
  </r>
  <r>
    <x v="0"/>
    <s v="2-CONTA CONTABIL"/>
    <s v="8.75-Remunera  o de s cios"/>
    <s v="A-ADIÇÃO "/>
    <s v="Remuneracoes a socios"/>
    <s v="3.3.1.01.010"/>
    <s v="BONUS DIRETORIA ESTATUTARIA"/>
    <m/>
    <m/>
    <d v="2024-04-30T00:00:00"/>
    <n v="142525.44"/>
    <s v="|M310|"/>
    <s v=""/>
    <x v="13"/>
    <x v="1"/>
    <x v="3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4-30T00:00:00"/>
    <n v="7380.1600000000008"/>
    <s v="|M310|"/>
    <s v=""/>
    <x v="32"/>
    <x v="1"/>
    <x v="3"/>
    <x v="29"/>
  </r>
  <r>
    <x v="0"/>
    <s v="2-CONTA CONTABIL"/>
    <s v="8.75-Remunera  o de s cios"/>
    <s v="A-ADIÇÃO "/>
    <s v="Remuneracoes a socios"/>
    <s v="3.3.1.03.008"/>
    <s v="SEGURO DE VIDA EM GRUPO"/>
    <m/>
    <m/>
    <d v="2024-04-30T00:00:00"/>
    <n v="988.88"/>
    <s v="|M310|"/>
    <s v=""/>
    <x v="33"/>
    <x v="1"/>
    <x v="3"/>
    <x v="30"/>
  </r>
  <r>
    <x v="0"/>
    <s v="2-CONTA CONTABIL"/>
    <s v="8-Despesas n o necess rias"/>
    <s v="A-ADIÇÃO "/>
    <s v="Despesas nao dedutiveis no periodo"/>
    <s v="3.3.3.09.002"/>
    <s v="BRINDES"/>
    <m/>
    <m/>
    <d v="2024-04-30T00:00:00"/>
    <n v="4000"/>
    <s v="|M310|"/>
    <s v=""/>
    <x v="4"/>
    <x v="1"/>
    <x v="3"/>
    <x v="4"/>
  </r>
  <r>
    <x v="0"/>
    <s v="2-CONTA CONTABIL"/>
    <s v="8-Despesas n o necess rias"/>
    <s v="A-ADIÇÃO "/>
    <s v="Despesas nao dedutiveis no periodo"/>
    <s v="3.3.3.09.001"/>
    <s v="DESPESAS NÃO DEDUTIVEIS"/>
    <m/>
    <m/>
    <d v="2024-04-30T00:00:00"/>
    <n v="6965.7"/>
    <s v="|M310|"/>
    <s v=""/>
    <x v="34"/>
    <x v="1"/>
    <x v="3"/>
    <x v="31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4-30T00:00:00"/>
    <n v="494093.83"/>
    <s v="|M305|"/>
    <s v="|M310|"/>
    <x v="17"/>
    <x v="9"/>
    <x v="3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4-30T00:00:00"/>
    <n v="11000"/>
    <s v="|M305|"/>
    <s v="|M310|"/>
    <x v="18"/>
    <x v="10"/>
    <x v="3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4-30T00:00:00"/>
    <n v="171944.65"/>
    <s v="|M305|"/>
    <s v="|M310|"/>
    <x v="19"/>
    <x v="11"/>
    <x v="3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4-30T00:00:00"/>
    <n v="167940"/>
    <s v="|M305|"/>
    <s v="|M310|"/>
    <x v="35"/>
    <x v="20"/>
    <x v="3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5-31T00:00:00"/>
    <n v="205500"/>
    <s v="|M305|"/>
    <s v="|M310|"/>
    <x v="36"/>
    <x v="21"/>
    <x v="4"/>
    <x v="33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5-31T00:00:00"/>
    <n v="71514"/>
    <s v="|M305|"/>
    <s v="|M310|"/>
    <x v="37"/>
    <x v="22"/>
    <x v="4"/>
    <x v="34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5-31T00:00:00"/>
    <n v="0"/>
    <s v="|M305|"/>
    <s v="|M310|"/>
    <x v="9"/>
    <x v="5"/>
    <x v="4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5-31T00:00:00"/>
    <n v="0"/>
    <s v="|M305|"/>
    <s v="|M310|"/>
    <x v="7"/>
    <x v="6"/>
    <x v="4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5-31T00:00:00"/>
    <n v="299326.05"/>
    <s v="|M305|"/>
    <s v="|M310|"/>
    <x v="38"/>
    <x v="23"/>
    <x v="4"/>
    <x v="35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5-31T00:00:00"/>
    <n v="0"/>
    <s v="|M305|"/>
    <s v="|M310|"/>
    <x v="11"/>
    <x v="8"/>
    <x v="4"/>
    <x v="7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5-31T00:00:00"/>
    <n v="1533.7199999999998"/>
    <s v="|M310|"/>
    <s v=""/>
    <x v="39"/>
    <x v="1"/>
    <x v="4"/>
    <x v="36"/>
  </r>
  <r>
    <x v="0"/>
    <s v="2-CONTA CONTABIL"/>
    <s v="8.75-Remunera  o de s cios"/>
    <s v="A-ADIÇÃO "/>
    <s v="Remuneracoes a socios"/>
    <s v="3.3.1.01.010"/>
    <s v="BONUS DIRETORIA ESTATUTARIA"/>
    <m/>
    <m/>
    <d v="2024-05-31T00:00:00"/>
    <n v="142525.44"/>
    <s v="|M310|"/>
    <s v=""/>
    <x v="13"/>
    <x v="1"/>
    <x v="4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5-31T00:00:00"/>
    <n v="9380.16"/>
    <s v="|M310|"/>
    <s v=""/>
    <x v="40"/>
    <x v="1"/>
    <x v="4"/>
    <x v="37"/>
  </r>
  <r>
    <x v="0"/>
    <s v="2-CONTA CONTABIL"/>
    <s v="8.75-Remunera  o de s cios"/>
    <s v="A-ADIÇÃO "/>
    <s v="Remuneracoes a socios"/>
    <s v="3.3.1.03.008"/>
    <s v="SEGURO DE VIDA EM GRUPO"/>
    <m/>
    <m/>
    <d v="2024-05-31T00:00:00"/>
    <n v="1236.0999999999999"/>
    <s v="|M310|"/>
    <s v=""/>
    <x v="41"/>
    <x v="1"/>
    <x v="4"/>
    <x v="38"/>
  </r>
  <r>
    <x v="0"/>
    <s v="2-CONTA CONTABIL"/>
    <s v="8-Despesas n o necess rias"/>
    <s v="A-ADIÇÃO "/>
    <s v="Despesas nao dedutiveis no periodo"/>
    <s v="3.3.3.09.002"/>
    <s v="BRINDES"/>
    <m/>
    <m/>
    <d v="2024-05-31T00:00:00"/>
    <n v="4000"/>
    <s v="|M310|"/>
    <s v=""/>
    <x v="4"/>
    <x v="1"/>
    <x v="4"/>
    <x v="4"/>
  </r>
  <r>
    <x v="0"/>
    <s v="2-CONTA CONTABIL"/>
    <s v="8-Despesas n o necess rias"/>
    <s v="A-ADIÇÃO "/>
    <s v="Despesas nao dedutiveis no periodo"/>
    <s v="3.3.3.09.001"/>
    <s v="DESPESAS NÃO DEDUTIVEIS"/>
    <m/>
    <m/>
    <d v="2024-05-31T00:00:00"/>
    <n v="7540.3499999999995"/>
    <s v="|M310|"/>
    <s v=""/>
    <x v="42"/>
    <x v="1"/>
    <x v="4"/>
    <x v="3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5-31T00:00:00"/>
    <n v="494093.83"/>
    <s v="|M305|"/>
    <s v="|M310|"/>
    <x v="17"/>
    <x v="9"/>
    <x v="4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5-31T00:00:00"/>
    <n v="11000"/>
    <s v="|M305|"/>
    <s v="|M310|"/>
    <x v="18"/>
    <x v="10"/>
    <x v="4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5-31T00:00:00"/>
    <n v="171944.65"/>
    <s v="|M305|"/>
    <s v="|M310|"/>
    <x v="19"/>
    <x v="11"/>
    <x v="4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5-31T00:00:00"/>
    <n v="167940"/>
    <s v="|M305|"/>
    <s v="|M310|"/>
    <x v="35"/>
    <x v="20"/>
    <x v="4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6-30T00:00:00"/>
    <n v="274000"/>
    <s v="|M305|"/>
    <s v="|M310|"/>
    <x v="43"/>
    <x v="24"/>
    <x v="5"/>
    <x v="40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6-30T00:00:00"/>
    <n v="95352"/>
    <s v="|M305|"/>
    <s v="|M310|"/>
    <x v="44"/>
    <x v="25"/>
    <x v="5"/>
    <x v="41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6-30T00:00:00"/>
    <n v="0"/>
    <s v="|M305|"/>
    <s v="|M310|"/>
    <x v="9"/>
    <x v="5"/>
    <x v="5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6-30T00:00:00"/>
    <n v="0"/>
    <s v="|M305|"/>
    <s v="|M310|"/>
    <x v="7"/>
    <x v="6"/>
    <x v="5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6-30T00:00:00"/>
    <n v="359191.26"/>
    <s v="|M305|"/>
    <s v="|M310|"/>
    <x v="45"/>
    <x v="26"/>
    <x v="5"/>
    <x v="42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6-30T00:00:00"/>
    <n v="24920"/>
    <s v="|M305|"/>
    <s v="|M310|"/>
    <x v="46"/>
    <x v="27"/>
    <x v="5"/>
    <x v="43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6-30T00:00:00"/>
    <n v="1637.85"/>
    <s v="|M310|"/>
    <s v=""/>
    <x v="47"/>
    <x v="1"/>
    <x v="5"/>
    <x v="44"/>
  </r>
  <r>
    <x v="0"/>
    <s v="2-CONTA CONTABIL"/>
    <s v="8.75-Remunera  o de s cios"/>
    <s v="A-ADIÇÃO "/>
    <s v="Remuneracoes a socios"/>
    <s v="3.3.1.01.010"/>
    <s v="BONUS DIRETORIA ESTATUTARIA"/>
    <m/>
    <m/>
    <d v="2024-06-30T00:00:00"/>
    <n v="142525.44"/>
    <s v="|M310|"/>
    <s v=""/>
    <x v="13"/>
    <x v="1"/>
    <x v="5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6-30T00:00:00"/>
    <n v="11380.16"/>
    <s v="|M310|"/>
    <s v=""/>
    <x v="48"/>
    <x v="1"/>
    <x v="5"/>
    <x v="45"/>
  </r>
  <r>
    <x v="0"/>
    <s v="2-CONTA CONTABIL"/>
    <s v="8.75-Remunera  o de s cios"/>
    <s v="A-ADIÇÃO "/>
    <s v="Remuneracoes a socios"/>
    <s v="3.3.1.03.008"/>
    <s v="SEGURO DE VIDA EM GRUPO"/>
    <m/>
    <m/>
    <d v="2024-06-30T00:00:00"/>
    <n v="1483.32"/>
    <s v="|M310|"/>
    <s v=""/>
    <x v="49"/>
    <x v="1"/>
    <x v="5"/>
    <x v="46"/>
  </r>
  <r>
    <x v="0"/>
    <s v="2-CONTA CONTABIL"/>
    <s v="8-Despesas n o necess rias"/>
    <s v="A-ADIÇÃO "/>
    <s v="Despesas nao dedutiveis no periodo"/>
    <s v="3.3.3.09.002"/>
    <s v="BRINDES"/>
    <m/>
    <m/>
    <d v="2024-06-30T00:00:00"/>
    <n v="40847.75"/>
    <s v="|M310|"/>
    <s v=""/>
    <x v="50"/>
    <x v="1"/>
    <x v="5"/>
    <x v="47"/>
  </r>
  <r>
    <x v="0"/>
    <s v="2-CONTA CONTABIL"/>
    <s v="8-Despesas n o necess rias"/>
    <s v="A-ADIÇÃO "/>
    <s v="Despesas nao dedutiveis no periodo"/>
    <s v="3.3.3.09.001"/>
    <s v="DESPESAS NÃO DEDUTIVEIS"/>
    <m/>
    <m/>
    <d v="2024-06-30T00:00:00"/>
    <n v="8748.7199999999993"/>
    <s v="|M310|"/>
    <s v=""/>
    <x v="51"/>
    <x v="1"/>
    <x v="5"/>
    <x v="48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6-30T00:00:00"/>
    <n v="5080.5"/>
    <s v="|M305|"/>
    <s v="|M310|"/>
    <x v="52"/>
    <x v="28"/>
    <x v="5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6-30T00:00:00"/>
    <n v="494093.83"/>
    <s v="|M305|"/>
    <s v="|M310|"/>
    <x v="17"/>
    <x v="9"/>
    <x v="5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6-30T00:00:00"/>
    <n v="11000"/>
    <s v="|M305|"/>
    <s v="|M310|"/>
    <x v="18"/>
    <x v="10"/>
    <x v="5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6-30T00:00:00"/>
    <n v="171944.65"/>
    <s v="|M305|"/>
    <s v="|M310|"/>
    <x v="19"/>
    <x v="11"/>
    <x v="5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6-30T00:00:00"/>
    <n v="167940"/>
    <s v="|M305|"/>
    <s v="|M310|"/>
    <x v="35"/>
    <x v="20"/>
    <x v="5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7-31T00:00:00"/>
    <n v="342500"/>
    <s v="|M305|"/>
    <s v="|M310|"/>
    <x v="53"/>
    <x v="29"/>
    <x v="6"/>
    <x v="50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7-31T00:00:00"/>
    <n v="119190"/>
    <s v="|M305|"/>
    <s v="|M310|"/>
    <x v="54"/>
    <x v="30"/>
    <x v="6"/>
    <x v="51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7-31T00:00:00"/>
    <n v="0"/>
    <s v="|M305|"/>
    <s v="|M310|"/>
    <x v="9"/>
    <x v="5"/>
    <x v="6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7-31T00:00:00"/>
    <n v="0"/>
    <s v="|M305|"/>
    <s v="|M310|"/>
    <x v="7"/>
    <x v="6"/>
    <x v="6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7-31T00:00:00"/>
    <n v="419056.47000000003"/>
    <s v="|M305|"/>
    <s v="|M310|"/>
    <x v="55"/>
    <x v="31"/>
    <x v="6"/>
    <x v="52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7-31T00:00:00"/>
    <n v="24920"/>
    <s v="|M305|"/>
    <s v="|M310|"/>
    <x v="46"/>
    <x v="27"/>
    <x v="6"/>
    <x v="43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7-31T00:00:00"/>
    <n v="1741.98"/>
    <s v="|M310|"/>
    <s v=""/>
    <x v="56"/>
    <x v="1"/>
    <x v="6"/>
    <x v="53"/>
  </r>
  <r>
    <x v="0"/>
    <s v="2-CONTA CONTABIL"/>
    <s v="8.75-Remunera  o de s cios"/>
    <s v="A-ADIÇÃO "/>
    <s v="Remuneracoes a socios"/>
    <s v="3.3.1.01.010"/>
    <s v="BONUS DIRETORIA ESTATUTARIA"/>
    <m/>
    <m/>
    <d v="2024-07-31T00:00:00"/>
    <n v="142525.44"/>
    <s v="|M310|"/>
    <s v=""/>
    <x v="13"/>
    <x v="1"/>
    <x v="6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7-31T00:00:00"/>
    <n v="13380.16"/>
    <s v="|M310|"/>
    <s v=""/>
    <x v="57"/>
    <x v="1"/>
    <x v="6"/>
    <x v="54"/>
  </r>
  <r>
    <x v="0"/>
    <s v="2-CONTA CONTABIL"/>
    <s v="8.75-Remunera  o de s cios"/>
    <s v="A-ADIÇÃO "/>
    <s v="Remuneracoes a socios"/>
    <s v="3.3.1.03.008"/>
    <s v="SEGURO DE VIDA EM GRUPO"/>
    <m/>
    <m/>
    <d v="2024-07-31T00:00:00"/>
    <n v="1730.54"/>
    <s v="|M310|"/>
    <s v=""/>
    <x v="58"/>
    <x v="1"/>
    <x v="6"/>
    <x v="55"/>
  </r>
  <r>
    <x v="0"/>
    <s v="2-CONTA CONTABIL"/>
    <s v="8-Despesas n o necess rias"/>
    <s v="A-ADIÇÃO "/>
    <s v="Despesas nao dedutiveis no periodo"/>
    <s v="3.3.3.09.002"/>
    <s v="BRINDES"/>
    <m/>
    <m/>
    <d v="2024-07-31T00:00:00"/>
    <n v="42847.75"/>
    <s v="|M310|"/>
    <s v=""/>
    <x v="59"/>
    <x v="1"/>
    <x v="6"/>
    <x v="56"/>
  </r>
  <r>
    <x v="0"/>
    <s v="2-CONTA CONTABIL"/>
    <s v="8-Despesas n o necess rias"/>
    <s v="A-ADIÇÃO "/>
    <s v="Despesas nao dedutiveis no periodo"/>
    <s v="3.3.3.09.001"/>
    <s v="DESPESAS NÃO DEDUTIVEIS"/>
    <m/>
    <m/>
    <d v="2024-07-31T00:00:00"/>
    <n v="10263.14"/>
    <s v="|M310|"/>
    <s v=""/>
    <x v="60"/>
    <x v="1"/>
    <x v="6"/>
    <x v="57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7-31T00:00:00"/>
    <n v="5080.5"/>
    <s v="|M305|"/>
    <s v="|M310|"/>
    <x v="52"/>
    <x v="28"/>
    <x v="6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7-31T00:00:00"/>
    <n v="494093.83"/>
    <s v="|M305|"/>
    <s v="|M310|"/>
    <x v="17"/>
    <x v="9"/>
    <x v="6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7-31T00:00:00"/>
    <n v="11000"/>
    <s v="|M305|"/>
    <s v="|M310|"/>
    <x v="18"/>
    <x v="10"/>
    <x v="6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7-31T00:00:00"/>
    <n v="171944.65"/>
    <s v="|M305|"/>
    <s v="|M310|"/>
    <x v="19"/>
    <x v="11"/>
    <x v="6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7-31T00:00:00"/>
    <n v="167940"/>
    <s v="|M305|"/>
    <s v="|M310|"/>
    <x v="35"/>
    <x v="20"/>
    <x v="6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8-31T00:00:00"/>
    <n v="411000"/>
    <s v="|M305|"/>
    <s v="|M310|"/>
    <x v="61"/>
    <x v="32"/>
    <x v="7"/>
    <x v="58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8-31T00:00:00"/>
    <n v="143028"/>
    <s v="|M305|"/>
    <s v="|M310|"/>
    <x v="62"/>
    <x v="33"/>
    <x v="7"/>
    <x v="59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8-31T00:00:00"/>
    <n v="0"/>
    <s v="|M305|"/>
    <s v="|M310|"/>
    <x v="9"/>
    <x v="5"/>
    <x v="7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8-31T00:00:00"/>
    <n v="0"/>
    <s v="|M305|"/>
    <s v="|M310|"/>
    <x v="7"/>
    <x v="6"/>
    <x v="7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8-31T00:00:00"/>
    <n v="478921.68000000005"/>
    <s v="|M305|"/>
    <s v="|M310|"/>
    <x v="63"/>
    <x v="34"/>
    <x v="7"/>
    <x v="60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8-31T00:00:00"/>
    <n v="24920"/>
    <s v="|M305|"/>
    <s v="|M310|"/>
    <x v="46"/>
    <x v="27"/>
    <x v="7"/>
    <x v="43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8-31T00:00:00"/>
    <n v="1950.24"/>
    <s v="|M310|"/>
    <s v=""/>
    <x v="64"/>
    <x v="1"/>
    <x v="7"/>
    <x v="61"/>
  </r>
  <r>
    <x v="0"/>
    <s v="2-CONTA CONTABIL"/>
    <s v="8.75-Remunera  o de s cios"/>
    <s v="A-ADIÇÃO "/>
    <s v="Remuneracoes a socios"/>
    <s v="3.3.1.01.010"/>
    <s v="BONUS DIRETORIA ESTATUTARIA"/>
    <m/>
    <m/>
    <d v="2024-08-31T00:00:00"/>
    <n v="142525.44"/>
    <s v="|M310|"/>
    <s v=""/>
    <x v="13"/>
    <x v="1"/>
    <x v="7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8-31T00:00:00"/>
    <n v="15380.16"/>
    <s v="|M310|"/>
    <s v=""/>
    <x v="65"/>
    <x v="1"/>
    <x v="7"/>
    <x v="62"/>
  </r>
  <r>
    <x v="0"/>
    <s v="2-CONTA CONTABIL"/>
    <s v="8.75-Remunera  o de s cios"/>
    <s v="A-ADIÇÃO "/>
    <s v="Remuneracoes a socios"/>
    <s v="3.3.1.03.008"/>
    <s v="SEGURO DE VIDA EM GRUPO"/>
    <m/>
    <m/>
    <d v="2024-08-31T00:00:00"/>
    <n v="1977.76"/>
    <s v="|M310|"/>
    <s v=""/>
    <x v="66"/>
    <x v="1"/>
    <x v="7"/>
    <x v="63"/>
  </r>
  <r>
    <x v="0"/>
    <s v="2-CONTA CONTABIL"/>
    <s v="8-Despesas n o necess rias"/>
    <s v="A-ADIÇÃO "/>
    <s v="Despesas nao dedutiveis no periodo"/>
    <s v="3.3.3.09.002"/>
    <s v="BRINDES"/>
    <m/>
    <m/>
    <d v="2024-08-31T00:00:00"/>
    <n v="42887.55"/>
    <s v="|M310|"/>
    <s v=""/>
    <x v="67"/>
    <x v="1"/>
    <x v="7"/>
    <x v="64"/>
  </r>
  <r>
    <x v="0"/>
    <s v="2-CONTA CONTABIL"/>
    <s v="8-Despesas n o necess rias"/>
    <s v="A-ADIÇÃO "/>
    <s v="Despesas nao dedutiveis no periodo"/>
    <s v="3.3.3.09.001"/>
    <s v="DESPESAS NÃO DEDUTIVEIS"/>
    <m/>
    <m/>
    <d v="2024-08-31T00:00:00"/>
    <n v="12346.81"/>
    <s v="|M310|"/>
    <s v=""/>
    <x v="68"/>
    <x v="1"/>
    <x v="7"/>
    <x v="65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8-31T00:00:00"/>
    <n v="5080.5"/>
    <s v="|M305|"/>
    <s v="|M310|"/>
    <x v="52"/>
    <x v="28"/>
    <x v="7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8-31T00:00:00"/>
    <n v="494093.83"/>
    <s v="|M305|"/>
    <s v="|M310|"/>
    <x v="17"/>
    <x v="9"/>
    <x v="7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8-31T00:00:00"/>
    <n v="11000"/>
    <s v="|M305|"/>
    <s v="|M310|"/>
    <x v="18"/>
    <x v="10"/>
    <x v="7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8-31T00:00:00"/>
    <n v="171944.65"/>
    <s v="|M305|"/>
    <s v="|M310|"/>
    <x v="19"/>
    <x v="11"/>
    <x v="7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8-31T00:00:00"/>
    <n v="167940"/>
    <s v="|M305|"/>
    <s v="|M310|"/>
    <x v="35"/>
    <x v="20"/>
    <x v="7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9-30T00:00:00"/>
    <n v="479500"/>
    <s v="|M305|"/>
    <s v="|M310|"/>
    <x v="69"/>
    <x v="35"/>
    <x v="8"/>
    <x v="66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9-30T00:00:00"/>
    <n v="166866"/>
    <s v="|M305|"/>
    <s v="|M310|"/>
    <x v="70"/>
    <x v="36"/>
    <x v="8"/>
    <x v="67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9-30T00:00:00"/>
    <n v="0"/>
    <s v="|M305|"/>
    <s v="|M310|"/>
    <x v="9"/>
    <x v="5"/>
    <x v="8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9-30T00:00:00"/>
    <n v="0"/>
    <s v="|M305|"/>
    <s v="|M310|"/>
    <x v="7"/>
    <x v="6"/>
    <x v="8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9-30T00:00:00"/>
    <n v="538786.89"/>
    <s v="|M305|"/>
    <s v="|M310|"/>
    <x v="71"/>
    <x v="37"/>
    <x v="8"/>
    <x v="68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9-30T00:00:00"/>
    <n v="74920"/>
    <s v="|M305|"/>
    <s v="|M310|"/>
    <x v="72"/>
    <x v="38"/>
    <x v="8"/>
    <x v="69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9-30T00:00:00"/>
    <n v="1394.23"/>
    <s v="|M310|"/>
    <s v=""/>
    <x v="73"/>
    <x v="1"/>
    <x v="8"/>
    <x v="70"/>
  </r>
  <r>
    <x v="0"/>
    <s v="2-CONTA CONTABIL"/>
    <s v="8.75-Remunera  o de s cios"/>
    <s v="A-ADIÇÃO "/>
    <s v="Remuneracoes a socios"/>
    <s v="3.3.1.01.010"/>
    <s v="BONUS DIRETORIA ESTATUTARIA"/>
    <m/>
    <m/>
    <d v="2024-09-30T00:00:00"/>
    <n v="142525.44"/>
    <s v="|M310|"/>
    <s v=""/>
    <x v="13"/>
    <x v="1"/>
    <x v="8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09-30T00:00:00"/>
    <n v="17380.16"/>
    <s v="|M310|"/>
    <s v=""/>
    <x v="74"/>
    <x v="1"/>
    <x v="8"/>
    <x v="71"/>
  </r>
  <r>
    <x v="0"/>
    <s v="2-CONTA CONTABIL"/>
    <s v="8.75-Remunera  o de s cios"/>
    <s v="A-ADIÇÃO "/>
    <s v="Remuneracoes a socios"/>
    <s v="3.3.1.03.008"/>
    <s v="SEGURO DE VIDA EM GRUPO"/>
    <m/>
    <m/>
    <d v="2024-09-30T00:00:00"/>
    <n v="2224.98"/>
    <s v="|M310|"/>
    <s v=""/>
    <x v="75"/>
    <x v="1"/>
    <x v="8"/>
    <x v="72"/>
  </r>
  <r>
    <x v="0"/>
    <s v="2-CONTA CONTABIL"/>
    <s v="8-Despesas n o necess rias"/>
    <s v="A-ADIÇÃO "/>
    <s v="Despesas nao dedutiveis no periodo"/>
    <s v="3.3.3.09.002"/>
    <s v="BRINDES"/>
    <m/>
    <m/>
    <d v="2024-09-30T00:00:00"/>
    <n v="43225.32"/>
    <s v="|M310|"/>
    <s v=""/>
    <x v="76"/>
    <x v="1"/>
    <x v="8"/>
    <x v="73"/>
  </r>
  <r>
    <x v="0"/>
    <s v="2-CONTA CONTABIL"/>
    <s v="8-Despesas n o necess rias"/>
    <s v="A-ADIÇÃO "/>
    <s v="Despesas nao dedutiveis no periodo"/>
    <s v="3.3.3.09.001"/>
    <s v="DESPESAS NÃO DEDUTIVEIS"/>
    <m/>
    <m/>
    <d v="2024-09-30T00:00:00"/>
    <n v="15437.369999999999"/>
    <s v="|M310|"/>
    <s v=""/>
    <x v="77"/>
    <x v="1"/>
    <x v="8"/>
    <x v="74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9-30T00:00:00"/>
    <n v="5080.5"/>
    <s v="|M305|"/>
    <s v="|M310|"/>
    <x v="52"/>
    <x v="28"/>
    <x v="8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9-30T00:00:00"/>
    <n v="494093.83"/>
    <s v="|M305|"/>
    <s v="|M310|"/>
    <x v="17"/>
    <x v="9"/>
    <x v="8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9-30T00:00:00"/>
    <n v="11000"/>
    <s v="|M305|"/>
    <s v="|M310|"/>
    <x v="18"/>
    <x v="10"/>
    <x v="8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9-30T00:00:00"/>
    <n v="171944.65"/>
    <s v="|M305|"/>
    <s v="|M310|"/>
    <x v="19"/>
    <x v="11"/>
    <x v="8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9-30T00:00:00"/>
    <n v="167940"/>
    <s v="|M305|"/>
    <s v="|M310|"/>
    <x v="35"/>
    <x v="20"/>
    <x v="8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0-31T00:00:00"/>
    <n v="548000"/>
    <s v="|M305|"/>
    <s v="|M310|"/>
    <x v="78"/>
    <x v="39"/>
    <x v="9"/>
    <x v="75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0-31T00:00:00"/>
    <n v="190704"/>
    <s v="|M305|"/>
    <s v="|M310|"/>
    <x v="79"/>
    <x v="40"/>
    <x v="9"/>
    <x v="76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0-31T00:00:00"/>
    <n v="0"/>
    <s v="|M305|"/>
    <s v="|M310|"/>
    <x v="9"/>
    <x v="5"/>
    <x v="9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0-31T00:00:00"/>
    <n v="0"/>
    <s v="|M305|"/>
    <s v="|M310|"/>
    <x v="7"/>
    <x v="6"/>
    <x v="9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0-31T00:00:00"/>
    <n v="598652.1"/>
    <s v="|M305|"/>
    <s v="|M310|"/>
    <x v="80"/>
    <x v="41"/>
    <x v="9"/>
    <x v="77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0-31T00:00:00"/>
    <n v="74920"/>
    <s v="|M305|"/>
    <s v="|M310|"/>
    <x v="72"/>
    <x v="38"/>
    <x v="9"/>
    <x v="69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0-31T00:00:00"/>
    <n v="1602.47"/>
    <s v="|M310|"/>
    <s v=""/>
    <x v="81"/>
    <x v="1"/>
    <x v="9"/>
    <x v="78"/>
  </r>
  <r>
    <x v="0"/>
    <s v="2-CONTA CONTABIL"/>
    <s v="8.75-Remunera  o de s cios"/>
    <s v="A-ADIÇÃO "/>
    <s v="Remuneracoes a socios"/>
    <s v="3.3.1.01.010"/>
    <s v="BONUS DIRETORIA ESTATUTARIA"/>
    <m/>
    <m/>
    <d v="2024-10-31T00:00:00"/>
    <n v="142525.44"/>
    <s v="|M310|"/>
    <s v=""/>
    <x v="13"/>
    <x v="1"/>
    <x v="9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10-31T00:00:00"/>
    <n v="19943.759999999998"/>
    <s v="|M310|"/>
    <s v=""/>
    <x v="82"/>
    <x v="1"/>
    <x v="9"/>
    <x v="79"/>
  </r>
  <r>
    <x v="0"/>
    <s v="2-CONTA CONTABIL"/>
    <s v="8.75-Remunera  o de s cios"/>
    <s v="A-ADIÇÃO "/>
    <s v="Remuneracoes a socios"/>
    <s v="3.3.1.03.008"/>
    <s v="SEGURO DE VIDA EM GRUPO"/>
    <m/>
    <m/>
    <d v="2024-10-31T00:00:00"/>
    <n v="2472.1999999999998"/>
    <s v="|M310|"/>
    <s v=""/>
    <x v="83"/>
    <x v="1"/>
    <x v="9"/>
    <x v="80"/>
  </r>
  <r>
    <x v="0"/>
    <s v="2-CONTA CONTABIL"/>
    <s v="8-Despesas n o necess rias"/>
    <s v="A-ADIÇÃO "/>
    <s v="Despesas nao dedutiveis no periodo"/>
    <s v="3.3.3.09.002"/>
    <s v="BRINDES"/>
    <m/>
    <m/>
    <d v="2024-10-31T00:00:00"/>
    <n v="43470.25"/>
    <s v="|M310|"/>
    <s v=""/>
    <x v="84"/>
    <x v="1"/>
    <x v="9"/>
    <x v="81"/>
  </r>
  <r>
    <x v="0"/>
    <s v="2-CONTA CONTABIL"/>
    <s v="8-Despesas n o necess rias"/>
    <s v="A-ADIÇÃO "/>
    <s v="Despesas nao dedutiveis no periodo"/>
    <s v="3.3.3.09.001"/>
    <s v="DESPESAS NÃO DEDUTIVEIS"/>
    <m/>
    <m/>
    <d v="2024-10-31T00:00:00"/>
    <n v="16545.82"/>
    <s v="|M310|"/>
    <s v=""/>
    <x v="85"/>
    <x v="1"/>
    <x v="9"/>
    <x v="82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0-31T00:00:00"/>
    <n v="5080.5"/>
    <s v="|M305|"/>
    <s v="|M310|"/>
    <x v="52"/>
    <x v="28"/>
    <x v="9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0-31T00:00:00"/>
    <n v="494093.83"/>
    <s v="|M305|"/>
    <s v="|M310|"/>
    <x v="17"/>
    <x v="9"/>
    <x v="9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0-31T00:00:00"/>
    <n v="11000"/>
    <s v="|M305|"/>
    <s v="|M310|"/>
    <x v="18"/>
    <x v="10"/>
    <x v="9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0-31T00:00:00"/>
    <n v="171944.65"/>
    <s v="|M305|"/>
    <s v="|M310|"/>
    <x v="19"/>
    <x v="11"/>
    <x v="9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0-31T00:00:00"/>
    <n v="167940"/>
    <s v="|M305|"/>
    <s v="|M310|"/>
    <x v="35"/>
    <x v="20"/>
    <x v="9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1-30T00:00:00"/>
    <n v="616500"/>
    <s v="|M305|"/>
    <s v="|M310|"/>
    <x v="86"/>
    <x v="42"/>
    <x v="10"/>
    <x v="83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1-30T00:00:00"/>
    <n v="214542"/>
    <s v="|M305|"/>
    <s v="|M310|"/>
    <x v="87"/>
    <x v="43"/>
    <x v="10"/>
    <x v="84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1-30T00:00:00"/>
    <n v="0"/>
    <s v="|M305|"/>
    <s v="|M310|"/>
    <x v="9"/>
    <x v="5"/>
    <x v="10"/>
    <x v="7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1-30T00:00:00"/>
    <n v="0"/>
    <s v="|M305|"/>
    <s v="|M310|"/>
    <x v="7"/>
    <x v="6"/>
    <x v="10"/>
    <x v="7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1-30T00:00:00"/>
    <n v="658517.30999999994"/>
    <s v="|M305|"/>
    <s v="|M310|"/>
    <x v="88"/>
    <x v="44"/>
    <x v="10"/>
    <x v="85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1-30T00:00:00"/>
    <n v="74920"/>
    <s v="|M305|"/>
    <s v="|M310|"/>
    <x v="72"/>
    <x v="38"/>
    <x v="10"/>
    <x v="69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1-30T00:00:00"/>
    <n v="2227.21"/>
    <s v="|M310|"/>
    <s v=""/>
    <x v="89"/>
    <x v="1"/>
    <x v="10"/>
    <x v="86"/>
  </r>
  <r>
    <x v="0"/>
    <s v="2-CONTA CONTABIL"/>
    <s v="8.75-Remunera  o de s cios"/>
    <s v="A-ADIÇÃO "/>
    <s v="Remuneracoes a socios"/>
    <s v="3.3.1.01.010"/>
    <s v="BONUS DIRETORIA ESTATUTARIA"/>
    <m/>
    <m/>
    <d v="2024-11-30T00:00:00"/>
    <n v="142525.44"/>
    <s v="|M310|"/>
    <s v=""/>
    <x v="13"/>
    <x v="1"/>
    <x v="10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11-30T00:00:00"/>
    <n v="22225.559999999998"/>
    <s v="|M310|"/>
    <s v=""/>
    <x v="90"/>
    <x v="1"/>
    <x v="10"/>
    <x v="87"/>
  </r>
  <r>
    <x v="0"/>
    <s v="2-CONTA CONTABIL"/>
    <s v="8.75-Remunera  o de s cios"/>
    <s v="A-ADIÇÃO "/>
    <s v="Remuneracoes a socios"/>
    <s v="3.3.1.03.008"/>
    <s v="SEGURO DE VIDA EM GRUPO"/>
    <m/>
    <m/>
    <d v="2024-11-30T00:00:00"/>
    <n v="2472.1999999999998"/>
    <s v="|M310|"/>
    <s v=""/>
    <x v="83"/>
    <x v="1"/>
    <x v="10"/>
    <x v="80"/>
  </r>
  <r>
    <x v="0"/>
    <s v="2-CONTA CONTABIL"/>
    <s v="8-Despesas n o necess rias"/>
    <s v="A-ADIÇÃO "/>
    <s v="Despesas nao dedutiveis no periodo"/>
    <s v="3.3.3.09.002"/>
    <s v="BRINDES"/>
    <m/>
    <m/>
    <d v="2024-11-30T00:00:00"/>
    <n v="44130.29"/>
    <s v="|M310|"/>
    <s v=""/>
    <x v="91"/>
    <x v="1"/>
    <x v="10"/>
    <x v="88"/>
  </r>
  <r>
    <x v="0"/>
    <s v="2-CONTA CONTABIL"/>
    <s v="8-Despesas n o necess rias"/>
    <s v="A-ADIÇÃO "/>
    <s v="Despesas nao dedutiveis no periodo"/>
    <s v="3.3.3.09.001"/>
    <s v="DESPESAS NÃO DEDUTIVEIS"/>
    <m/>
    <m/>
    <d v="2024-11-30T00:00:00"/>
    <n v="16861.66"/>
    <s v="|M310|"/>
    <s v=""/>
    <x v="92"/>
    <x v="1"/>
    <x v="10"/>
    <x v="89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1-30T00:00:00"/>
    <n v="5080.5"/>
    <s v="|M305|"/>
    <s v="|M310|"/>
    <x v="52"/>
    <x v="28"/>
    <x v="10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1-30T00:00:00"/>
    <n v="494093.83"/>
    <s v="|M305|"/>
    <s v="|M310|"/>
    <x v="17"/>
    <x v="9"/>
    <x v="10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1-30T00:00:00"/>
    <n v="11000"/>
    <s v="|M305|"/>
    <s v="|M310|"/>
    <x v="18"/>
    <x v="10"/>
    <x v="10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1-30T00:00:00"/>
    <n v="171944.65"/>
    <s v="|M305|"/>
    <s v="|M310|"/>
    <x v="19"/>
    <x v="11"/>
    <x v="10"/>
    <x v="16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1-30T00:00:00"/>
    <n v="167940"/>
    <s v="|M305|"/>
    <s v="|M310|"/>
    <x v="35"/>
    <x v="20"/>
    <x v="10"/>
    <x v="32"/>
  </r>
  <r>
    <x v="0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2-31T00:00:00"/>
    <n v="689384.57000000007"/>
    <s v="|M305|"/>
    <s v="|M310|"/>
    <x v="93"/>
    <x v="45"/>
    <x v="11"/>
    <x v="90"/>
  </r>
  <r>
    <x v="0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2-31T00:00:00"/>
    <n v="239905.83000000002"/>
    <s v="|M305|"/>
    <s v="|M310|"/>
    <x v="94"/>
    <x v="46"/>
    <x v="11"/>
    <x v="91"/>
  </r>
  <r>
    <x v="0"/>
    <s v="3-PARTE B E CONTA CONTABIL"/>
    <s v="6-Provis es ou perdas estimadas n o dedut veis"/>
    <s v="A-ADIÇÃO "/>
    <s v="Provisoes no período"/>
    <s v="3.3.3.09.024"/>
    <s v="PROVISAO MAUTENCAO EM MAQUINAS"/>
    <n v="6"/>
    <s v="PROVIS O DESPESAS COM OUTROS SERVI OS TERCEIROS"/>
    <d v="2024-12-31T00:00:00"/>
    <n v="320000"/>
    <s v="|M305|"/>
    <s v="|M310|"/>
    <x v="95"/>
    <x v="47"/>
    <x v="11"/>
    <x v="92"/>
  </r>
  <r>
    <x v="0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2-31T00:00:00"/>
    <n v="21738.290000000008"/>
    <s v="|M305|"/>
    <s v="|M310|"/>
    <x v="96"/>
    <x v="48"/>
    <x v="11"/>
    <x v="93"/>
  </r>
  <r>
    <x v="0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2-31T00:00:00"/>
    <n v="279368.68"/>
    <s v="|M305|"/>
    <s v="|M310|"/>
    <x v="97"/>
    <x v="49"/>
    <x v="11"/>
    <x v="94"/>
  </r>
  <r>
    <x v="0"/>
    <s v="3-PARTE B E CONTA CONTABIL"/>
    <s v="6-Provis es ou perdas estimadas n o dedut veis"/>
    <s v="A-ADIÇÃO "/>
    <s v="Provisoes no período"/>
    <s v="3.3.3.09.022"/>
    <s v="PROVISAO PERDA ICMS"/>
    <s v="1.1.4.01.999"/>
    <s v="PROVISAO PERDA ICMS"/>
    <d v="2024-12-31T00:00:00"/>
    <n v="1418785.67"/>
    <s v="|M305|"/>
    <s v="|M310|"/>
    <x v="98"/>
    <x v="50"/>
    <x v="11"/>
    <x v="95"/>
  </r>
  <r>
    <x v="0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2-31T00:00:00"/>
    <n v="727955.8899999999"/>
    <s v="|M305|"/>
    <s v="|M310|"/>
    <x v="99"/>
    <x v="51"/>
    <x v="11"/>
    <x v="96"/>
  </r>
  <r>
    <x v="0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2-31T00:00:00"/>
    <n v="89920"/>
    <s v="|M305|"/>
    <s v="|M310|"/>
    <x v="100"/>
    <x v="52"/>
    <x v="11"/>
    <x v="97"/>
  </r>
  <r>
    <x v="0"/>
    <s v="3-PARTE B E CONTA CONTABIL"/>
    <s v="6-Provis es ou perdas estimadas n o dedut veis"/>
    <s v="A-ADIÇÃO "/>
    <s v="Provisoes no período"/>
    <s v="3.3.3.09.012"/>
    <s v="PROVISAO SERVIÇOS COM AUDITORIA"/>
    <n v="6"/>
    <s v="PROVIS O DESPESAS COM OUTROS SERVI OS TERCEIROS"/>
    <d v="2024-12-31T00:00:00"/>
    <n v="5366.53"/>
    <s v="|M305|"/>
    <s v="|M310|"/>
    <x v="101"/>
    <x v="53"/>
    <x v="11"/>
    <x v="98"/>
  </r>
  <r>
    <x v="0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2-31T00:00:00"/>
    <n v="136.67000000000007"/>
    <s v="|M310|"/>
    <s v=""/>
    <x v="102"/>
    <x v="1"/>
    <x v="11"/>
    <x v="99"/>
  </r>
  <r>
    <x v="0"/>
    <s v="2-CONTA CONTABIL"/>
    <s v="8.75-Remunera  o de s cios"/>
    <s v="A-ADIÇÃO "/>
    <s v="Remuneracoes a socios"/>
    <s v="3.3.1.01.010"/>
    <s v="BONUS DIRETORIA ESTATUTARIA"/>
    <m/>
    <m/>
    <d v="2024-12-31T00:00:00"/>
    <n v="142525.44"/>
    <s v="|M310|"/>
    <s v=""/>
    <x v="13"/>
    <x v="1"/>
    <x v="11"/>
    <x v="10"/>
  </r>
  <r>
    <x v="0"/>
    <s v="2-CONTA CONTABIL"/>
    <s v="8.75-Remunera  o de s cios"/>
    <s v="A-ADIÇÃO "/>
    <s v="Remuneracoes a socios"/>
    <s v="3.3.1.03.011"/>
    <s v="PREVIDENCIA PRIVADA DIRETORIA"/>
    <m/>
    <m/>
    <d v="2024-12-31T00:00:00"/>
    <n v="24507.359999999997"/>
    <s v="|M310|"/>
    <s v=""/>
    <x v="103"/>
    <x v="1"/>
    <x v="11"/>
    <x v="100"/>
  </r>
  <r>
    <x v="0"/>
    <s v="2-CONTA CONTABIL"/>
    <s v="8.75-Remunera  o de s cios"/>
    <s v="A-ADIÇÃO "/>
    <s v="Remuneracoes a socios"/>
    <s v="3.3.1.03.008"/>
    <s v="SEGURO DE VIDA EM GRUPO"/>
    <m/>
    <m/>
    <d v="2024-12-31T00:00:00"/>
    <n v="2966.6399999999994"/>
    <s v="|M310|"/>
    <s v=""/>
    <x v="104"/>
    <x v="1"/>
    <x v="11"/>
    <x v="101"/>
  </r>
  <r>
    <x v="0"/>
    <s v="2-CONTA CONTABIL"/>
    <s v="8-Despesas n o necess rias"/>
    <s v="A-ADIÇÃO "/>
    <s v="Despesas nao dedutiveis no periodo"/>
    <s v="3.3.3.09.002"/>
    <s v="BRINDES"/>
    <m/>
    <m/>
    <d v="2024-12-31T00:00:00"/>
    <n v="44130.29"/>
    <s v="|M310|"/>
    <s v=""/>
    <x v="91"/>
    <x v="1"/>
    <x v="11"/>
    <x v="88"/>
  </r>
  <r>
    <x v="0"/>
    <s v="2-CONTA CONTABIL"/>
    <s v="8-Despesas n o necess rias"/>
    <s v="A-ADIÇÃO "/>
    <s v="Despesas nao dedutiveis no periodo"/>
    <s v="3.3.3.09.001"/>
    <s v="DESPESAS NÃO DEDUTIVEIS"/>
    <m/>
    <m/>
    <d v="2024-12-31T00:00:00"/>
    <n v="24790.58"/>
    <s v="|M310|"/>
    <s v=""/>
    <x v="105"/>
    <x v="1"/>
    <x v="11"/>
    <x v="102"/>
  </r>
  <r>
    <x v="0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2-31T00:00:00"/>
    <n v="5080.5"/>
    <s v="|M305|"/>
    <s v="|M310|"/>
    <x v="52"/>
    <x v="28"/>
    <x v="11"/>
    <x v="49"/>
  </r>
  <r>
    <x v="0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2-31T00:00:00"/>
    <n v="494093.83"/>
    <s v="|M305|"/>
    <s v="|M310|"/>
    <x v="17"/>
    <x v="9"/>
    <x v="11"/>
    <x v="14"/>
  </r>
  <r>
    <x v="0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2-31T00:00:00"/>
    <n v="11000"/>
    <s v="|M305|"/>
    <s v="|M310|"/>
    <x v="18"/>
    <x v="10"/>
    <x v="11"/>
    <x v="15"/>
  </r>
  <r>
    <x v="0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2-31T00:00:00"/>
    <n v="171944.65"/>
    <s v="|M305|"/>
    <s v="|M310|"/>
    <x v="19"/>
    <x v="11"/>
    <x v="11"/>
    <x v="16"/>
  </r>
  <r>
    <x v="0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12-31T00:00:00"/>
    <n v="572647.07999999996"/>
    <s v="|M305|"/>
    <s v="|M310|"/>
    <x v="106"/>
    <x v="54"/>
    <x v="11"/>
    <x v="103"/>
  </r>
  <r>
    <x v="0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2-31T00:00:00"/>
    <n v="167940"/>
    <s v="|M305|"/>
    <s v="|M310|"/>
    <x v="35"/>
    <x v="20"/>
    <x v="11"/>
    <x v="32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1-31T00:00:00"/>
    <n v="0"/>
    <s v="|M355|"/>
    <s v="|M360|"/>
    <x v="107"/>
    <x v="55"/>
    <x v="0"/>
    <x v="104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1-31T00:00:00"/>
    <n v="0"/>
    <s v="|M355|"/>
    <s v="|M360|"/>
    <x v="108"/>
    <x v="56"/>
    <x v="0"/>
    <x v="104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1-31T00:00:00"/>
    <n v="0"/>
    <s v="|M355|"/>
    <s v="|M360|"/>
    <x v="109"/>
    <x v="57"/>
    <x v="0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1-31T00:00:00"/>
    <n v="0"/>
    <s v="|M355|"/>
    <s v="|M360|"/>
    <x v="107"/>
    <x v="58"/>
    <x v="0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1-31T00:00:00"/>
    <n v="59865.21"/>
    <s v="|M355|"/>
    <s v="|M360|"/>
    <x v="110"/>
    <x v="59"/>
    <x v="0"/>
    <x v="105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1-31T00:00:00"/>
    <n v="0"/>
    <s v="|M355|"/>
    <s v="|M360|"/>
    <x v="111"/>
    <x v="60"/>
    <x v="0"/>
    <x v="104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1-31T00:00:00"/>
    <n v="234.78"/>
    <s v="|M360|"/>
    <s v=""/>
    <x v="112"/>
    <x v="1"/>
    <x v="0"/>
    <x v="106"/>
  </r>
  <r>
    <x v="1"/>
    <s v="2-CONTA CONTABIL"/>
    <s v="8.75-Remunera  o de s cios"/>
    <s v="A-ADIÇÃO "/>
    <s v="Remuneracoes a socios"/>
    <s v="3.3.1.03.011"/>
    <s v="PREVIDENCIA PRIVADA DIRETORIA"/>
    <m/>
    <m/>
    <d v="2024-01-31T00:00:00"/>
    <n v="1895.14"/>
    <s v="|M360|"/>
    <s v=""/>
    <x v="113"/>
    <x v="1"/>
    <x v="0"/>
    <x v="107"/>
  </r>
  <r>
    <x v="1"/>
    <s v="2-CONTA CONTABIL"/>
    <s v="8.75-Remunera  o de s cios"/>
    <s v="A-ADIÇÃO "/>
    <s v="Remuneracoes a socios"/>
    <s v="3.3.1.03.008"/>
    <s v="SEGURO DE VIDA EM GRUPO"/>
    <m/>
    <m/>
    <d v="2024-01-31T00:00:00"/>
    <n v="247.22"/>
    <s v="|M360|"/>
    <s v=""/>
    <x v="114"/>
    <x v="1"/>
    <x v="0"/>
    <x v="108"/>
  </r>
  <r>
    <x v="1"/>
    <s v="2-CONTA CONTABIL"/>
    <s v="8-Despesas n o necess rias"/>
    <s v="A-ADIÇÃO "/>
    <s v="Despesas nao dedutiveis no periodo"/>
    <s v="3.3.3.09.002"/>
    <s v="BRINDES"/>
    <m/>
    <m/>
    <d v="2024-01-31T00:00:00"/>
    <n v="4000"/>
    <s v="|M360|"/>
    <s v=""/>
    <x v="115"/>
    <x v="1"/>
    <x v="0"/>
    <x v="109"/>
  </r>
  <r>
    <x v="1"/>
    <s v="2-CONTA CONTABIL"/>
    <s v="8-Despesas n o necess rias"/>
    <s v="A-ADIÇÃO "/>
    <s v="Despesas nao dedutiveis no periodo"/>
    <s v="3.3.3.09.001"/>
    <s v="DESPESAS NÃO DEDUTIVEIS"/>
    <m/>
    <m/>
    <d v="2024-01-31T00:00:00"/>
    <n v="399.84000000000003"/>
    <s v="|M360|"/>
    <s v=""/>
    <x v="116"/>
    <x v="1"/>
    <x v="0"/>
    <x v="110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1-31T00:00:00"/>
    <n v="0"/>
    <s v="|M355|"/>
    <s v="|M360|"/>
    <x v="117"/>
    <x v="61"/>
    <x v="0"/>
    <x v="111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1-31T00:00:00"/>
    <n v="5500"/>
    <s v="|M355|"/>
    <s v="|M360|"/>
    <x v="118"/>
    <x v="62"/>
    <x v="0"/>
    <x v="112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1-31T00:00:00"/>
    <n v="0"/>
    <s v="|M355|"/>
    <s v="|M360|"/>
    <x v="119"/>
    <x v="63"/>
    <x v="0"/>
    <x v="111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1-31T00:00:00"/>
    <n v="0"/>
    <s v="|M355|"/>
    <s v="|M360|"/>
    <x v="120"/>
    <x v="64"/>
    <x v="0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1-31T00:00:00"/>
    <n v="0"/>
    <s v="|M355|"/>
    <s v="|M360|"/>
    <x v="121"/>
    <x v="65"/>
    <x v="0"/>
    <x v="111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2-29T00:00:00"/>
    <n v="0"/>
    <s v="|M355|"/>
    <s v="|M360|"/>
    <x v="107"/>
    <x v="55"/>
    <x v="1"/>
    <x v="104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2-29T00:00:00"/>
    <n v="0"/>
    <s v="|M355|"/>
    <s v="|M360|"/>
    <x v="108"/>
    <x v="56"/>
    <x v="1"/>
    <x v="104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2-29T00:00:00"/>
    <n v="0"/>
    <s v="|M355|"/>
    <s v="|M360|"/>
    <x v="109"/>
    <x v="57"/>
    <x v="1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2-29T00:00:00"/>
    <n v="0"/>
    <s v="|M355|"/>
    <s v="|M360|"/>
    <x v="107"/>
    <x v="58"/>
    <x v="1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2-29T00:00:00"/>
    <n v="119730.42"/>
    <s v="|M355|"/>
    <s v="|M360|"/>
    <x v="122"/>
    <x v="66"/>
    <x v="1"/>
    <x v="113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2-29T00:00:00"/>
    <n v="0"/>
    <s v="|M355|"/>
    <s v="|M360|"/>
    <x v="111"/>
    <x v="60"/>
    <x v="1"/>
    <x v="104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2-29T00:00:00"/>
    <n v="892.69999999999993"/>
    <s v="|M360|"/>
    <s v=""/>
    <x v="123"/>
    <x v="1"/>
    <x v="1"/>
    <x v="114"/>
  </r>
  <r>
    <x v="1"/>
    <s v="2-CONTA CONTABIL"/>
    <s v="8.75-Remunera  o de s cios"/>
    <s v="A-ADIÇÃO "/>
    <s v="Remuneracoes a socios"/>
    <s v="3.3.1.03.011"/>
    <s v="PREVIDENCIA PRIVADA DIRETORIA"/>
    <m/>
    <m/>
    <d v="2024-02-29T00:00:00"/>
    <n v="3723.4800000000005"/>
    <s v="|M360|"/>
    <s v=""/>
    <x v="124"/>
    <x v="1"/>
    <x v="1"/>
    <x v="115"/>
  </r>
  <r>
    <x v="1"/>
    <s v="2-CONTA CONTABIL"/>
    <s v="8.75-Remunera  o de s cios"/>
    <s v="A-ADIÇÃO "/>
    <s v="Remuneracoes a socios"/>
    <s v="3.3.1.03.008"/>
    <s v="SEGURO DE VIDA EM GRUPO"/>
    <m/>
    <m/>
    <d v="2024-02-29T00:00:00"/>
    <n v="494.44"/>
    <s v="|M360|"/>
    <s v=""/>
    <x v="125"/>
    <x v="1"/>
    <x v="1"/>
    <x v="116"/>
  </r>
  <r>
    <x v="1"/>
    <s v="2-CONTA CONTABIL"/>
    <s v="8-Despesas n o necess rias"/>
    <s v="A-ADIÇÃO "/>
    <s v="Despesas nao dedutiveis no periodo"/>
    <s v="3.3.3.09.002"/>
    <s v="BRINDES"/>
    <m/>
    <m/>
    <d v="2024-02-29T00:00:00"/>
    <n v="4000"/>
    <s v="|M360|"/>
    <s v=""/>
    <x v="115"/>
    <x v="1"/>
    <x v="1"/>
    <x v="109"/>
  </r>
  <r>
    <x v="1"/>
    <s v="2-CONTA CONTABIL"/>
    <s v="8-Despesas n o necess rias"/>
    <s v="A-ADIÇÃO "/>
    <s v="Despesas nao dedutiveis no periodo"/>
    <s v="3.3.3.09.001"/>
    <s v="DESPESAS NÃO DEDUTIVEIS"/>
    <m/>
    <m/>
    <d v="2024-02-29T00:00:00"/>
    <n v="3769.8"/>
    <s v="|M360|"/>
    <s v=""/>
    <x v="126"/>
    <x v="1"/>
    <x v="1"/>
    <x v="117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2-29T00:00:00"/>
    <n v="494093.83"/>
    <s v="|M355|"/>
    <s v="|M360|"/>
    <x v="127"/>
    <x v="67"/>
    <x v="1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2-29T00:00:00"/>
    <n v="11000"/>
    <s v="|M355|"/>
    <s v="|M360|"/>
    <x v="128"/>
    <x v="68"/>
    <x v="1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2-29T00:00:00"/>
    <n v="171944.65"/>
    <s v="|M355|"/>
    <s v="|M360|"/>
    <x v="129"/>
    <x v="69"/>
    <x v="1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2-29T00:00:00"/>
    <n v="0"/>
    <s v="|M355|"/>
    <s v="|M360|"/>
    <x v="120"/>
    <x v="64"/>
    <x v="1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2-29T00:00:00"/>
    <n v="0"/>
    <s v="|M355|"/>
    <s v="|M360|"/>
    <x v="121"/>
    <x v="65"/>
    <x v="1"/>
    <x v="111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3-31T00:00:00"/>
    <n v="68500"/>
    <s v="|M355|"/>
    <s v="|M360|"/>
    <x v="130"/>
    <x v="70"/>
    <x v="2"/>
    <x v="121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3-31T00:00:00"/>
    <n v="23838"/>
    <s v="|M355|"/>
    <s v="|M360|"/>
    <x v="131"/>
    <x v="71"/>
    <x v="2"/>
    <x v="122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3-31T00:00:00"/>
    <n v="0"/>
    <s v="|M355|"/>
    <s v="|M360|"/>
    <x v="109"/>
    <x v="57"/>
    <x v="2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3-31T00:00:00"/>
    <n v="0"/>
    <s v="|M355|"/>
    <s v="|M360|"/>
    <x v="107"/>
    <x v="58"/>
    <x v="2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3-31T00:00:00"/>
    <n v="179595.63"/>
    <s v="|M355|"/>
    <s v="|M360|"/>
    <x v="132"/>
    <x v="72"/>
    <x v="2"/>
    <x v="123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3-31T00:00:00"/>
    <n v="0"/>
    <s v="|M355|"/>
    <s v="|M360|"/>
    <x v="111"/>
    <x v="60"/>
    <x v="2"/>
    <x v="104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3-31T00:00:00"/>
    <n v="892.69999999999993"/>
    <s v="|M360|"/>
    <s v=""/>
    <x v="123"/>
    <x v="1"/>
    <x v="2"/>
    <x v="114"/>
  </r>
  <r>
    <x v="1"/>
    <s v="2-CONTA CONTABIL"/>
    <s v="8.75-Remunera  o de s cios"/>
    <s v="A-ADIÇÃO "/>
    <s v="Remuneracoes a socios"/>
    <s v="3.3.1.03.011"/>
    <s v="PREVIDENCIA PRIVADA DIRETORIA"/>
    <m/>
    <m/>
    <d v="2024-03-31T00:00:00"/>
    <n v="5551.8200000000006"/>
    <s v="|M360|"/>
    <s v=""/>
    <x v="133"/>
    <x v="1"/>
    <x v="2"/>
    <x v="124"/>
  </r>
  <r>
    <x v="1"/>
    <s v="2-CONTA CONTABIL"/>
    <s v="8.75-Remunera  o de s cios"/>
    <s v="A-ADIÇÃO "/>
    <s v="Remuneracoes a socios"/>
    <s v="3.3.1.03.008"/>
    <s v="SEGURO DE VIDA EM GRUPO"/>
    <m/>
    <m/>
    <d v="2024-03-31T00:00:00"/>
    <n v="741.66"/>
    <s v="|M360|"/>
    <s v=""/>
    <x v="134"/>
    <x v="1"/>
    <x v="2"/>
    <x v="125"/>
  </r>
  <r>
    <x v="1"/>
    <s v="2-CONTA CONTABIL"/>
    <s v="8-Despesas n o necess rias"/>
    <s v="A-ADIÇÃO "/>
    <s v="Despesas nao dedutiveis no periodo"/>
    <s v="3.3.3.09.002"/>
    <s v="BRINDES"/>
    <m/>
    <m/>
    <d v="2024-03-31T00:00:00"/>
    <n v="4000"/>
    <s v="|M360|"/>
    <s v=""/>
    <x v="115"/>
    <x v="1"/>
    <x v="2"/>
    <x v="109"/>
  </r>
  <r>
    <x v="1"/>
    <s v="2-CONTA CONTABIL"/>
    <s v="8-Despesas n o necess rias"/>
    <s v="A-ADIÇÃO "/>
    <s v="Despesas nao dedutiveis no periodo"/>
    <s v="3.3.3.09.001"/>
    <s v="DESPESAS NÃO DEDUTIVEIS"/>
    <m/>
    <m/>
    <d v="2024-03-31T00:00:00"/>
    <n v="5872.9"/>
    <s v="|M360|"/>
    <s v=""/>
    <x v="135"/>
    <x v="1"/>
    <x v="2"/>
    <x v="126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3-31T00:00:00"/>
    <n v="494093.83"/>
    <s v="|M355|"/>
    <s v="|M360|"/>
    <x v="127"/>
    <x v="67"/>
    <x v="2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3-31T00:00:00"/>
    <n v="11000"/>
    <s v="|M355|"/>
    <s v="|M360|"/>
    <x v="128"/>
    <x v="68"/>
    <x v="2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3-31T00:00:00"/>
    <n v="171944.65"/>
    <s v="|M355|"/>
    <s v="|M360|"/>
    <x v="129"/>
    <x v="69"/>
    <x v="2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3-31T00:00:00"/>
    <n v="0"/>
    <s v="|M355|"/>
    <s v="|M360|"/>
    <x v="120"/>
    <x v="64"/>
    <x v="2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3-31T00:00:00"/>
    <n v="122550"/>
    <s v="|M355|"/>
    <s v="|M360|"/>
    <x v="136"/>
    <x v="73"/>
    <x v="2"/>
    <x v="127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4-30T00:00:00"/>
    <n v="137000"/>
    <s v="|M355|"/>
    <s v="|M360|"/>
    <x v="137"/>
    <x v="74"/>
    <x v="3"/>
    <x v="128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4-30T00:00:00"/>
    <n v="47676"/>
    <s v="|M355|"/>
    <s v="|M360|"/>
    <x v="138"/>
    <x v="75"/>
    <x v="3"/>
    <x v="129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4-30T00:00:00"/>
    <n v="0"/>
    <s v="|M355|"/>
    <s v="|M360|"/>
    <x v="109"/>
    <x v="57"/>
    <x v="3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4-30T00:00:00"/>
    <n v="0"/>
    <s v="|M355|"/>
    <s v="|M360|"/>
    <x v="107"/>
    <x v="58"/>
    <x v="3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4-30T00:00:00"/>
    <n v="239460.84"/>
    <s v="|M355|"/>
    <s v="|M360|"/>
    <x v="139"/>
    <x v="76"/>
    <x v="3"/>
    <x v="130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4-30T00:00:00"/>
    <n v="0"/>
    <s v="|M355|"/>
    <s v="|M360|"/>
    <x v="111"/>
    <x v="60"/>
    <x v="3"/>
    <x v="104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4-30T00:00:00"/>
    <n v="1234.3599999999999"/>
    <s v="|M360|"/>
    <s v=""/>
    <x v="140"/>
    <x v="1"/>
    <x v="3"/>
    <x v="131"/>
  </r>
  <r>
    <x v="1"/>
    <s v="2-CONTA CONTABIL"/>
    <s v="8.75-Remunera  o de s cios"/>
    <s v="A-ADIÇÃO "/>
    <s v="Remuneracoes a socios"/>
    <s v="3.3.1.03.011"/>
    <s v="PREVIDENCIA PRIVADA DIRETORIA"/>
    <m/>
    <m/>
    <d v="2024-04-30T00:00:00"/>
    <n v="7380.1600000000008"/>
    <s v="|M360|"/>
    <s v=""/>
    <x v="141"/>
    <x v="1"/>
    <x v="3"/>
    <x v="132"/>
  </r>
  <r>
    <x v="1"/>
    <s v="2-CONTA CONTABIL"/>
    <s v="8.75-Remunera  o de s cios"/>
    <s v="A-ADIÇÃO "/>
    <s v="Remuneracoes a socios"/>
    <s v="3.3.1.03.008"/>
    <s v="SEGURO DE VIDA EM GRUPO"/>
    <m/>
    <m/>
    <d v="2024-04-30T00:00:00"/>
    <n v="988.88"/>
    <s v="|M360|"/>
    <s v=""/>
    <x v="142"/>
    <x v="1"/>
    <x v="3"/>
    <x v="133"/>
  </r>
  <r>
    <x v="1"/>
    <s v="2-CONTA CONTABIL"/>
    <s v="8-Despesas n o necess rias"/>
    <s v="A-ADIÇÃO "/>
    <s v="Despesas nao dedutiveis no periodo"/>
    <s v="3.3.3.09.002"/>
    <s v="BRINDES"/>
    <m/>
    <m/>
    <d v="2024-04-30T00:00:00"/>
    <n v="4000"/>
    <s v="|M360|"/>
    <s v=""/>
    <x v="115"/>
    <x v="1"/>
    <x v="3"/>
    <x v="109"/>
  </r>
  <r>
    <x v="1"/>
    <s v="2-CONTA CONTABIL"/>
    <s v="8-Despesas n o necess rias"/>
    <s v="A-ADIÇÃO "/>
    <s v="Despesas nao dedutiveis no periodo"/>
    <s v="3.3.3.09.001"/>
    <s v="DESPESAS NÃO DEDUTIVEIS"/>
    <m/>
    <m/>
    <d v="2024-04-30T00:00:00"/>
    <n v="6965.7"/>
    <s v="|M360|"/>
    <s v=""/>
    <x v="143"/>
    <x v="1"/>
    <x v="3"/>
    <x v="134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4-30T00:00:00"/>
    <n v="494093.83"/>
    <s v="|M355|"/>
    <s v="|M360|"/>
    <x v="127"/>
    <x v="67"/>
    <x v="3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4-30T00:00:00"/>
    <n v="11000"/>
    <s v="|M355|"/>
    <s v="|M360|"/>
    <x v="128"/>
    <x v="68"/>
    <x v="3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4-30T00:00:00"/>
    <n v="171944.65"/>
    <s v="|M355|"/>
    <s v="|M360|"/>
    <x v="129"/>
    <x v="69"/>
    <x v="3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4-30T00:00:00"/>
    <n v="0"/>
    <s v="|M355|"/>
    <s v="|M360|"/>
    <x v="120"/>
    <x v="64"/>
    <x v="3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4-30T00:00:00"/>
    <n v="167940"/>
    <s v="|M355|"/>
    <s v="|M360|"/>
    <x v="144"/>
    <x v="77"/>
    <x v="3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5-31T00:00:00"/>
    <n v="205500"/>
    <s v="|M355|"/>
    <s v="|M360|"/>
    <x v="145"/>
    <x v="78"/>
    <x v="4"/>
    <x v="136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5-31T00:00:00"/>
    <n v="71514"/>
    <s v="|M355|"/>
    <s v="|M360|"/>
    <x v="146"/>
    <x v="79"/>
    <x v="4"/>
    <x v="137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5-31T00:00:00"/>
    <n v="0"/>
    <s v="|M355|"/>
    <s v="|M360|"/>
    <x v="109"/>
    <x v="57"/>
    <x v="4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5-31T00:00:00"/>
    <n v="0"/>
    <s v="|M355|"/>
    <s v="|M360|"/>
    <x v="107"/>
    <x v="58"/>
    <x v="4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5-31T00:00:00"/>
    <n v="299326.05"/>
    <s v="|M355|"/>
    <s v="|M360|"/>
    <x v="147"/>
    <x v="80"/>
    <x v="4"/>
    <x v="138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5-31T00:00:00"/>
    <n v="0"/>
    <s v="|M355|"/>
    <s v="|M360|"/>
    <x v="111"/>
    <x v="60"/>
    <x v="4"/>
    <x v="104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5-31T00:00:00"/>
    <n v="1533.7199999999998"/>
    <s v="|M360|"/>
    <s v=""/>
    <x v="148"/>
    <x v="1"/>
    <x v="4"/>
    <x v="139"/>
  </r>
  <r>
    <x v="1"/>
    <s v="2-CONTA CONTABIL"/>
    <s v="8.75-Remunera  o de s cios"/>
    <s v="A-ADIÇÃO "/>
    <s v="Remuneracoes a socios"/>
    <s v="3.3.1.03.011"/>
    <s v="PREVIDENCIA PRIVADA DIRETORIA"/>
    <m/>
    <m/>
    <d v="2024-05-31T00:00:00"/>
    <n v="9380.16"/>
    <s v="|M360|"/>
    <s v=""/>
    <x v="149"/>
    <x v="1"/>
    <x v="4"/>
    <x v="140"/>
  </r>
  <r>
    <x v="1"/>
    <s v="2-CONTA CONTABIL"/>
    <s v="8.75-Remunera  o de s cios"/>
    <s v="A-ADIÇÃO "/>
    <s v="Remuneracoes a socios"/>
    <s v="3.3.1.03.008"/>
    <s v="SEGURO DE VIDA EM GRUPO"/>
    <m/>
    <m/>
    <d v="2024-05-31T00:00:00"/>
    <n v="1236.0999999999999"/>
    <s v="|M360|"/>
    <s v=""/>
    <x v="150"/>
    <x v="1"/>
    <x v="4"/>
    <x v="141"/>
  </r>
  <r>
    <x v="1"/>
    <s v="2-CONTA CONTABIL"/>
    <s v="8-Despesas n o necess rias"/>
    <s v="A-ADIÇÃO "/>
    <s v="Despesas nao dedutiveis no periodo"/>
    <s v="3.3.3.09.002"/>
    <s v="BRINDES"/>
    <m/>
    <m/>
    <d v="2024-05-31T00:00:00"/>
    <n v="4000"/>
    <s v="|M360|"/>
    <s v=""/>
    <x v="115"/>
    <x v="1"/>
    <x v="4"/>
    <x v="109"/>
  </r>
  <r>
    <x v="1"/>
    <s v="2-CONTA CONTABIL"/>
    <s v="8-Despesas n o necess rias"/>
    <s v="A-ADIÇÃO "/>
    <s v="Despesas nao dedutiveis no periodo"/>
    <s v="3.3.3.09.001"/>
    <s v="DESPESAS NÃO DEDUTIVEIS"/>
    <m/>
    <m/>
    <d v="2024-05-31T00:00:00"/>
    <n v="7540.3499999999995"/>
    <s v="|M360|"/>
    <s v=""/>
    <x v="151"/>
    <x v="1"/>
    <x v="4"/>
    <x v="14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5-31T00:00:00"/>
    <n v="494093.83"/>
    <s v="|M355|"/>
    <s v="|M360|"/>
    <x v="127"/>
    <x v="67"/>
    <x v="4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5-31T00:00:00"/>
    <n v="11000"/>
    <s v="|M355|"/>
    <s v="|M360|"/>
    <x v="128"/>
    <x v="68"/>
    <x v="4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5-31T00:00:00"/>
    <n v="171944.65"/>
    <s v="|M355|"/>
    <s v="|M360|"/>
    <x v="129"/>
    <x v="69"/>
    <x v="4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5-31T00:00:00"/>
    <n v="0"/>
    <s v="|M355|"/>
    <s v="|M360|"/>
    <x v="120"/>
    <x v="64"/>
    <x v="4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5-31T00:00:00"/>
    <n v="167940"/>
    <s v="|M355|"/>
    <s v="|M360|"/>
    <x v="144"/>
    <x v="77"/>
    <x v="4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6-30T00:00:00"/>
    <n v="274000"/>
    <s v="|M355|"/>
    <s v="|M360|"/>
    <x v="152"/>
    <x v="81"/>
    <x v="5"/>
    <x v="143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6-30T00:00:00"/>
    <n v="95352"/>
    <s v="|M355|"/>
    <s v="|M360|"/>
    <x v="153"/>
    <x v="82"/>
    <x v="5"/>
    <x v="144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6-30T00:00:00"/>
    <n v="0"/>
    <s v="|M355|"/>
    <s v="|M360|"/>
    <x v="109"/>
    <x v="57"/>
    <x v="5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6-30T00:00:00"/>
    <n v="0"/>
    <s v="|M355|"/>
    <s v="|M360|"/>
    <x v="107"/>
    <x v="58"/>
    <x v="5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6-30T00:00:00"/>
    <n v="359191.26"/>
    <s v="|M355|"/>
    <s v="|M360|"/>
    <x v="154"/>
    <x v="83"/>
    <x v="5"/>
    <x v="145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6-30T00:00:00"/>
    <n v="24920"/>
    <s v="|M355|"/>
    <s v="|M360|"/>
    <x v="155"/>
    <x v="84"/>
    <x v="5"/>
    <x v="146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6-30T00:00:00"/>
    <n v="1637.85"/>
    <s v="|M360|"/>
    <s v=""/>
    <x v="156"/>
    <x v="1"/>
    <x v="5"/>
    <x v="147"/>
  </r>
  <r>
    <x v="1"/>
    <s v="2-CONTA CONTABIL"/>
    <s v="8.75-Remunera  o de s cios"/>
    <s v="A-ADIÇÃO "/>
    <s v="Remuneracoes a socios"/>
    <s v="3.3.1.03.011"/>
    <s v="PREVIDENCIA PRIVADA DIRETORIA"/>
    <m/>
    <m/>
    <d v="2024-06-30T00:00:00"/>
    <n v="11380.16"/>
    <s v="|M360|"/>
    <s v=""/>
    <x v="157"/>
    <x v="1"/>
    <x v="5"/>
    <x v="148"/>
  </r>
  <r>
    <x v="1"/>
    <s v="2-CONTA CONTABIL"/>
    <s v="8.75-Remunera  o de s cios"/>
    <s v="A-ADIÇÃO "/>
    <s v="Remuneracoes a socios"/>
    <s v="3.3.1.03.008"/>
    <s v="SEGURO DE VIDA EM GRUPO"/>
    <m/>
    <m/>
    <d v="2024-06-30T00:00:00"/>
    <n v="1483.32"/>
    <s v="|M360|"/>
    <s v=""/>
    <x v="158"/>
    <x v="1"/>
    <x v="5"/>
    <x v="149"/>
  </r>
  <r>
    <x v="1"/>
    <s v="2-CONTA CONTABIL"/>
    <s v="8-Despesas n o necess rias"/>
    <s v="A-ADIÇÃO "/>
    <s v="Despesas nao dedutiveis no periodo"/>
    <s v="3.3.3.09.002"/>
    <s v="BRINDES"/>
    <m/>
    <m/>
    <d v="2024-06-30T00:00:00"/>
    <n v="40847.75"/>
    <s v="|M360|"/>
    <s v=""/>
    <x v="159"/>
    <x v="1"/>
    <x v="5"/>
    <x v="150"/>
  </r>
  <r>
    <x v="1"/>
    <s v="2-CONTA CONTABIL"/>
    <s v="8-Despesas n o necess rias"/>
    <s v="A-ADIÇÃO "/>
    <s v="Despesas nao dedutiveis no periodo"/>
    <s v="3.3.3.09.001"/>
    <s v="DESPESAS NÃO DEDUTIVEIS"/>
    <m/>
    <m/>
    <d v="2024-06-30T00:00:00"/>
    <n v="8748.7199999999993"/>
    <s v="|M360|"/>
    <s v=""/>
    <x v="160"/>
    <x v="1"/>
    <x v="5"/>
    <x v="151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6-30T00:00:00"/>
    <n v="5080.5"/>
    <s v="|M355|"/>
    <s v="|M360|"/>
    <x v="161"/>
    <x v="85"/>
    <x v="5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6-30T00:00:00"/>
    <n v="494093.83"/>
    <s v="|M355|"/>
    <s v="|M360|"/>
    <x v="127"/>
    <x v="67"/>
    <x v="5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6-30T00:00:00"/>
    <n v="11000"/>
    <s v="|M355|"/>
    <s v="|M360|"/>
    <x v="128"/>
    <x v="68"/>
    <x v="5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6-30T00:00:00"/>
    <n v="171944.65"/>
    <s v="|M355|"/>
    <s v="|M360|"/>
    <x v="129"/>
    <x v="69"/>
    <x v="5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6-30T00:00:00"/>
    <n v="0"/>
    <s v="|M355|"/>
    <s v="|M360|"/>
    <x v="120"/>
    <x v="64"/>
    <x v="5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6-30T00:00:00"/>
    <n v="167940"/>
    <s v="|M355|"/>
    <s v="|M360|"/>
    <x v="144"/>
    <x v="77"/>
    <x v="5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7-31T00:00:00"/>
    <n v="342500"/>
    <s v="|M355|"/>
    <s v="|M360|"/>
    <x v="162"/>
    <x v="86"/>
    <x v="6"/>
    <x v="153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7-31T00:00:00"/>
    <n v="119190"/>
    <s v="|M355|"/>
    <s v="|M360|"/>
    <x v="163"/>
    <x v="87"/>
    <x v="6"/>
    <x v="154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7-31T00:00:00"/>
    <n v="0"/>
    <s v="|M355|"/>
    <s v="|M360|"/>
    <x v="109"/>
    <x v="57"/>
    <x v="6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7-31T00:00:00"/>
    <n v="0"/>
    <s v="|M355|"/>
    <s v="|M360|"/>
    <x v="107"/>
    <x v="58"/>
    <x v="6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7-31T00:00:00"/>
    <n v="419056.47000000003"/>
    <s v="|M355|"/>
    <s v="|M360|"/>
    <x v="164"/>
    <x v="88"/>
    <x v="6"/>
    <x v="155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7-31T00:00:00"/>
    <n v="24920"/>
    <s v="|M355|"/>
    <s v="|M360|"/>
    <x v="155"/>
    <x v="84"/>
    <x v="6"/>
    <x v="146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7-31T00:00:00"/>
    <n v="1741.98"/>
    <s v="|M360|"/>
    <s v=""/>
    <x v="165"/>
    <x v="1"/>
    <x v="6"/>
    <x v="156"/>
  </r>
  <r>
    <x v="1"/>
    <s v="2-CONTA CONTABIL"/>
    <s v="8.75-Remunera  o de s cios"/>
    <s v="A-ADIÇÃO "/>
    <s v="Remuneracoes a socios"/>
    <s v="3.3.1.03.011"/>
    <s v="PREVIDENCIA PRIVADA DIRETORIA"/>
    <m/>
    <m/>
    <d v="2024-07-31T00:00:00"/>
    <n v="13380.16"/>
    <s v="|M360|"/>
    <s v=""/>
    <x v="166"/>
    <x v="1"/>
    <x v="6"/>
    <x v="157"/>
  </r>
  <r>
    <x v="1"/>
    <s v="2-CONTA CONTABIL"/>
    <s v="8.75-Remunera  o de s cios"/>
    <s v="A-ADIÇÃO "/>
    <s v="Remuneracoes a socios"/>
    <s v="3.3.1.03.008"/>
    <s v="SEGURO DE VIDA EM GRUPO"/>
    <m/>
    <m/>
    <d v="2024-07-31T00:00:00"/>
    <n v="1730.54"/>
    <s v="|M360|"/>
    <s v=""/>
    <x v="167"/>
    <x v="1"/>
    <x v="6"/>
    <x v="158"/>
  </r>
  <r>
    <x v="1"/>
    <s v="2-CONTA CONTABIL"/>
    <s v="8-Despesas n o necess rias"/>
    <s v="A-ADIÇÃO "/>
    <s v="Despesas nao dedutiveis no periodo"/>
    <s v="3.3.3.09.002"/>
    <s v="BRINDES"/>
    <m/>
    <m/>
    <d v="2024-07-31T00:00:00"/>
    <n v="42847.75"/>
    <s v="|M360|"/>
    <s v=""/>
    <x v="168"/>
    <x v="1"/>
    <x v="6"/>
    <x v="159"/>
  </r>
  <r>
    <x v="1"/>
    <s v="2-CONTA CONTABIL"/>
    <s v="8-Despesas n o necess rias"/>
    <s v="A-ADIÇÃO "/>
    <s v="Despesas nao dedutiveis no periodo"/>
    <s v="3.3.3.09.001"/>
    <s v="DESPESAS NÃO DEDUTIVEIS"/>
    <m/>
    <m/>
    <d v="2024-07-31T00:00:00"/>
    <n v="10263.14"/>
    <s v="|M360|"/>
    <s v=""/>
    <x v="169"/>
    <x v="1"/>
    <x v="6"/>
    <x v="160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7-31T00:00:00"/>
    <n v="5080.5"/>
    <s v="|M355|"/>
    <s v="|M360|"/>
    <x v="161"/>
    <x v="85"/>
    <x v="6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7-31T00:00:00"/>
    <n v="494093.83"/>
    <s v="|M355|"/>
    <s v="|M360|"/>
    <x v="127"/>
    <x v="67"/>
    <x v="6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7-31T00:00:00"/>
    <n v="11000"/>
    <s v="|M355|"/>
    <s v="|M360|"/>
    <x v="128"/>
    <x v="68"/>
    <x v="6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7-31T00:00:00"/>
    <n v="171944.65"/>
    <s v="|M355|"/>
    <s v="|M360|"/>
    <x v="129"/>
    <x v="69"/>
    <x v="6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7-31T00:00:00"/>
    <n v="0"/>
    <s v="|M355|"/>
    <s v="|M360|"/>
    <x v="120"/>
    <x v="64"/>
    <x v="6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7-31T00:00:00"/>
    <n v="167940"/>
    <s v="|M355|"/>
    <s v="|M360|"/>
    <x v="144"/>
    <x v="77"/>
    <x v="6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8-31T00:00:00"/>
    <n v="411000"/>
    <s v="|M355|"/>
    <s v="|M360|"/>
    <x v="170"/>
    <x v="89"/>
    <x v="7"/>
    <x v="161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8-31T00:00:00"/>
    <n v="143028"/>
    <s v="|M355|"/>
    <s v="|M360|"/>
    <x v="171"/>
    <x v="90"/>
    <x v="7"/>
    <x v="162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8-31T00:00:00"/>
    <n v="0"/>
    <s v="|M355|"/>
    <s v="|M360|"/>
    <x v="109"/>
    <x v="57"/>
    <x v="7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8-31T00:00:00"/>
    <n v="0"/>
    <s v="|M355|"/>
    <s v="|M360|"/>
    <x v="107"/>
    <x v="58"/>
    <x v="7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8-31T00:00:00"/>
    <n v="478921.68000000005"/>
    <s v="|M355|"/>
    <s v="|M360|"/>
    <x v="172"/>
    <x v="91"/>
    <x v="7"/>
    <x v="163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8-31T00:00:00"/>
    <n v="24920"/>
    <s v="|M355|"/>
    <s v="|M360|"/>
    <x v="155"/>
    <x v="84"/>
    <x v="7"/>
    <x v="146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8-31T00:00:00"/>
    <n v="1950.24"/>
    <s v="|M360|"/>
    <s v=""/>
    <x v="173"/>
    <x v="1"/>
    <x v="7"/>
    <x v="164"/>
  </r>
  <r>
    <x v="1"/>
    <s v="2-CONTA CONTABIL"/>
    <s v="8.75-Remunera  o de s cios"/>
    <s v="A-ADIÇÃO "/>
    <s v="Remuneracoes a socios"/>
    <s v="3.3.1.03.011"/>
    <s v="PREVIDENCIA PRIVADA DIRETORIA"/>
    <m/>
    <m/>
    <d v="2024-08-31T00:00:00"/>
    <n v="15380.16"/>
    <s v="|M360|"/>
    <s v=""/>
    <x v="174"/>
    <x v="1"/>
    <x v="7"/>
    <x v="165"/>
  </r>
  <r>
    <x v="1"/>
    <s v="2-CONTA CONTABIL"/>
    <s v="8.75-Remunera  o de s cios"/>
    <s v="A-ADIÇÃO "/>
    <s v="Remuneracoes a socios"/>
    <s v="3.3.1.03.008"/>
    <s v="SEGURO DE VIDA EM GRUPO"/>
    <m/>
    <m/>
    <d v="2024-08-31T00:00:00"/>
    <n v="1977.76"/>
    <s v="|M360|"/>
    <s v=""/>
    <x v="175"/>
    <x v="1"/>
    <x v="7"/>
    <x v="166"/>
  </r>
  <r>
    <x v="1"/>
    <s v="2-CONTA CONTABIL"/>
    <s v="8-Despesas n o necess rias"/>
    <s v="A-ADIÇÃO "/>
    <s v="Despesas nao dedutiveis no periodo"/>
    <s v="3.3.3.09.002"/>
    <s v="BRINDES"/>
    <m/>
    <m/>
    <d v="2024-08-31T00:00:00"/>
    <n v="42887.55"/>
    <s v="|M360|"/>
    <s v=""/>
    <x v="176"/>
    <x v="1"/>
    <x v="7"/>
    <x v="167"/>
  </r>
  <r>
    <x v="1"/>
    <s v="2-CONTA CONTABIL"/>
    <s v="8-Despesas n o necess rias"/>
    <s v="A-ADIÇÃO "/>
    <s v="Despesas nao dedutiveis no periodo"/>
    <s v="3.3.3.09.001"/>
    <s v="DESPESAS NÃO DEDUTIVEIS"/>
    <m/>
    <m/>
    <d v="2024-08-31T00:00:00"/>
    <n v="12346.81"/>
    <s v="|M360|"/>
    <s v=""/>
    <x v="177"/>
    <x v="1"/>
    <x v="7"/>
    <x v="168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8-31T00:00:00"/>
    <n v="5080.5"/>
    <s v="|M355|"/>
    <s v="|M360|"/>
    <x v="161"/>
    <x v="85"/>
    <x v="7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8-31T00:00:00"/>
    <n v="494093.83"/>
    <s v="|M355|"/>
    <s v="|M360|"/>
    <x v="127"/>
    <x v="67"/>
    <x v="7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8-31T00:00:00"/>
    <n v="11000"/>
    <s v="|M355|"/>
    <s v="|M360|"/>
    <x v="128"/>
    <x v="68"/>
    <x v="7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8-31T00:00:00"/>
    <n v="171944.65"/>
    <s v="|M355|"/>
    <s v="|M360|"/>
    <x v="129"/>
    <x v="69"/>
    <x v="7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8-31T00:00:00"/>
    <n v="0"/>
    <s v="|M355|"/>
    <s v="|M360|"/>
    <x v="120"/>
    <x v="64"/>
    <x v="7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8-31T00:00:00"/>
    <n v="167940"/>
    <s v="|M355|"/>
    <s v="|M360|"/>
    <x v="144"/>
    <x v="77"/>
    <x v="7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09-30T00:00:00"/>
    <n v="479500"/>
    <s v="|M355|"/>
    <s v="|M360|"/>
    <x v="178"/>
    <x v="92"/>
    <x v="8"/>
    <x v="169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09-30T00:00:00"/>
    <n v="166866"/>
    <s v="|M355|"/>
    <s v="|M360|"/>
    <x v="179"/>
    <x v="93"/>
    <x v="8"/>
    <x v="170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09-30T00:00:00"/>
    <n v="0"/>
    <s v="|M355|"/>
    <s v="|M360|"/>
    <x v="109"/>
    <x v="57"/>
    <x v="8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09-30T00:00:00"/>
    <n v="0"/>
    <s v="|M355|"/>
    <s v="|M360|"/>
    <x v="107"/>
    <x v="58"/>
    <x v="8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09-30T00:00:00"/>
    <n v="538786.89"/>
    <s v="|M355|"/>
    <s v="|M360|"/>
    <x v="180"/>
    <x v="94"/>
    <x v="8"/>
    <x v="171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09-30T00:00:00"/>
    <n v="74920"/>
    <s v="|M355|"/>
    <s v="|M360|"/>
    <x v="181"/>
    <x v="95"/>
    <x v="8"/>
    <x v="172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09-30T00:00:00"/>
    <n v="1394.23"/>
    <s v="|M360|"/>
    <s v=""/>
    <x v="182"/>
    <x v="1"/>
    <x v="8"/>
    <x v="173"/>
  </r>
  <r>
    <x v="1"/>
    <s v="2-CONTA CONTABIL"/>
    <s v="8.75-Remunera  o de s cios"/>
    <s v="A-ADIÇÃO "/>
    <s v="Remuneracoes a socios"/>
    <s v="3.3.1.03.011"/>
    <s v="PREVIDENCIA PRIVADA DIRETORIA"/>
    <m/>
    <m/>
    <d v="2024-09-30T00:00:00"/>
    <n v="17380.16"/>
    <s v="|M360|"/>
    <s v=""/>
    <x v="183"/>
    <x v="1"/>
    <x v="8"/>
    <x v="174"/>
  </r>
  <r>
    <x v="1"/>
    <s v="2-CONTA CONTABIL"/>
    <s v="8.75-Remunera  o de s cios"/>
    <s v="A-ADIÇÃO "/>
    <s v="Remuneracoes a socios"/>
    <s v="3.3.1.03.008"/>
    <s v="SEGURO DE VIDA EM GRUPO"/>
    <m/>
    <m/>
    <d v="2024-09-30T00:00:00"/>
    <n v="2224.98"/>
    <s v="|M360|"/>
    <s v=""/>
    <x v="184"/>
    <x v="1"/>
    <x v="8"/>
    <x v="175"/>
  </r>
  <r>
    <x v="1"/>
    <s v="2-CONTA CONTABIL"/>
    <s v="8-Despesas n o necess rias"/>
    <s v="A-ADIÇÃO "/>
    <s v="Despesas nao dedutiveis no periodo"/>
    <s v="3.3.3.09.002"/>
    <s v="BRINDES"/>
    <m/>
    <m/>
    <d v="2024-09-30T00:00:00"/>
    <n v="43225.32"/>
    <s v="|M360|"/>
    <s v=""/>
    <x v="185"/>
    <x v="1"/>
    <x v="8"/>
    <x v="176"/>
  </r>
  <r>
    <x v="1"/>
    <s v="2-CONTA CONTABIL"/>
    <s v="8-Despesas n o necess rias"/>
    <s v="A-ADIÇÃO "/>
    <s v="Despesas nao dedutiveis no periodo"/>
    <s v="3.3.3.09.001"/>
    <s v="DESPESAS NÃO DEDUTIVEIS"/>
    <m/>
    <m/>
    <d v="2024-09-30T00:00:00"/>
    <n v="15437.369999999999"/>
    <s v="|M360|"/>
    <s v=""/>
    <x v="186"/>
    <x v="1"/>
    <x v="8"/>
    <x v="177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09-30T00:00:00"/>
    <n v="5080.5"/>
    <s v="|M355|"/>
    <s v="|M360|"/>
    <x v="161"/>
    <x v="85"/>
    <x v="8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09-30T00:00:00"/>
    <n v="494093.83"/>
    <s v="|M355|"/>
    <s v="|M360|"/>
    <x v="127"/>
    <x v="67"/>
    <x v="8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09-30T00:00:00"/>
    <n v="11000"/>
    <s v="|M355|"/>
    <s v="|M360|"/>
    <x v="128"/>
    <x v="68"/>
    <x v="8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09-30T00:00:00"/>
    <n v="171944.65"/>
    <s v="|M355|"/>
    <s v="|M360|"/>
    <x v="129"/>
    <x v="69"/>
    <x v="8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09-30T00:00:00"/>
    <n v="0"/>
    <s v="|M355|"/>
    <s v="|M360|"/>
    <x v="120"/>
    <x v="64"/>
    <x v="8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09-30T00:00:00"/>
    <n v="167940"/>
    <s v="|M355|"/>
    <s v="|M360|"/>
    <x v="144"/>
    <x v="77"/>
    <x v="8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0-31T00:00:00"/>
    <n v="548000"/>
    <s v="|M355|"/>
    <s v="|M360|"/>
    <x v="187"/>
    <x v="96"/>
    <x v="9"/>
    <x v="178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0-31T00:00:00"/>
    <n v="190704"/>
    <s v="|M355|"/>
    <s v="|M360|"/>
    <x v="188"/>
    <x v="97"/>
    <x v="9"/>
    <x v="179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0-31T00:00:00"/>
    <n v="0"/>
    <s v="|M355|"/>
    <s v="|M360|"/>
    <x v="109"/>
    <x v="57"/>
    <x v="9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0-31T00:00:00"/>
    <n v="0"/>
    <s v="|M355|"/>
    <s v="|M360|"/>
    <x v="107"/>
    <x v="58"/>
    <x v="9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0-31T00:00:00"/>
    <n v="598652.1"/>
    <s v="|M355|"/>
    <s v="|M360|"/>
    <x v="189"/>
    <x v="98"/>
    <x v="9"/>
    <x v="180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0-31T00:00:00"/>
    <n v="74920"/>
    <s v="|M355|"/>
    <s v="|M360|"/>
    <x v="181"/>
    <x v="95"/>
    <x v="9"/>
    <x v="172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0-31T00:00:00"/>
    <n v="1602.47"/>
    <s v="|M360|"/>
    <s v=""/>
    <x v="190"/>
    <x v="1"/>
    <x v="9"/>
    <x v="181"/>
  </r>
  <r>
    <x v="1"/>
    <s v="2-CONTA CONTABIL"/>
    <s v="8.75-Remunera  o de s cios"/>
    <s v="A-ADIÇÃO "/>
    <s v="Remuneracoes a socios"/>
    <s v="3.3.1.03.011"/>
    <s v="PREVIDENCIA PRIVADA DIRETORIA"/>
    <m/>
    <m/>
    <d v="2024-10-31T00:00:00"/>
    <n v="19943.759999999998"/>
    <s v="|M360|"/>
    <s v=""/>
    <x v="191"/>
    <x v="1"/>
    <x v="9"/>
    <x v="182"/>
  </r>
  <r>
    <x v="1"/>
    <s v="2-CONTA CONTABIL"/>
    <s v="8.75-Remunera  o de s cios"/>
    <s v="A-ADIÇÃO "/>
    <s v="Remuneracoes a socios"/>
    <s v="3.3.1.03.008"/>
    <s v="SEGURO DE VIDA EM GRUPO"/>
    <m/>
    <m/>
    <d v="2024-10-31T00:00:00"/>
    <n v="2472.1999999999998"/>
    <s v="|M360|"/>
    <s v=""/>
    <x v="192"/>
    <x v="1"/>
    <x v="9"/>
    <x v="183"/>
  </r>
  <r>
    <x v="1"/>
    <s v="2-CONTA CONTABIL"/>
    <s v="8-Despesas n o necess rias"/>
    <s v="A-ADIÇÃO "/>
    <s v="Despesas nao dedutiveis no periodo"/>
    <s v="3.3.3.09.002"/>
    <s v="BRINDES"/>
    <m/>
    <m/>
    <d v="2024-10-31T00:00:00"/>
    <n v="43470.25"/>
    <s v="|M360|"/>
    <s v=""/>
    <x v="193"/>
    <x v="1"/>
    <x v="9"/>
    <x v="184"/>
  </r>
  <r>
    <x v="1"/>
    <s v="2-CONTA CONTABIL"/>
    <s v="8-Despesas n o necess rias"/>
    <s v="A-ADIÇÃO "/>
    <s v="Despesas nao dedutiveis no periodo"/>
    <s v="3.3.3.09.001"/>
    <s v="DESPESAS NÃO DEDUTIVEIS"/>
    <m/>
    <m/>
    <d v="2024-10-31T00:00:00"/>
    <n v="16545.82"/>
    <s v="|M360|"/>
    <s v=""/>
    <x v="194"/>
    <x v="1"/>
    <x v="9"/>
    <x v="185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0-31T00:00:00"/>
    <n v="5080.5"/>
    <s v="|M355|"/>
    <s v="|M360|"/>
    <x v="161"/>
    <x v="85"/>
    <x v="9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0-31T00:00:00"/>
    <n v="494093.83"/>
    <s v="|M355|"/>
    <s v="|M360|"/>
    <x v="127"/>
    <x v="67"/>
    <x v="9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0-31T00:00:00"/>
    <n v="11000"/>
    <s v="|M355|"/>
    <s v="|M360|"/>
    <x v="128"/>
    <x v="68"/>
    <x v="9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0-31T00:00:00"/>
    <n v="171944.65"/>
    <s v="|M355|"/>
    <s v="|M360|"/>
    <x v="129"/>
    <x v="69"/>
    <x v="9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10-31T00:00:00"/>
    <n v="0"/>
    <s v="|M355|"/>
    <s v="|M360|"/>
    <x v="120"/>
    <x v="64"/>
    <x v="9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0-31T00:00:00"/>
    <n v="167940"/>
    <s v="|M355|"/>
    <s v="|M360|"/>
    <x v="144"/>
    <x v="77"/>
    <x v="9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1-30T00:00:00"/>
    <n v="616500"/>
    <s v="|M355|"/>
    <s v="|M360|"/>
    <x v="195"/>
    <x v="99"/>
    <x v="10"/>
    <x v="186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1-30T00:00:00"/>
    <n v="214542"/>
    <s v="|M355|"/>
    <s v="|M360|"/>
    <x v="196"/>
    <x v="100"/>
    <x v="10"/>
    <x v="187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1-30T00:00:00"/>
    <n v="0"/>
    <s v="|M355|"/>
    <s v="|M360|"/>
    <x v="109"/>
    <x v="57"/>
    <x v="10"/>
    <x v="104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1-30T00:00:00"/>
    <n v="0"/>
    <s v="|M355|"/>
    <s v="|M360|"/>
    <x v="107"/>
    <x v="58"/>
    <x v="10"/>
    <x v="104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1-30T00:00:00"/>
    <n v="658517.30999999994"/>
    <s v="|M355|"/>
    <s v="|M360|"/>
    <x v="197"/>
    <x v="101"/>
    <x v="10"/>
    <x v="188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1-30T00:00:00"/>
    <n v="74920"/>
    <s v="|M355|"/>
    <s v="|M360|"/>
    <x v="181"/>
    <x v="95"/>
    <x v="10"/>
    <x v="172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1-30T00:00:00"/>
    <n v="2227.21"/>
    <s v="|M360|"/>
    <s v=""/>
    <x v="198"/>
    <x v="1"/>
    <x v="10"/>
    <x v="189"/>
  </r>
  <r>
    <x v="1"/>
    <s v="2-CONTA CONTABIL"/>
    <s v="8.75-Remunera  o de s cios"/>
    <s v="A-ADIÇÃO "/>
    <s v="Remuneracoes a socios"/>
    <s v="3.3.1.03.011"/>
    <s v="PREVIDENCIA PRIVADA DIRETORIA"/>
    <m/>
    <m/>
    <d v="2024-11-30T00:00:00"/>
    <n v="22225.559999999998"/>
    <s v="|M360|"/>
    <s v=""/>
    <x v="199"/>
    <x v="1"/>
    <x v="10"/>
    <x v="190"/>
  </r>
  <r>
    <x v="1"/>
    <s v="2-CONTA CONTABIL"/>
    <s v="8.75-Remunera  o de s cios"/>
    <s v="A-ADIÇÃO "/>
    <s v="Remuneracoes a socios"/>
    <s v="3.3.1.03.008"/>
    <s v="SEGURO DE VIDA EM GRUPO"/>
    <m/>
    <m/>
    <d v="2024-11-30T00:00:00"/>
    <n v="2472.1999999999998"/>
    <s v="|M360|"/>
    <s v=""/>
    <x v="192"/>
    <x v="1"/>
    <x v="10"/>
    <x v="183"/>
  </r>
  <r>
    <x v="1"/>
    <s v="2-CONTA CONTABIL"/>
    <s v="8-Despesas n o necess rias"/>
    <s v="A-ADIÇÃO "/>
    <s v="Despesas nao dedutiveis no periodo"/>
    <s v="3.3.3.09.002"/>
    <s v="BRINDES"/>
    <m/>
    <m/>
    <d v="2024-11-30T00:00:00"/>
    <n v="44130.29"/>
    <s v="|M360|"/>
    <s v=""/>
    <x v="200"/>
    <x v="1"/>
    <x v="10"/>
    <x v="191"/>
  </r>
  <r>
    <x v="1"/>
    <s v="2-CONTA CONTABIL"/>
    <s v="8-Despesas n o necess rias"/>
    <s v="A-ADIÇÃO "/>
    <s v="Despesas nao dedutiveis no periodo"/>
    <s v="3.3.3.09.001"/>
    <s v="DESPESAS NÃO DEDUTIVEIS"/>
    <m/>
    <m/>
    <d v="2024-11-30T00:00:00"/>
    <n v="16861.66"/>
    <s v="|M360|"/>
    <s v=""/>
    <x v="201"/>
    <x v="1"/>
    <x v="10"/>
    <x v="192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1-30T00:00:00"/>
    <n v="5080.5"/>
    <s v="|M355|"/>
    <s v="|M360|"/>
    <x v="161"/>
    <x v="85"/>
    <x v="10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1-30T00:00:00"/>
    <n v="494093.83"/>
    <s v="|M355|"/>
    <s v="|M360|"/>
    <x v="127"/>
    <x v="67"/>
    <x v="10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1-30T00:00:00"/>
    <n v="11000"/>
    <s v="|M355|"/>
    <s v="|M360|"/>
    <x v="128"/>
    <x v="68"/>
    <x v="10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1-30T00:00:00"/>
    <n v="171944.65"/>
    <s v="|M355|"/>
    <s v="|M360|"/>
    <x v="129"/>
    <x v="69"/>
    <x v="10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11-30T00:00:00"/>
    <n v="0"/>
    <s v="|M355|"/>
    <s v="|M360|"/>
    <x v="120"/>
    <x v="64"/>
    <x v="10"/>
    <x v="111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1-30T00:00:00"/>
    <n v="167940"/>
    <s v="|M355|"/>
    <s v="|M360|"/>
    <x v="144"/>
    <x v="77"/>
    <x v="10"/>
    <x v="135"/>
  </r>
  <r>
    <x v="1"/>
    <s v="3-PARTE B E CONTA CONTABIL"/>
    <s v="6-Provis es ou perdas estimadas n o dedut veis"/>
    <s v="A-ADIÇÃO "/>
    <s v="Provisoes no período"/>
    <s v="3.3.3.09.005"/>
    <s v="PROVISAO DE BONUS"/>
    <n v="9"/>
    <s v="PROVISÃO DE BONUS"/>
    <d v="2024-12-31T00:00:00"/>
    <n v="689384.57000000007"/>
    <s v="|M355|"/>
    <s v="|M360|"/>
    <x v="202"/>
    <x v="102"/>
    <x v="11"/>
    <x v="193"/>
  </r>
  <r>
    <x v="1"/>
    <s v="3-PARTE B E CONTA CONTABIL"/>
    <s v="6-Provis es ou perdas estimadas n o dedut veis"/>
    <s v="A-ADIÇÃO "/>
    <s v="Provisoes no período"/>
    <s v="3.3.3.09.019"/>
    <s v="PROVISAO INSS E IRRF S/PROVISAO DE BONUS"/>
    <n v="10"/>
    <s v="PROVISAO INSS E IRRF S/PROVISAO DE BONUS"/>
    <d v="2024-12-31T00:00:00"/>
    <n v="239905.83000000002"/>
    <s v="|M355|"/>
    <s v="|M360|"/>
    <x v="203"/>
    <x v="103"/>
    <x v="11"/>
    <x v="194"/>
  </r>
  <r>
    <x v="1"/>
    <s v="3-PARTE B E CONTA CONTABIL"/>
    <s v="6-Provis es ou perdas estimadas n o dedut veis"/>
    <s v="A-ADIÇÃO "/>
    <s v="Provisoes no período"/>
    <s v="3.3.3.09.024"/>
    <s v="PROVISAO MAUTENCAO EM MAQUINAS"/>
    <n v="6"/>
    <s v="PROVIS O DESPESAS COM OUTROS SERVI OS TERCEIROS"/>
    <d v="2024-12-31T00:00:00"/>
    <n v="320000"/>
    <s v="|M355|"/>
    <s v="|M360|"/>
    <x v="204"/>
    <x v="104"/>
    <x v="11"/>
    <x v="195"/>
  </r>
  <r>
    <x v="1"/>
    <s v="3-PARTE B E CONTA CONTABIL"/>
    <s v="6-Provis es ou perdas estimadas n o dedut veis"/>
    <s v="A-ADIÇÃO "/>
    <s v="Provisoes no período"/>
    <s v="3.3.3.09.010"/>
    <s v="PROVISÃO PARA CRÉDITO DE LIQUIDAÇÃO DUVIDOSA"/>
    <n v="5"/>
    <s v="PROVIS O PARA CR DITO DE LIQUIDA  O DUVIDOSA"/>
    <d v="2024-12-31T00:00:00"/>
    <n v="21738.290000000008"/>
    <s v="|M355|"/>
    <s v="|M360|"/>
    <x v="205"/>
    <x v="105"/>
    <x v="11"/>
    <x v="196"/>
  </r>
  <r>
    <x v="1"/>
    <s v="3-PARTE B E CONTA CONTABIL"/>
    <s v="6-Provis es ou perdas estimadas n o dedut veis"/>
    <s v="A-ADIÇÃO "/>
    <s v="Provisoes no período"/>
    <s v="3.3.3.09.015"/>
    <s v="PROVISAO PERDA DE ESTOQUE PECAS"/>
    <n v="9"/>
    <s v="PROVISOES E PERDAS NAO DEDUTIVEIS ESTOQUES"/>
    <d v="2024-12-31T00:00:00"/>
    <n v="279368.68"/>
    <s v="|M355|"/>
    <s v="|M360|"/>
    <x v="206"/>
    <x v="106"/>
    <x v="11"/>
    <x v="197"/>
  </r>
  <r>
    <x v="1"/>
    <s v="3-PARTE B E CONTA CONTABIL"/>
    <s v="6-Provis es ou perdas estimadas n o dedut veis"/>
    <s v="A-ADIÇÃO "/>
    <s v="Provisoes no período"/>
    <s v="3.3.3.09.022"/>
    <s v="PROVISAO PERDA ICMS"/>
    <s v="1.1.4.01.999"/>
    <s v="PROVISAO PERDA ICMS"/>
    <d v="2024-12-31T00:00:00"/>
    <n v="1418785.67"/>
    <s v="|M355|"/>
    <s v="|M360|"/>
    <x v="207"/>
    <x v="107"/>
    <x v="11"/>
    <x v="198"/>
  </r>
  <r>
    <x v="1"/>
    <s v="3-PARTE B E CONTA CONTABIL"/>
    <s v="6-Provis es ou perdas estimadas n o dedut veis"/>
    <s v="A-ADIÇÃO "/>
    <s v="Provisoes no período"/>
    <s v="3.3.3.09.009"/>
    <s v="PROVISAO PERDAS DE ESTOQUE MAQUINAS"/>
    <n v="3"/>
    <s v="PROVISOES E PERDAS NAO DEDUTIVEIS ESTOQUES"/>
    <d v="2024-12-31T00:00:00"/>
    <n v="727955.8899999999"/>
    <s v="|M355|"/>
    <s v="|M360|"/>
    <x v="208"/>
    <x v="108"/>
    <x v="11"/>
    <x v="199"/>
  </r>
  <r>
    <x v="1"/>
    <s v="3-PARTE B E CONTA CONTABIL"/>
    <s v="6-Provis es ou perdas estimadas n o dedut veis"/>
    <s v="A-ADIÇÃO "/>
    <s v="Provisoes no período"/>
    <s v="3.3.3.09.021"/>
    <s v="PROVISAO PROJETO STARTUP"/>
    <n v="12"/>
    <s v="PROVIS O PROJETO STARTUP"/>
    <d v="2024-12-31T00:00:00"/>
    <n v="89920"/>
    <s v="|M355|"/>
    <s v="|M360|"/>
    <x v="209"/>
    <x v="109"/>
    <x v="11"/>
    <x v="200"/>
  </r>
  <r>
    <x v="1"/>
    <s v="3-PARTE B E CONTA CONTABIL"/>
    <s v="6-Provis es ou perdas estimadas n o dedut veis"/>
    <s v="A-ADIÇÃO "/>
    <s v="Provisoes no período"/>
    <s v="3.3.3.09.012"/>
    <s v="PROVISAO SERVIÇOS COM AUDITORIA"/>
    <n v="6"/>
    <s v="PROVIS O DESPESAS COM OUTROS SERVI OS TERCEIROS"/>
    <d v="2024-12-31T00:00:00"/>
    <n v="5366.53"/>
    <s v="|M355|"/>
    <s v="|M360|"/>
    <x v="210"/>
    <x v="110"/>
    <x v="11"/>
    <x v="201"/>
  </r>
  <r>
    <x v="1"/>
    <s v="2-CONTA CONTABIL"/>
    <s v="8.65-Multas impostas por transgress es de leis de natureza n o tribut ria"/>
    <s v="A-ADIÇÃO "/>
    <s v="Multas nao fiscais no periodo"/>
    <s v="3.3.3.09.007"/>
    <s v="MULTAS DE TRANSITO INDEDUTIVEL"/>
    <m/>
    <m/>
    <d v="2024-12-31T00:00:00"/>
    <n v="136.67000000000007"/>
    <s v="|M360|"/>
    <s v=""/>
    <x v="211"/>
    <x v="1"/>
    <x v="11"/>
    <x v="202"/>
  </r>
  <r>
    <x v="1"/>
    <s v="2-CONTA CONTABIL"/>
    <s v="8.75-Remunera  o de s cios"/>
    <s v="A-ADIÇÃO "/>
    <s v="Remuneracoes a socios"/>
    <s v="3.3.1.03.011"/>
    <s v="PREVIDENCIA PRIVADA DIRETORIA"/>
    <m/>
    <m/>
    <d v="2024-12-31T00:00:00"/>
    <n v="24507.359999999997"/>
    <s v="|M360|"/>
    <s v=""/>
    <x v="212"/>
    <x v="1"/>
    <x v="11"/>
    <x v="203"/>
  </r>
  <r>
    <x v="1"/>
    <s v="2-CONTA CONTABIL"/>
    <s v="8.75-Remunera  o de s cios"/>
    <s v="A-ADIÇÃO "/>
    <s v="Remuneracoes a socios"/>
    <s v="3.3.1.03.008"/>
    <s v="SEGURO DE VIDA EM GRUPO"/>
    <m/>
    <m/>
    <d v="2024-12-31T00:00:00"/>
    <n v="2966.6399999999994"/>
    <s v="|M360|"/>
    <s v=""/>
    <x v="213"/>
    <x v="1"/>
    <x v="11"/>
    <x v="204"/>
  </r>
  <r>
    <x v="1"/>
    <s v="2-CONTA CONTABIL"/>
    <s v="8-Despesas n o necess rias"/>
    <s v="A-ADIÇÃO "/>
    <s v="Despesas nao dedutiveis no periodo"/>
    <s v="3.3.3.09.002"/>
    <s v="BRINDES"/>
    <m/>
    <m/>
    <d v="2024-12-31T00:00:00"/>
    <n v="44130.29"/>
    <s v="|M360|"/>
    <s v=""/>
    <x v="200"/>
    <x v="1"/>
    <x v="11"/>
    <x v="191"/>
  </r>
  <r>
    <x v="1"/>
    <s v="2-CONTA CONTABIL"/>
    <s v="8-Despesas n o necess rias"/>
    <s v="A-ADIÇÃO "/>
    <s v="Despesas nao dedutiveis no periodo"/>
    <s v="3.3.3.09.001"/>
    <s v="DESPESAS NÃO DEDUTIVEIS"/>
    <m/>
    <m/>
    <d v="2024-12-31T00:00:00"/>
    <n v="24790.58"/>
    <s v="|M360|"/>
    <s v=""/>
    <x v="214"/>
    <x v="1"/>
    <x v="11"/>
    <x v="205"/>
  </r>
  <r>
    <x v="1"/>
    <s v="3-PARTE B E CONTA CONTABIL"/>
    <s v="95-(-) Revers o ou uso de provis es ou perdas estimadas n o dedut veis"/>
    <s v="E-EXCLUSÃO"/>
    <s v="Reversao provisoes no periodo"/>
    <s v="3.3.3.09.018"/>
    <s v="PROVISAO CRÉDITO LIQUIDAÇÃO DUVIDOSA INDIVIDUAL"/>
    <n v="5"/>
    <s v="PROVIS O PARA CR DITO DE LIQUIDA  O DUVIDOSA"/>
    <d v="2024-12-31T00:00:00"/>
    <n v="5080.5"/>
    <s v="|M355|"/>
    <s v="|M360|"/>
    <x v="161"/>
    <x v="85"/>
    <x v="11"/>
    <x v="152"/>
  </r>
  <r>
    <x v="1"/>
    <s v="3-PARTE B E CONTA CONTABIL"/>
    <s v="95-(-) Revers o ou uso de provis es ou perdas estimadas n o dedut veis"/>
    <s v="E-EXCLUSÃO"/>
    <s v="Reversao provisoes no periodo"/>
    <s v="3.3.3.09.005"/>
    <s v="PROVISAO DE BONUS"/>
    <n v="9"/>
    <s v="PROVISÃO DE BONUS"/>
    <d v="2024-12-31T00:00:00"/>
    <n v="494093.83"/>
    <s v="|M355|"/>
    <s v="|M360|"/>
    <x v="127"/>
    <x v="67"/>
    <x v="11"/>
    <x v="118"/>
  </r>
  <r>
    <x v="1"/>
    <s v="3-PARTE B E CONTA CONTABIL"/>
    <s v="95-(-) Revers o ou uso de provis es ou perdas estimadas n o dedut veis"/>
    <s v="E-EXCLUSÃO"/>
    <s v="Reversao provisoes no periodo"/>
    <s v="3.3.3.09.013"/>
    <s v="PROVISÃO DESPESAS COM OUTROS SERVIÇOS TERCEIROS"/>
    <n v="6"/>
    <s v="PROVIS O DESPESAS COM OUTROS SERVI OS TERCEIROS"/>
    <d v="2024-12-31T00:00:00"/>
    <n v="11000"/>
    <s v="|M355|"/>
    <s v="|M360|"/>
    <x v="128"/>
    <x v="68"/>
    <x v="11"/>
    <x v="119"/>
  </r>
  <r>
    <x v="1"/>
    <s v="3-PARTE B E CONTA CONTABIL"/>
    <s v="95-(-) Revers o ou uso de provis es ou perdas estimadas n o dedut veis"/>
    <s v="E-EXCLUSÃO"/>
    <s v="Reversao provisoes no periodo"/>
    <s v="3.3.3.09.019"/>
    <s v="PROVISAO INSS E IRRF S/PROVISAO DE BONUS"/>
    <n v="10"/>
    <s v="PROVISAO INSS E IRRF S/PROVISAO DE BONUS"/>
    <d v="2024-12-31T00:00:00"/>
    <n v="171944.65"/>
    <s v="|M355|"/>
    <s v="|M360|"/>
    <x v="129"/>
    <x v="69"/>
    <x v="11"/>
    <x v="120"/>
  </r>
  <r>
    <x v="1"/>
    <s v="3-PARTE B E CONTA CONTABIL"/>
    <s v="95-(-) Revers o ou uso de provis es ou perdas estimadas n o dedut veis"/>
    <s v="E-EXCLUSÃO"/>
    <s v="Reversao provisoes no periodo"/>
    <s v="3.3.3.09.014"/>
    <s v="PROVISÃO PERDAS E GANHOS COM HEDGE"/>
    <n v="13"/>
    <s v="PROVISÃO PERDAS E GANHOS COM HEDGE"/>
    <d v="2024-12-31T00:00:00"/>
    <n v="572647.07999999996"/>
    <s v="|M355|"/>
    <s v="|M360|"/>
    <x v="215"/>
    <x v="111"/>
    <x v="11"/>
    <x v="206"/>
  </r>
  <r>
    <x v="1"/>
    <s v="3-PARTE B E CONTA CONTABIL"/>
    <s v="95-(-) Revers o ou uso de provis es ou perdas estimadas n o dedut veis"/>
    <s v="E-EXCLUSÃO"/>
    <s v="Reversao provisoes no periodo"/>
    <s v="3.3.3.09.021"/>
    <s v="PROVISAO PROJETO STARTUP"/>
    <n v="12"/>
    <s v="PROVIS O PROJETO STARTUP"/>
    <d v="2024-12-31T00:00:00"/>
    <n v="167940"/>
    <s v="|M355|"/>
    <s v="|M360|"/>
    <x v="144"/>
    <x v="77"/>
    <x v="11"/>
    <x v="1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6282D1-1E05-4404-9E1F-AF6BF2FC3C92}" name="Tabela dinâmica2" cacheId="1" applyNumberFormats="0" applyBorderFormats="0" applyFontFormats="0" applyPatternFormats="0" applyAlignmentFormats="0" applyWidthHeightFormats="1" dataCaption="Valores" updatedVersion="8" minRefreshableVersion="3" showDrill="0" enableDrill="0" useAutoFormatting="1" rowGrandTotals="0" itemPrintTitles="1" createdVersion="8" indent="127" outline="1" outlineData="1" gridDropZones="1" multipleFieldFilters="0" rowHeaderCaption="registros">
  <location ref="A3:G1175" firstHeaderRow="2" firstDataRow="2" firstDataCol="1"/>
  <pivotFields count="17">
    <pivotField axis="axisRow" showAll="0" sortType="descending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axis="axisRow" showAll="0" defaultSubtotal="0">
      <items count="216">
        <item x="98"/>
        <item x="8"/>
        <item x="54"/>
        <item x="62"/>
        <item x="70"/>
        <item x="19"/>
        <item x="79"/>
        <item x="87"/>
        <item x="22"/>
        <item x="94"/>
        <item x="29"/>
        <item x="37"/>
        <item x="44"/>
        <item x="20"/>
        <item x="11"/>
        <item x="27"/>
        <item x="35"/>
        <item x="46"/>
        <item x="72"/>
        <item x="100"/>
        <item x="106"/>
        <item x="10"/>
        <item x="23"/>
        <item x="30"/>
        <item x="38"/>
        <item x="45"/>
        <item x="55"/>
        <item x="63"/>
        <item x="71"/>
        <item x="0"/>
        <item x="80"/>
        <item x="88"/>
        <item x="99"/>
        <item x="9"/>
        <item x="96"/>
        <item x="52"/>
        <item x="18"/>
        <item x="95"/>
        <item x="101"/>
        <item x="6"/>
        <item x="7"/>
        <item x="28"/>
        <item x="36"/>
        <item x="43"/>
        <item x="97"/>
        <item x="53"/>
        <item x="61"/>
        <item x="69"/>
        <item x="17"/>
        <item x="78"/>
        <item x="86"/>
        <item x="21"/>
        <item x="93"/>
        <item x="13"/>
        <item x="41"/>
        <item x="49"/>
        <item x="58"/>
        <item x="66"/>
        <item x="75"/>
        <item x="3"/>
        <item x="83"/>
        <item x="104"/>
        <item x="15"/>
        <item x="25"/>
        <item x="33"/>
        <item x="48"/>
        <item x="57"/>
        <item x="65"/>
        <item x="74"/>
        <item x="2"/>
        <item x="82"/>
        <item x="90"/>
        <item x="103"/>
        <item x="14"/>
        <item x="24"/>
        <item x="32"/>
        <item x="40"/>
        <item x="60"/>
        <item x="68"/>
        <item x="77"/>
        <item x="85"/>
        <item x="92"/>
        <item x="105"/>
        <item x="16"/>
        <item x="5"/>
        <item x="26"/>
        <item x="34"/>
        <item x="42"/>
        <item x="51"/>
        <item x="4"/>
        <item x="50"/>
        <item x="59"/>
        <item x="67"/>
        <item x="76"/>
        <item x="84"/>
        <item x="91"/>
        <item x="31"/>
        <item x="102"/>
        <item x="73"/>
        <item x="39"/>
        <item x="81"/>
        <item x="47"/>
        <item x="56"/>
        <item x="64"/>
        <item x="89"/>
        <item x="1"/>
        <item x="12"/>
        <item x="207"/>
        <item x="119"/>
        <item x="108"/>
        <item x="163"/>
        <item x="171"/>
        <item x="179"/>
        <item x="129"/>
        <item x="188"/>
        <item x="196"/>
        <item x="131"/>
        <item x="203"/>
        <item x="138"/>
        <item x="146"/>
        <item x="153"/>
        <item x="121"/>
        <item x="111"/>
        <item x="136"/>
        <item x="144"/>
        <item x="155"/>
        <item x="181"/>
        <item x="209"/>
        <item x="120"/>
        <item x="215"/>
        <item x="122"/>
        <item x="132"/>
        <item x="139"/>
        <item x="147"/>
        <item x="154"/>
        <item x="164"/>
        <item x="172"/>
        <item x="180"/>
        <item x="110"/>
        <item x="189"/>
        <item x="197"/>
        <item x="208"/>
        <item x="109"/>
        <item x="205"/>
        <item x="161"/>
        <item x="128"/>
        <item x="204"/>
        <item x="210"/>
        <item x="118"/>
        <item x="117"/>
        <item x="107"/>
        <item x="137"/>
        <item x="145"/>
        <item x="152"/>
        <item x="206"/>
        <item x="162"/>
        <item x="170"/>
        <item x="178"/>
        <item x="127"/>
        <item x="187"/>
        <item x="195"/>
        <item x="130"/>
        <item x="202"/>
        <item x="150"/>
        <item x="158"/>
        <item x="167"/>
        <item x="175"/>
        <item x="184"/>
        <item x="114"/>
        <item x="192"/>
        <item x="213"/>
        <item x="125"/>
        <item x="134"/>
        <item x="142"/>
        <item x="157"/>
        <item x="166"/>
        <item x="174"/>
        <item x="183"/>
        <item x="113"/>
        <item x="191"/>
        <item x="199"/>
        <item x="212"/>
        <item x="124"/>
        <item x="133"/>
        <item x="141"/>
        <item x="149"/>
        <item x="169"/>
        <item x="177"/>
        <item x="186"/>
        <item x="194"/>
        <item x="201"/>
        <item x="214"/>
        <item x="126"/>
        <item x="116"/>
        <item x="135"/>
        <item x="143"/>
        <item x="151"/>
        <item x="160"/>
        <item x="115"/>
        <item x="159"/>
        <item x="168"/>
        <item x="176"/>
        <item x="185"/>
        <item x="193"/>
        <item x="200"/>
        <item x="140"/>
        <item x="211"/>
        <item x="182"/>
        <item x="148"/>
        <item x="190"/>
        <item x="156"/>
        <item x="165"/>
        <item x="173"/>
        <item x="198"/>
        <item x="112"/>
        <item x="123"/>
      </items>
    </pivotField>
    <pivotField axis="axisRow" showAll="0" defaultSubtotal="0">
      <items count="112">
        <item x="1"/>
        <item x="3"/>
        <item x="17"/>
        <item x="21"/>
        <item x="24"/>
        <item x="29"/>
        <item x="32"/>
        <item x="35"/>
        <item x="9"/>
        <item x="39"/>
        <item x="42"/>
        <item x="13"/>
        <item x="45"/>
        <item x="7"/>
        <item x="15"/>
        <item x="19"/>
        <item x="23"/>
        <item x="26"/>
        <item x="31"/>
        <item x="34"/>
        <item x="37"/>
        <item x="0"/>
        <item x="41"/>
        <item x="44"/>
        <item x="51"/>
        <item x="5"/>
        <item x="48"/>
        <item x="53"/>
        <item x="10"/>
        <item x="2"/>
        <item x="54"/>
        <item x="6"/>
        <item x="49"/>
        <item x="28"/>
        <item x="4"/>
        <item x="30"/>
        <item x="33"/>
        <item x="36"/>
        <item x="11"/>
        <item x="40"/>
        <item x="43"/>
        <item x="14"/>
        <item x="46"/>
        <item x="18"/>
        <item x="22"/>
        <item x="25"/>
        <item x="12"/>
        <item x="8"/>
        <item x="16"/>
        <item x="20"/>
        <item x="27"/>
        <item x="38"/>
        <item x="52"/>
        <item x="50"/>
        <item x="47"/>
        <item x="61"/>
        <item x="55"/>
        <item x="74"/>
        <item x="78"/>
        <item x="81"/>
        <item x="86"/>
        <item x="89"/>
        <item x="92"/>
        <item x="67"/>
        <item x="96"/>
        <item x="99"/>
        <item x="70"/>
        <item x="102"/>
        <item x="66"/>
        <item x="72"/>
        <item x="76"/>
        <item x="80"/>
        <item x="83"/>
        <item x="88"/>
        <item x="91"/>
        <item x="94"/>
        <item x="59"/>
        <item x="98"/>
        <item x="101"/>
        <item x="108"/>
        <item x="57"/>
        <item x="105"/>
        <item x="110"/>
        <item x="68"/>
        <item x="62"/>
        <item x="64"/>
        <item x="111"/>
        <item x="58"/>
        <item x="106"/>
        <item x="85"/>
        <item x="63"/>
        <item x="56"/>
        <item x="87"/>
        <item x="90"/>
        <item x="93"/>
        <item x="69"/>
        <item x="97"/>
        <item x="100"/>
        <item x="71"/>
        <item x="103"/>
        <item x="75"/>
        <item x="79"/>
        <item x="82"/>
        <item x="65"/>
        <item x="60"/>
        <item x="73"/>
        <item x="77"/>
        <item x="84"/>
        <item x="95"/>
        <item x="109"/>
        <item x="107"/>
        <item x="104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showAll="0" defaultSubtotal="0">
      <items count="207">
        <item x="0"/>
        <item x="7"/>
        <item x="8"/>
        <item x="18"/>
        <item x="19"/>
        <item x="20"/>
        <item x="25"/>
        <item x="26"/>
        <item x="27"/>
        <item x="33"/>
        <item x="34"/>
        <item x="35"/>
        <item x="40"/>
        <item x="41"/>
        <item x="42"/>
        <item x="43"/>
        <item x="50"/>
        <item x="51"/>
        <item x="52"/>
        <item x="58"/>
        <item x="59"/>
        <item x="60"/>
        <item x="66"/>
        <item x="67"/>
        <item x="68"/>
        <item x="69"/>
        <item x="75"/>
        <item x="76"/>
        <item x="77"/>
        <item x="83"/>
        <item x="84"/>
        <item x="85"/>
        <item x="90"/>
        <item x="91"/>
        <item x="92"/>
        <item x="93"/>
        <item x="94"/>
        <item x="95"/>
        <item x="96"/>
        <item x="97"/>
        <item x="98"/>
        <item x="104"/>
        <item x="105"/>
        <item x="113"/>
        <item x="121"/>
        <item x="122"/>
        <item x="123"/>
        <item x="128"/>
        <item x="129"/>
        <item x="130"/>
        <item x="136"/>
        <item x="137"/>
        <item x="138"/>
        <item x="143"/>
        <item x="144"/>
        <item x="145"/>
        <item x="146"/>
        <item x="153"/>
        <item x="154"/>
        <item x="155"/>
        <item x="161"/>
        <item x="162"/>
        <item x="163"/>
        <item x="169"/>
        <item x="170"/>
        <item x="171"/>
        <item x="172"/>
        <item x="178"/>
        <item x="179"/>
        <item x="180"/>
        <item x="186"/>
        <item x="187"/>
        <item x="188"/>
        <item x="193"/>
        <item x="194"/>
        <item x="195"/>
        <item x="196"/>
        <item x="197"/>
        <item x="198"/>
        <item x="199"/>
        <item x="200"/>
        <item x="201"/>
        <item x="1"/>
        <item x="2"/>
        <item x="3"/>
        <item x="4"/>
        <item x="5"/>
        <item x="9"/>
        <item x="10"/>
        <item x="11"/>
        <item x="12"/>
        <item x="13"/>
        <item x="21"/>
        <item x="22"/>
        <item x="23"/>
        <item x="28"/>
        <item x="29"/>
        <item x="30"/>
        <item x="31"/>
        <item x="36"/>
        <item x="37"/>
        <item x="38"/>
        <item x="39"/>
        <item x="44"/>
        <item x="45"/>
        <item x="46"/>
        <item x="47"/>
        <item x="48"/>
        <item x="53"/>
        <item x="54"/>
        <item x="55"/>
        <item x="56"/>
        <item x="57"/>
        <item x="61"/>
        <item x="62"/>
        <item x="63"/>
        <item x="64"/>
        <item x="65"/>
        <item x="70"/>
        <item x="71"/>
        <item x="72"/>
        <item x="73"/>
        <item x="74"/>
        <item x="78"/>
        <item x="79"/>
        <item x="80"/>
        <item x="81"/>
        <item x="82"/>
        <item x="86"/>
        <item x="87"/>
        <item x="88"/>
        <item x="89"/>
        <item x="99"/>
        <item x="100"/>
        <item x="101"/>
        <item x="102"/>
        <item x="106"/>
        <item x="107"/>
        <item x="108"/>
        <item x="109"/>
        <item x="110"/>
        <item x="114"/>
        <item x="115"/>
        <item x="116"/>
        <item x="117"/>
        <item x="124"/>
        <item x="125"/>
        <item x="126"/>
        <item x="131"/>
        <item x="132"/>
        <item x="133"/>
        <item x="134"/>
        <item x="139"/>
        <item x="140"/>
        <item x="141"/>
        <item x="142"/>
        <item x="147"/>
        <item x="148"/>
        <item x="149"/>
        <item x="150"/>
        <item x="151"/>
        <item x="156"/>
        <item x="157"/>
        <item x="158"/>
        <item x="159"/>
        <item x="160"/>
        <item x="164"/>
        <item x="165"/>
        <item x="166"/>
        <item x="167"/>
        <item x="168"/>
        <item x="173"/>
        <item x="174"/>
        <item x="175"/>
        <item x="176"/>
        <item x="177"/>
        <item x="181"/>
        <item x="182"/>
        <item x="183"/>
        <item x="184"/>
        <item x="185"/>
        <item x="189"/>
        <item x="190"/>
        <item x="191"/>
        <item x="192"/>
        <item x="202"/>
        <item x="203"/>
        <item x="204"/>
        <item x="205"/>
        <item x="6"/>
        <item x="14"/>
        <item x="15"/>
        <item x="16"/>
        <item x="17"/>
        <item x="24"/>
        <item x="32"/>
        <item x="49"/>
        <item x="103"/>
        <item x="111"/>
        <item x="112"/>
        <item x="118"/>
        <item x="119"/>
        <item x="120"/>
        <item x="127"/>
        <item x="135"/>
        <item x="152"/>
        <item x="206"/>
      </items>
    </pivotField>
  </pivotFields>
  <rowFields count="5">
    <field x="0"/>
    <field x="15"/>
    <field x="16"/>
    <field x="13"/>
    <field x="14"/>
  </rowFields>
  <rowItems count="1171">
    <i>
      <x/>
    </i>
    <i r="1">
      <x/>
    </i>
    <i r="2">
      <x/>
    </i>
    <i r="3">
      <x v="29"/>
    </i>
    <i r="4">
      <x v="21"/>
    </i>
    <i r="2">
      <x v="82"/>
    </i>
    <i r="3">
      <x v="105"/>
    </i>
    <i r="4">
      <x/>
    </i>
    <i r="2">
      <x v="83"/>
    </i>
    <i r="3">
      <x v="69"/>
    </i>
    <i r="4">
      <x/>
    </i>
    <i r="2">
      <x v="84"/>
    </i>
    <i r="3">
      <x v="59"/>
    </i>
    <i r="4">
      <x/>
    </i>
    <i r="2">
      <x v="85"/>
    </i>
    <i r="3">
      <x v="89"/>
    </i>
    <i r="4">
      <x/>
    </i>
    <i r="2">
      <x v="86"/>
    </i>
    <i r="3">
      <x v="84"/>
    </i>
    <i r="4">
      <x/>
    </i>
    <i r="2">
      <x v="189"/>
    </i>
    <i r="3">
      <x v="39"/>
    </i>
    <i r="4">
      <x v="29"/>
    </i>
    <i r="1">
      <x v="1"/>
    </i>
    <i r="2">
      <x v="1"/>
    </i>
    <i r="3">
      <x v="1"/>
    </i>
    <i r="4">
      <x v="34"/>
    </i>
    <i r="3">
      <x v="14"/>
    </i>
    <i r="4">
      <x v="47"/>
    </i>
    <i r="3">
      <x v="33"/>
    </i>
    <i r="4">
      <x v="25"/>
    </i>
    <i r="3">
      <x v="40"/>
    </i>
    <i r="4">
      <x v="1"/>
    </i>
    <i r="4">
      <x v="31"/>
    </i>
    <i r="2">
      <x v="2"/>
    </i>
    <i r="3">
      <x v="21"/>
    </i>
    <i r="4">
      <x v="13"/>
    </i>
    <i r="2">
      <x v="85"/>
    </i>
    <i r="3">
      <x v="89"/>
    </i>
    <i r="4">
      <x/>
    </i>
    <i r="2">
      <x v="87"/>
    </i>
    <i r="3">
      <x v="106"/>
    </i>
    <i r="4">
      <x/>
    </i>
    <i r="2">
      <x v="88"/>
    </i>
    <i r="3">
      <x v="53"/>
    </i>
    <i r="4">
      <x/>
    </i>
    <i r="2">
      <x v="89"/>
    </i>
    <i r="3">
      <x v="73"/>
    </i>
    <i r="4">
      <x/>
    </i>
    <i r="2">
      <x v="90"/>
    </i>
    <i r="3">
      <x v="62"/>
    </i>
    <i r="4">
      <x/>
    </i>
    <i r="2">
      <x v="91"/>
    </i>
    <i r="3">
      <x v="83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3"/>
    </i>
    <i r="3">
      <x v="13"/>
    </i>
    <i r="4">
      <x v="46"/>
    </i>
    <i r="1">
      <x v="2"/>
    </i>
    <i r="2">
      <x v="1"/>
    </i>
    <i r="3">
      <x v="14"/>
    </i>
    <i r="4">
      <x v="47"/>
    </i>
    <i r="3">
      <x v="33"/>
    </i>
    <i r="4">
      <x v="25"/>
    </i>
    <i r="3">
      <x v="40"/>
    </i>
    <i r="4">
      <x v="31"/>
    </i>
    <i r="2">
      <x v="3"/>
    </i>
    <i r="3">
      <x v="51"/>
    </i>
    <i r="4">
      <x v="11"/>
    </i>
    <i r="2">
      <x v="4"/>
    </i>
    <i r="3">
      <x v="8"/>
    </i>
    <i r="4">
      <x v="41"/>
    </i>
    <i r="2">
      <x v="5"/>
    </i>
    <i r="3">
      <x v="22"/>
    </i>
    <i r="4">
      <x v="14"/>
    </i>
    <i r="2">
      <x v="85"/>
    </i>
    <i r="3">
      <x v="89"/>
    </i>
    <i r="4">
      <x/>
    </i>
    <i r="2">
      <x v="87"/>
    </i>
    <i r="3">
      <x v="106"/>
    </i>
    <i r="4">
      <x/>
    </i>
    <i r="2">
      <x v="88"/>
    </i>
    <i r="3">
      <x v="53"/>
    </i>
    <i r="4">
      <x/>
    </i>
    <i r="2">
      <x v="92"/>
    </i>
    <i r="3">
      <x v="74"/>
    </i>
    <i r="4">
      <x/>
    </i>
    <i r="2">
      <x v="93"/>
    </i>
    <i r="3">
      <x v="63"/>
    </i>
    <i r="4">
      <x/>
    </i>
    <i r="2">
      <x v="94"/>
    </i>
    <i r="3">
      <x v="85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4"/>
    </i>
    <i r="3">
      <x v="15"/>
    </i>
    <i r="4">
      <x v="48"/>
    </i>
    <i r="1">
      <x v="3"/>
    </i>
    <i r="2">
      <x v="1"/>
    </i>
    <i r="3">
      <x v="14"/>
    </i>
    <i r="4">
      <x v="47"/>
    </i>
    <i r="3">
      <x v="33"/>
    </i>
    <i r="4">
      <x v="25"/>
    </i>
    <i r="3">
      <x v="40"/>
    </i>
    <i r="4">
      <x v="31"/>
    </i>
    <i r="2">
      <x v="6"/>
    </i>
    <i r="3">
      <x v="41"/>
    </i>
    <i r="4">
      <x v="2"/>
    </i>
    <i r="2">
      <x v="7"/>
    </i>
    <i r="3">
      <x v="10"/>
    </i>
    <i r="4">
      <x v="43"/>
    </i>
    <i r="2">
      <x v="8"/>
    </i>
    <i r="3">
      <x v="23"/>
    </i>
    <i r="4">
      <x v="15"/>
    </i>
    <i r="2">
      <x v="85"/>
    </i>
    <i r="3">
      <x v="89"/>
    </i>
    <i r="4">
      <x/>
    </i>
    <i r="2">
      <x v="88"/>
    </i>
    <i r="3">
      <x v="53"/>
    </i>
    <i r="4">
      <x/>
    </i>
    <i r="2">
      <x v="95"/>
    </i>
    <i r="3">
      <x v="96"/>
    </i>
    <i r="4">
      <x/>
    </i>
    <i r="2">
      <x v="96"/>
    </i>
    <i r="3">
      <x v="75"/>
    </i>
    <i r="4">
      <x/>
    </i>
    <i r="2">
      <x v="97"/>
    </i>
    <i r="3">
      <x v="64"/>
    </i>
    <i r="4">
      <x/>
    </i>
    <i r="2">
      <x v="98"/>
    </i>
    <i r="3">
      <x v="86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1">
      <x v="4"/>
    </i>
    <i r="2">
      <x v="1"/>
    </i>
    <i r="3">
      <x v="14"/>
    </i>
    <i r="4">
      <x v="47"/>
    </i>
    <i r="3">
      <x v="33"/>
    </i>
    <i r="4">
      <x v="25"/>
    </i>
    <i r="3">
      <x v="40"/>
    </i>
    <i r="4">
      <x v="31"/>
    </i>
    <i r="2">
      <x v="9"/>
    </i>
    <i r="3">
      <x v="42"/>
    </i>
    <i r="4">
      <x v="3"/>
    </i>
    <i r="2">
      <x v="10"/>
    </i>
    <i r="3">
      <x v="11"/>
    </i>
    <i r="4">
      <x v="44"/>
    </i>
    <i r="2">
      <x v="11"/>
    </i>
    <i r="3">
      <x v="24"/>
    </i>
    <i r="4">
      <x v="16"/>
    </i>
    <i r="2">
      <x v="85"/>
    </i>
    <i r="3">
      <x v="89"/>
    </i>
    <i r="4">
      <x/>
    </i>
    <i r="2">
      <x v="88"/>
    </i>
    <i r="3">
      <x v="53"/>
    </i>
    <i r="4">
      <x/>
    </i>
    <i r="2">
      <x v="99"/>
    </i>
    <i r="3">
      <x v="99"/>
    </i>
    <i r="4">
      <x/>
    </i>
    <i r="2">
      <x v="100"/>
    </i>
    <i r="3">
      <x v="76"/>
    </i>
    <i r="4">
      <x/>
    </i>
    <i r="2">
      <x v="101"/>
    </i>
    <i r="3">
      <x v="54"/>
    </i>
    <i r="4">
      <x/>
    </i>
    <i r="2">
      <x v="102"/>
    </i>
    <i r="3">
      <x v="87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1">
      <x v="5"/>
    </i>
    <i r="2">
      <x v="1"/>
    </i>
    <i r="3">
      <x v="33"/>
    </i>
    <i r="4">
      <x v="25"/>
    </i>
    <i r="3">
      <x v="40"/>
    </i>
    <i r="4">
      <x v="31"/>
    </i>
    <i r="2">
      <x v="12"/>
    </i>
    <i r="3">
      <x v="43"/>
    </i>
    <i r="4">
      <x v="4"/>
    </i>
    <i r="2">
      <x v="13"/>
    </i>
    <i r="3">
      <x v="12"/>
    </i>
    <i r="4">
      <x v="45"/>
    </i>
    <i r="2">
      <x v="14"/>
    </i>
    <i r="3">
      <x v="25"/>
    </i>
    <i r="4">
      <x v="17"/>
    </i>
    <i r="2">
      <x v="15"/>
    </i>
    <i r="3">
      <x v="17"/>
    </i>
    <i r="4">
      <x v="50"/>
    </i>
    <i r="2">
      <x v="88"/>
    </i>
    <i r="3">
      <x v="53"/>
    </i>
    <i r="4">
      <x/>
    </i>
    <i r="2">
      <x v="103"/>
    </i>
    <i r="3">
      <x v="101"/>
    </i>
    <i r="4">
      <x/>
    </i>
    <i r="2">
      <x v="104"/>
    </i>
    <i r="3">
      <x v="65"/>
    </i>
    <i r="4">
      <x/>
    </i>
    <i r="2">
      <x v="105"/>
    </i>
    <i r="3">
      <x v="55"/>
    </i>
    <i r="4">
      <x/>
    </i>
    <i r="2">
      <x v="106"/>
    </i>
    <i r="3">
      <x v="90"/>
    </i>
    <i r="4">
      <x/>
    </i>
    <i r="2">
      <x v="107"/>
    </i>
    <i r="3">
      <x v="88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6"/>
    </i>
    <i r="2">
      <x v="1"/>
    </i>
    <i r="3">
      <x v="33"/>
    </i>
    <i r="4">
      <x v="25"/>
    </i>
    <i r="3">
      <x v="40"/>
    </i>
    <i r="4">
      <x v="31"/>
    </i>
    <i r="2">
      <x v="15"/>
    </i>
    <i r="3">
      <x v="17"/>
    </i>
    <i r="4">
      <x v="50"/>
    </i>
    <i r="2">
      <x v="16"/>
    </i>
    <i r="3">
      <x v="45"/>
    </i>
    <i r="4">
      <x v="5"/>
    </i>
    <i r="2">
      <x v="17"/>
    </i>
    <i r="3">
      <x v="2"/>
    </i>
    <i r="4">
      <x v="35"/>
    </i>
    <i r="2">
      <x v="18"/>
    </i>
    <i r="3">
      <x v="26"/>
    </i>
    <i r="4">
      <x v="18"/>
    </i>
    <i r="2">
      <x v="88"/>
    </i>
    <i r="3">
      <x v="53"/>
    </i>
    <i r="4">
      <x/>
    </i>
    <i r="2">
      <x v="108"/>
    </i>
    <i r="3">
      <x v="102"/>
    </i>
    <i r="4">
      <x/>
    </i>
    <i r="2">
      <x v="109"/>
    </i>
    <i r="3">
      <x v="66"/>
    </i>
    <i r="4">
      <x/>
    </i>
    <i r="2">
      <x v="110"/>
    </i>
    <i r="3">
      <x v="56"/>
    </i>
    <i r="4">
      <x/>
    </i>
    <i r="2">
      <x v="111"/>
    </i>
    <i r="3">
      <x v="91"/>
    </i>
    <i r="4">
      <x/>
    </i>
    <i r="2">
      <x v="112"/>
    </i>
    <i r="3">
      <x v="77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7"/>
    </i>
    <i r="2">
      <x v="1"/>
    </i>
    <i r="3">
      <x v="33"/>
    </i>
    <i r="4">
      <x v="25"/>
    </i>
    <i r="3">
      <x v="40"/>
    </i>
    <i r="4">
      <x v="31"/>
    </i>
    <i r="2">
      <x v="15"/>
    </i>
    <i r="3">
      <x v="17"/>
    </i>
    <i r="4">
      <x v="50"/>
    </i>
    <i r="2">
      <x v="19"/>
    </i>
    <i r="3">
      <x v="46"/>
    </i>
    <i r="4">
      <x v="6"/>
    </i>
    <i r="2">
      <x v="20"/>
    </i>
    <i r="3">
      <x v="3"/>
    </i>
    <i r="4">
      <x v="36"/>
    </i>
    <i r="2">
      <x v="21"/>
    </i>
    <i r="3">
      <x v="27"/>
    </i>
    <i r="4">
      <x v="19"/>
    </i>
    <i r="2">
      <x v="88"/>
    </i>
    <i r="3">
      <x v="53"/>
    </i>
    <i r="4">
      <x/>
    </i>
    <i r="2">
      <x v="113"/>
    </i>
    <i r="3">
      <x v="103"/>
    </i>
    <i r="4">
      <x/>
    </i>
    <i r="2">
      <x v="114"/>
    </i>
    <i r="3">
      <x v="67"/>
    </i>
    <i r="4">
      <x/>
    </i>
    <i r="2">
      <x v="115"/>
    </i>
    <i r="3">
      <x v="57"/>
    </i>
    <i r="4">
      <x/>
    </i>
    <i r="2">
      <x v="116"/>
    </i>
    <i r="3">
      <x v="92"/>
    </i>
    <i r="4">
      <x/>
    </i>
    <i r="2">
      <x v="117"/>
    </i>
    <i r="3">
      <x v="78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8"/>
    </i>
    <i r="2">
      <x v="1"/>
    </i>
    <i r="3">
      <x v="33"/>
    </i>
    <i r="4">
      <x v="25"/>
    </i>
    <i r="3">
      <x v="40"/>
    </i>
    <i r="4">
      <x v="31"/>
    </i>
    <i r="2">
      <x v="22"/>
    </i>
    <i r="3">
      <x v="47"/>
    </i>
    <i r="4">
      <x v="7"/>
    </i>
    <i r="2">
      <x v="23"/>
    </i>
    <i r="3">
      <x v="4"/>
    </i>
    <i r="4">
      <x v="37"/>
    </i>
    <i r="2">
      <x v="24"/>
    </i>
    <i r="3">
      <x v="28"/>
    </i>
    <i r="4">
      <x v="20"/>
    </i>
    <i r="2">
      <x v="25"/>
    </i>
    <i r="3">
      <x v="18"/>
    </i>
    <i r="4">
      <x v="51"/>
    </i>
    <i r="2">
      <x v="88"/>
    </i>
    <i r="3">
      <x v="53"/>
    </i>
    <i r="4">
      <x/>
    </i>
    <i r="2">
      <x v="118"/>
    </i>
    <i r="3">
      <x v="98"/>
    </i>
    <i r="4">
      <x/>
    </i>
    <i r="2">
      <x v="119"/>
    </i>
    <i r="3">
      <x v="68"/>
    </i>
    <i r="4">
      <x/>
    </i>
    <i r="2">
      <x v="120"/>
    </i>
    <i r="3">
      <x v="58"/>
    </i>
    <i r="4">
      <x/>
    </i>
    <i r="2">
      <x v="121"/>
    </i>
    <i r="3">
      <x v="93"/>
    </i>
    <i r="4">
      <x/>
    </i>
    <i r="2">
      <x v="122"/>
    </i>
    <i r="3">
      <x v="79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9"/>
    </i>
    <i r="2">
      <x v="1"/>
    </i>
    <i r="3">
      <x v="33"/>
    </i>
    <i r="4">
      <x v="25"/>
    </i>
    <i r="3">
      <x v="40"/>
    </i>
    <i r="4">
      <x v="31"/>
    </i>
    <i r="2">
      <x v="25"/>
    </i>
    <i r="3">
      <x v="18"/>
    </i>
    <i r="4">
      <x v="51"/>
    </i>
    <i r="2">
      <x v="26"/>
    </i>
    <i r="3">
      <x v="49"/>
    </i>
    <i r="4">
      <x v="9"/>
    </i>
    <i r="2">
      <x v="27"/>
    </i>
    <i r="3">
      <x v="6"/>
    </i>
    <i r="4">
      <x v="39"/>
    </i>
    <i r="2">
      <x v="28"/>
    </i>
    <i r="3">
      <x v="30"/>
    </i>
    <i r="4">
      <x v="22"/>
    </i>
    <i r="2">
      <x v="88"/>
    </i>
    <i r="3">
      <x v="53"/>
    </i>
    <i r="4">
      <x/>
    </i>
    <i r="2">
      <x v="123"/>
    </i>
    <i r="3">
      <x v="100"/>
    </i>
    <i r="4">
      <x/>
    </i>
    <i r="2">
      <x v="124"/>
    </i>
    <i r="3">
      <x v="70"/>
    </i>
    <i r="4">
      <x/>
    </i>
    <i r="2">
      <x v="125"/>
    </i>
    <i r="3">
      <x v="60"/>
    </i>
    <i r="4">
      <x/>
    </i>
    <i r="2">
      <x v="126"/>
    </i>
    <i r="3">
      <x v="94"/>
    </i>
    <i r="4">
      <x/>
    </i>
    <i r="2">
      <x v="127"/>
    </i>
    <i r="3">
      <x v="80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10"/>
    </i>
    <i r="2">
      <x v="1"/>
    </i>
    <i r="3">
      <x v="33"/>
    </i>
    <i r="4">
      <x v="25"/>
    </i>
    <i r="3">
      <x v="40"/>
    </i>
    <i r="4">
      <x v="31"/>
    </i>
    <i r="2">
      <x v="25"/>
    </i>
    <i r="3">
      <x v="18"/>
    </i>
    <i r="4">
      <x v="51"/>
    </i>
    <i r="2">
      <x v="29"/>
    </i>
    <i r="3">
      <x v="50"/>
    </i>
    <i r="4">
      <x v="10"/>
    </i>
    <i r="2">
      <x v="30"/>
    </i>
    <i r="3">
      <x v="7"/>
    </i>
    <i r="4">
      <x v="40"/>
    </i>
    <i r="2">
      <x v="31"/>
    </i>
    <i r="3">
      <x v="31"/>
    </i>
    <i r="4">
      <x v="23"/>
    </i>
    <i r="2">
      <x v="88"/>
    </i>
    <i r="3">
      <x v="53"/>
    </i>
    <i r="4">
      <x/>
    </i>
    <i r="2">
      <x v="125"/>
    </i>
    <i r="3">
      <x v="60"/>
    </i>
    <i r="4">
      <x/>
    </i>
    <i r="2">
      <x v="128"/>
    </i>
    <i r="3">
      <x v="104"/>
    </i>
    <i r="4">
      <x/>
    </i>
    <i r="2">
      <x v="129"/>
    </i>
    <i r="3">
      <x v="71"/>
    </i>
    <i r="4">
      <x/>
    </i>
    <i r="2">
      <x v="130"/>
    </i>
    <i r="3">
      <x v="95"/>
    </i>
    <i r="4">
      <x/>
    </i>
    <i r="2">
      <x v="131"/>
    </i>
    <i r="3">
      <x v="81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1">
      <x v="11"/>
    </i>
    <i r="2">
      <x v="32"/>
    </i>
    <i r="3">
      <x v="52"/>
    </i>
    <i r="4">
      <x v="12"/>
    </i>
    <i r="2">
      <x v="33"/>
    </i>
    <i r="3">
      <x v="9"/>
    </i>
    <i r="4">
      <x v="42"/>
    </i>
    <i r="2">
      <x v="34"/>
    </i>
    <i r="3">
      <x v="37"/>
    </i>
    <i r="4">
      <x v="54"/>
    </i>
    <i r="2">
      <x v="35"/>
    </i>
    <i r="3">
      <x v="34"/>
    </i>
    <i r="4">
      <x v="26"/>
    </i>
    <i r="2">
      <x v="36"/>
    </i>
    <i r="3">
      <x v="44"/>
    </i>
    <i r="4">
      <x v="32"/>
    </i>
    <i r="2">
      <x v="37"/>
    </i>
    <i r="3">
      <x/>
    </i>
    <i r="4">
      <x v="53"/>
    </i>
    <i r="2">
      <x v="38"/>
    </i>
    <i r="3">
      <x v="32"/>
    </i>
    <i r="4">
      <x v="24"/>
    </i>
    <i r="2">
      <x v="39"/>
    </i>
    <i r="3">
      <x v="19"/>
    </i>
    <i r="4">
      <x v="52"/>
    </i>
    <i r="2">
      <x v="40"/>
    </i>
    <i r="3">
      <x v="38"/>
    </i>
    <i r="4">
      <x v="27"/>
    </i>
    <i r="2">
      <x v="88"/>
    </i>
    <i r="3">
      <x v="53"/>
    </i>
    <i r="4">
      <x/>
    </i>
    <i r="2">
      <x v="130"/>
    </i>
    <i r="3">
      <x v="95"/>
    </i>
    <i r="4">
      <x/>
    </i>
    <i r="2">
      <x v="132"/>
    </i>
    <i r="3">
      <x v="97"/>
    </i>
    <i r="4">
      <x/>
    </i>
    <i r="2">
      <x v="133"/>
    </i>
    <i r="3">
      <x v="72"/>
    </i>
    <i r="4">
      <x/>
    </i>
    <i r="2">
      <x v="134"/>
    </i>
    <i r="3">
      <x v="61"/>
    </i>
    <i r="4">
      <x/>
    </i>
    <i r="2">
      <x v="135"/>
    </i>
    <i r="3">
      <x v="82"/>
    </i>
    <i r="4">
      <x/>
    </i>
    <i r="2">
      <x v="190"/>
    </i>
    <i r="3">
      <x v="48"/>
    </i>
    <i r="4">
      <x v="8"/>
    </i>
    <i r="2">
      <x v="191"/>
    </i>
    <i r="3">
      <x v="36"/>
    </i>
    <i r="4">
      <x v="28"/>
    </i>
    <i r="2">
      <x v="192"/>
    </i>
    <i r="3">
      <x v="5"/>
    </i>
    <i r="4">
      <x v="38"/>
    </i>
    <i r="2">
      <x v="195"/>
    </i>
    <i r="3">
      <x v="16"/>
    </i>
    <i r="4">
      <x v="49"/>
    </i>
    <i r="2">
      <x v="196"/>
    </i>
    <i r="3">
      <x v="35"/>
    </i>
    <i r="4">
      <x v="33"/>
    </i>
    <i r="2">
      <x v="197"/>
    </i>
    <i r="3">
      <x v="20"/>
    </i>
    <i r="4">
      <x v="30"/>
    </i>
    <i>
      <x v="1"/>
    </i>
    <i r="1">
      <x/>
    </i>
    <i r="2">
      <x v="41"/>
    </i>
    <i r="3">
      <x v="109"/>
    </i>
    <i r="4">
      <x v="91"/>
    </i>
    <i r="3">
      <x v="122"/>
    </i>
    <i r="4">
      <x v="104"/>
    </i>
    <i r="3">
      <x v="142"/>
    </i>
    <i r="4">
      <x v="80"/>
    </i>
    <i r="3">
      <x v="150"/>
    </i>
    <i r="4">
      <x v="56"/>
    </i>
    <i r="4">
      <x v="87"/>
    </i>
    <i r="2">
      <x v="42"/>
    </i>
    <i r="3">
      <x v="138"/>
    </i>
    <i r="4">
      <x v="76"/>
    </i>
    <i r="2">
      <x v="136"/>
    </i>
    <i r="3">
      <x v="214"/>
    </i>
    <i r="4">
      <x/>
    </i>
    <i r="2">
      <x v="137"/>
    </i>
    <i r="3">
      <x v="178"/>
    </i>
    <i r="4">
      <x/>
    </i>
    <i r="2">
      <x v="138"/>
    </i>
    <i r="3">
      <x v="168"/>
    </i>
    <i r="4">
      <x/>
    </i>
    <i r="2">
      <x v="139"/>
    </i>
    <i r="3">
      <x v="198"/>
    </i>
    <i r="4">
      <x/>
    </i>
    <i r="2">
      <x v="140"/>
    </i>
    <i r="3">
      <x v="193"/>
    </i>
    <i r="4">
      <x/>
    </i>
    <i r="2">
      <x v="198"/>
    </i>
    <i r="3">
      <x v="108"/>
    </i>
    <i r="4">
      <x v="90"/>
    </i>
    <i r="3">
      <x v="121"/>
    </i>
    <i r="4">
      <x v="103"/>
    </i>
    <i r="3">
      <x v="128"/>
    </i>
    <i r="4">
      <x v="85"/>
    </i>
    <i r="3">
      <x v="149"/>
    </i>
    <i r="4">
      <x v="55"/>
    </i>
    <i r="2">
      <x v="199"/>
    </i>
    <i r="3">
      <x v="148"/>
    </i>
    <i r="4">
      <x v="84"/>
    </i>
    <i r="1">
      <x v="1"/>
    </i>
    <i r="2">
      <x v="41"/>
    </i>
    <i r="3">
      <x v="109"/>
    </i>
    <i r="4">
      <x v="91"/>
    </i>
    <i r="3">
      <x v="122"/>
    </i>
    <i r="4">
      <x v="104"/>
    </i>
    <i r="3">
      <x v="142"/>
    </i>
    <i r="4">
      <x v="80"/>
    </i>
    <i r="3">
      <x v="150"/>
    </i>
    <i r="4">
      <x v="56"/>
    </i>
    <i r="4">
      <x v="87"/>
    </i>
    <i r="2">
      <x v="43"/>
    </i>
    <i r="3">
      <x v="130"/>
    </i>
    <i r="4">
      <x v="68"/>
    </i>
    <i r="2">
      <x v="139"/>
    </i>
    <i r="3">
      <x v="198"/>
    </i>
    <i r="4">
      <x/>
    </i>
    <i r="2">
      <x v="141"/>
    </i>
    <i r="3">
      <x v="215"/>
    </i>
    <i r="4">
      <x/>
    </i>
    <i r="2">
      <x v="142"/>
    </i>
    <i r="3">
      <x v="182"/>
    </i>
    <i r="4">
      <x/>
    </i>
    <i r="2">
      <x v="143"/>
    </i>
    <i r="3">
      <x v="171"/>
    </i>
    <i r="4">
      <x/>
    </i>
    <i r="2">
      <x v="144"/>
    </i>
    <i r="3">
      <x v="192"/>
    </i>
    <i r="4">
      <x/>
    </i>
    <i r="2">
      <x v="198"/>
    </i>
    <i r="3">
      <x v="121"/>
    </i>
    <i r="4">
      <x v="103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1">
      <x v="2"/>
    </i>
    <i r="2">
      <x v="41"/>
    </i>
    <i r="3">
      <x v="122"/>
    </i>
    <i r="4">
      <x v="104"/>
    </i>
    <i r="3">
      <x v="142"/>
    </i>
    <i r="4">
      <x v="80"/>
    </i>
    <i r="3">
      <x v="150"/>
    </i>
    <i r="4">
      <x v="87"/>
    </i>
    <i r="2">
      <x v="44"/>
    </i>
    <i r="3">
      <x v="161"/>
    </i>
    <i r="4">
      <x v="66"/>
    </i>
    <i r="2">
      <x v="45"/>
    </i>
    <i r="3">
      <x v="116"/>
    </i>
    <i r="4">
      <x v="98"/>
    </i>
    <i r="2">
      <x v="46"/>
    </i>
    <i r="3">
      <x v="131"/>
    </i>
    <i r="4">
      <x v="69"/>
    </i>
    <i r="2">
      <x v="139"/>
    </i>
    <i r="3">
      <x v="198"/>
    </i>
    <i r="4">
      <x/>
    </i>
    <i r="2">
      <x v="141"/>
    </i>
    <i r="3">
      <x v="215"/>
    </i>
    <i r="4">
      <x/>
    </i>
    <i r="2">
      <x v="145"/>
    </i>
    <i r="3">
      <x v="183"/>
    </i>
    <i r="4">
      <x/>
    </i>
    <i r="2">
      <x v="146"/>
    </i>
    <i r="3">
      <x v="172"/>
    </i>
    <i r="4">
      <x/>
    </i>
    <i r="2">
      <x v="147"/>
    </i>
    <i r="3">
      <x v="194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3"/>
    </i>
    <i r="3">
      <x v="123"/>
    </i>
    <i r="4">
      <x v="105"/>
    </i>
    <i r="1">
      <x v="3"/>
    </i>
    <i r="2">
      <x v="41"/>
    </i>
    <i r="3">
      <x v="122"/>
    </i>
    <i r="4">
      <x v="104"/>
    </i>
    <i r="3">
      <x v="142"/>
    </i>
    <i r="4">
      <x v="80"/>
    </i>
    <i r="3">
      <x v="150"/>
    </i>
    <i r="4">
      <x v="87"/>
    </i>
    <i r="2">
      <x v="47"/>
    </i>
    <i r="3">
      <x v="151"/>
    </i>
    <i r="4">
      <x v="57"/>
    </i>
    <i r="2">
      <x v="48"/>
    </i>
    <i r="3">
      <x v="118"/>
    </i>
    <i r="4">
      <x v="100"/>
    </i>
    <i r="2">
      <x v="49"/>
    </i>
    <i r="3">
      <x v="132"/>
    </i>
    <i r="4">
      <x v="70"/>
    </i>
    <i r="2">
      <x v="139"/>
    </i>
    <i r="3">
      <x v="198"/>
    </i>
    <i r="4">
      <x/>
    </i>
    <i r="2">
      <x v="148"/>
    </i>
    <i r="3">
      <x v="205"/>
    </i>
    <i r="4">
      <x/>
    </i>
    <i r="2">
      <x v="149"/>
    </i>
    <i r="3">
      <x v="184"/>
    </i>
    <i r="4">
      <x/>
    </i>
    <i r="2">
      <x v="150"/>
    </i>
    <i r="3">
      <x v="173"/>
    </i>
    <i r="4">
      <x/>
    </i>
    <i r="2">
      <x v="151"/>
    </i>
    <i r="3">
      <x v="195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1">
      <x v="4"/>
    </i>
    <i r="2">
      <x v="41"/>
    </i>
    <i r="3">
      <x v="122"/>
    </i>
    <i r="4">
      <x v="104"/>
    </i>
    <i r="3">
      <x v="142"/>
    </i>
    <i r="4">
      <x v="80"/>
    </i>
    <i r="3">
      <x v="150"/>
    </i>
    <i r="4">
      <x v="87"/>
    </i>
    <i r="2">
      <x v="50"/>
    </i>
    <i r="3">
      <x v="152"/>
    </i>
    <i r="4">
      <x v="58"/>
    </i>
    <i r="2">
      <x v="51"/>
    </i>
    <i r="3">
      <x v="119"/>
    </i>
    <i r="4">
      <x v="101"/>
    </i>
    <i r="2">
      <x v="52"/>
    </i>
    <i r="3">
      <x v="133"/>
    </i>
    <i r="4">
      <x v="71"/>
    </i>
    <i r="2">
      <x v="139"/>
    </i>
    <i r="3">
      <x v="198"/>
    </i>
    <i r="4">
      <x/>
    </i>
    <i r="2">
      <x v="152"/>
    </i>
    <i r="3">
      <x v="208"/>
    </i>
    <i r="4">
      <x/>
    </i>
    <i r="2">
      <x v="153"/>
    </i>
    <i r="3">
      <x v="185"/>
    </i>
    <i r="4">
      <x/>
    </i>
    <i r="2">
      <x v="154"/>
    </i>
    <i r="3">
      <x v="163"/>
    </i>
    <i r="4">
      <x/>
    </i>
    <i r="2">
      <x v="155"/>
    </i>
    <i r="3">
      <x v="196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1">
      <x v="5"/>
    </i>
    <i r="2">
      <x v="41"/>
    </i>
    <i r="3">
      <x v="142"/>
    </i>
    <i r="4">
      <x v="80"/>
    </i>
    <i r="3">
      <x v="150"/>
    </i>
    <i r="4">
      <x v="87"/>
    </i>
    <i r="2">
      <x v="53"/>
    </i>
    <i r="3">
      <x v="153"/>
    </i>
    <i r="4">
      <x v="59"/>
    </i>
    <i r="2">
      <x v="54"/>
    </i>
    <i r="3">
      <x v="120"/>
    </i>
    <i r="4">
      <x v="102"/>
    </i>
    <i r="2">
      <x v="55"/>
    </i>
    <i r="3">
      <x v="134"/>
    </i>
    <i r="4">
      <x v="72"/>
    </i>
    <i r="2">
      <x v="56"/>
    </i>
    <i r="3">
      <x v="125"/>
    </i>
    <i r="4">
      <x v="107"/>
    </i>
    <i r="2">
      <x v="156"/>
    </i>
    <i r="3">
      <x v="210"/>
    </i>
    <i r="4">
      <x/>
    </i>
    <i r="2">
      <x v="157"/>
    </i>
    <i r="3">
      <x v="174"/>
    </i>
    <i r="4">
      <x/>
    </i>
    <i r="2">
      <x v="158"/>
    </i>
    <i r="3">
      <x v="164"/>
    </i>
    <i r="4">
      <x/>
    </i>
    <i r="2">
      <x v="159"/>
    </i>
    <i r="3">
      <x v="199"/>
    </i>
    <i r="4">
      <x/>
    </i>
    <i r="2">
      <x v="160"/>
    </i>
    <i r="3">
      <x v="197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6"/>
    </i>
    <i r="2">
      <x v="41"/>
    </i>
    <i r="3">
      <x v="142"/>
    </i>
    <i r="4">
      <x v="80"/>
    </i>
    <i r="3">
      <x v="150"/>
    </i>
    <i r="4">
      <x v="87"/>
    </i>
    <i r="2">
      <x v="56"/>
    </i>
    <i r="3">
      <x v="125"/>
    </i>
    <i r="4">
      <x v="107"/>
    </i>
    <i r="2">
      <x v="57"/>
    </i>
    <i r="3">
      <x v="155"/>
    </i>
    <i r="4">
      <x v="60"/>
    </i>
    <i r="2">
      <x v="58"/>
    </i>
    <i r="3">
      <x v="110"/>
    </i>
    <i r="4">
      <x v="92"/>
    </i>
    <i r="2">
      <x v="59"/>
    </i>
    <i r="3">
      <x v="135"/>
    </i>
    <i r="4">
      <x v="73"/>
    </i>
    <i r="2">
      <x v="161"/>
    </i>
    <i r="3">
      <x v="211"/>
    </i>
    <i r="4">
      <x/>
    </i>
    <i r="2">
      <x v="162"/>
    </i>
    <i r="3">
      <x v="175"/>
    </i>
    <i r="4">
      <x/>
    </i>
    <i r="2">
      <x v="163"/>
    </i>
    <i r="3">
      <x v="165"/>
    </i>
    <i r="4">
      <x/>
    </i>
    <i r="2">
      <x v="164"/>
    </i>
    <i r="3">
      <x v="200"/>
    </i>
    <i r="4">
      <x/>
    </i>
    <i r="2">
      <x v="165"/>
    </i>
    <i r="3">
      <x v="186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7"/>
    </i>
    <i r="2">
      <x v="41"/>
    </i>
    <i r="3">
      <x v="142"/>
    </i>
    <i r="4">
      <x v="80"/>
    </i>
    <i r="3">
      <x v="150"/>
    </i>
    <i r="4">
      <x v="87"/>
    </i>
    <i r="2">
      <x v="56"/>
    </i>
    <i r="3">
      <x v="125"/>
    </i>
    <i r="4">
      <x v="107"/>
    </i>
    <i r="2">
      <x v="60"/>
    </i>
    <i r="3">
      <x v="156"/>
    </i>
    <i r="4">
      <x v="61"/>
    </i>
    <i r="2">
      <x v="61"/>
    </i>
    <i r="3">
      <x v="111"/>
    </i>
    <i r="4">
      <x v="93"/>
    </i>
    <i r="2">
      <x v="62"/>
    </i>
    <i r="3">
      <x v="136"/>
    </i>
    <i r="4">
      <x v="74"/>
    </i>
    <i r="2">
      <x v="166"/>
    </i>
    <i r="3">
      <x v="212"/>
    </i>
    <i r="4">
      <x/>
    </i>
    <i r="2">
      <x v="167"/>
    </i>
    <i r="3">
      <x v="176"/>
    </i>
    <i r="4">
      <x/>
    </i>
    <i r="2">
      <x v="168"/>
    </i>
    <i r="3">
      <x v="166"/>
    </i>
    <i r="4">
      <x/>
    </i>
    <i r="2">
      <x v="169"/>
    </i>
    <i r="3">
      <x v="201"/>
    </i>
    <i r="4">
      <x/>
    </i>
    <i r="2">
      <x v="170"/>
    </i>
    <i r="3">
      <x v="187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8"/>
    </i>
    <i r="2">
      <x v="41"/>
    </i>
    <i r="3">
      <x v="142"/>
    </i>
    <i r="4">
      <x v="80"/>
    </i>
    <i r="3">
      <x v="150"/>
    </i>
    <i r="4">
      <x v="87"/>
    </i>
    <i r="2">
      <x v="63"/>
    </i>
    <i r="3">
      <x v="157"/>
    </i>
    <i r="4">
      <x v="62"/>
    </i>
    <i r="2">
      <x v="64"/>
    </i>
    <i r="3">
      <x v="112"/>
    </i>
    <i r="4">
      <x v="94"/>
    </i>
    <i r="2">
      <x v="65"/>
    </i>
    <i r="3">
      <x v="137"/>
    </i>
    <i r="4">
      <x v="75"/>
    </i>
    <i r="2">
      <x v="66"/>
    </i>
    <i r="3">
      <x v="126"/>
    </i>
    <i r="4">
      <x v="108"/>
    </i>
    <i r="2">
      <x v="171"/>
    </i>
    <i r="3">
      <x v="207"/>
    </i>
    <i r="4">
      <x/>
    </i>
    <i r="2">
      <x v="172"/>
    </i>
    <i r="3">
      <x v="177"/>
    </i>
    <i r="4">
      <x/>
    </i>
    <i r="2">
      <x v="173"/>
    </i>
    <i r="3">
      <x v="167"/>
    </i>
    <i r="4">
      <x/>
    </i>
    <i r="2">
      <x v="174"/>
    </i>
    <i r="3">
      <x v="202"/>
    </i>
    <i r="4">
      <x/>
    </i>
    <i r="2">
      <x v="175"/>
    </i>
    <i r="3">
      <x v="188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9"/>
    </i>
    <i r="2">
      <x v="41"/>
    </i>
    <i r="3">
      <x v="142"/>
    </i>
    <i r="4">
      <x v="80"/>
    </i>
    <i r="3">
      <x v="150"/>
    </i>
    <i r="4">
      <x v="87"/>
    </i>
    <i r="2">
      <x v="66"/>
    </i>
    <i r="3">
      <x v="126"/>
    </i>
    <i r="4">
      <x v="108"/>
    </i>
    <i r="2">
      <x v="67"/>
    </i>
    <i r="3">
      <x v="159"/>
    </i>
    <i r="4">
      <x v="64"/>
    </i>
    <i r="2">
      <x v="68"/>
    </i>
    <i r="3">
      <x v="114"/>
    </i>
    <i r="4">
      <x v="96"/>
    </i>
    <i r="2">
      <x v="69"/>
    </i>
    <i r="3">
      <x v="139"/>
    </i>
    <i r="4">
      <x v="77"/>
    </i>
    <i r="2">
      <x v="176"/>
    </i>
    <i r="3">
      <x v="209"/>
    </i>
    <i r="4">
      <x/>
    </i>
    <i r="2">
      <x v="177"/>
    </i>
    <i r="3">
      <x v="179"/>
    </i>
    <i r="4">
      <x/>
    </i>
    <i r="2">
      <x v="178"/>
    </i>
    <i r="3">
      <x v="169"/>
    </i>
    <i r="4">
      <x/>
    </i>
    <i r="2">
      <x v="179"/>
    </i>
    <i r="3">
      <x v="203"/>
    </i>
    <i r="4">
      <x/>
    </i>
    <i r="2">
      <x v="180"/>
    </i>
    <i r="3">
      <x v="189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10"/>
    </i>
    <i r="2">
      <x v="41"/>
    </i>
    <i r="3">
      <x v="142"/>
    </i>
    <i r="4">
      <x v="80"/>
    </i>
    <i r="3">
      <x v="150"/>
    </i>
    <i r="4">
      <x v="87"/>
    </i>
    <i r="2">
      <x v="66"/>
    </i>
    <i r="3">
      <x v="126"/>
    </i>
    <i r="4">
      <x v="108"/>
    </i>
    <i r="2">
      <x v="70"/>
    </i>
    <i r="3">
      <x v="160"/>
    </i>
    <i r="4">
      <x v="65"/>
    </i>
    <i r="2">
      <x v="71"/>
    </i>
    <i r="3">
      <x v="115"/>
    </i>
    <i r="4">
      <x v="97"/>
    </i>
    <i r="2">
      <x v="72"/>
    </i>
    <i r="3">
      <x v="140"/>
    </i>
    <i r="4">
      <x v="78"/>
    </i>
    <i r="2">
      <x v="178"/>
    </i>
    <i r="3">
      <x v="169"/>
    </i>
    <i r="4">
      <x/>
    </i>
    <i r="2">
      <x v="181"/>
    </i>
    <i r="3">
      <x v="213"/>
    </i>
    <i r="4">
      <x/>
    </i>
    <i r="2">
      <x v="182"/>
    </i>
    <i r="3">
      <x v="180"/>
    </i>
    <i r="4">
      <x/>
    </i>
    <i r="2">
      <x v="183"/>
    </i>
    <i r="3">
      <x v="204"/>
    </i>
    <i r="4">
      <x/>
    </i>
    <i r="2">
      <x v="184"/>
    </i>
    <i r="3">
      <x v="190"/>
    </i>
    <i r="4">
      <x/>
    </i>
    <i r="2">
      <x v="198"/>
    </i>
    <i r="3">
      <x v="128"/>
    </i>
    <i r="4">
      <x v="85"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1">
      <x v="11"/>
    </i>
    <i r="2">
      <x v="73"/>
    </i>
    <i r="3">
      <x v="162"/>
    </i>
    <i r="4">
      <x v="67"/>
    </i>
    <i r="2">
      <x v="74"/>
    </i>
    <i r="3">
      <x v="117"/>
    </i>
    <i r="4">
      <x v="99"/>
    </i>
    <i r="2">
      <x v="75"/>
    </i>
    <i r="3">
      <x v="146"/>
    </i>
    <i r="4">
      <x v="111"/>
    </i>
    <i r="2">
      <x v="76"/>
    </i>
    <i r="3">
      <x v="143"/>
    </i>
    <i r="4">
      <x v="81"/>
    </i>
    <i r="2">
      <x v="77"/>
    </i>
    <i r="3">
      <x v="154"/>
    </i>
    <i r="4">
      <x v="88"/>
    </i>
    <i r="2">
      <x v="78"/>
    </i>
    <i r="3">
      <x v="107"/>
    </i>
    <i r="4">
      <x v="110"/>
    </i>
    <i r="2">
      <x v="79"/>
    </i>
    <i r="3">
      <x v="141"/>
    </i>
    <i r="4">
      <x v="79"/>
    </i>
    <i r="2">
      <x v="80"/>
    </i>
    <i r="3">
      <x v="127"/>
    </i>
    <i r="4">
      <x v="109"/>
    </i>
    <i r="2">
      <x v="81"/>
    </i>
    <i r="3">
      <x v="147"/>
    </i>
    <i r="4">
      <x v="82"/>
    </i>
    <i r="2">
      <x v="183"/>
    </i>
    <i r="3">
      <x v="204"/>
    </i>
    <i r="4">
      <x/>
    </i>
    <i r="2">
      <x v="185"/>
    </i>
    <i r="3">
      <x v="206"/>
    </i>
    <i r="4">
      <x/>
    </i>
    <i r="2">
      <x v="186"/>
    </i>
    <i r="3">
      <x v="181"/>
    </i>
    <i r="4">
      <x/>
    </i>
    <i r="2">
      <x v="187"/>
    </i>
    <i r="3">
      <x v="170"/>
    </i>
    <i r="4">
      <x/>
    </i>
    <i r="2">
      <x v="188"/>
    </i>
    <i r="3">
      <x v="191"/>
    </i>
    <i r="4">
      <x/>
    </i>
    <i r="2">
      <x v="200"/>
    </i>
    <i r="3">
      <x v="158"/>
    </i>
    <i r="4">
      <x v="63"/>
    </i>
    <i r="2">
      <x v="201"/>
    </i>
    <i r="3">
      <x v="145"/>
    </i>
    <i r="4">
      <x v="83"/>
    </i>
    <i r="2">
      <x v="202"/>
    </i>
    <i r="3">
      <x v="113"/>
    </i>
    <i r="4">
      <x v="95"/>
    </i>
    <i r="2">
      <x v="204"/>
    </i>
    <i r="3">
      <x v="124"/>
    </i>
    <i r="4">
      <x v="106"/>
    </i>
    <i r="2">
      <x v="205"/>
    </i>
    <i r="3">
      <x v="144"/>
    </i>
    <i r="4">
      <x v="89"/>
    </i>
    <i r="2">
      <x v="206"/>
    </i>
    <i r="3">
      <x v="129"/>
    </i>
    <i r="4">
      <x v="8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BA46D3-C403-43D6-86F9-09FCCD49BFFA}" name="Tabela2" displayName="Tabela2" ref="Z4:Z6" totalsRowShown="0" headerRowDxfId="35" dataDxfId="34" headerRowCellStyle="Normal_Lalur Schmidt  2006" dataCellStyle="Normal_Lalur Schmidt  2006">
  <autoFilter ref="Z4:Z6" xr:uid="{58711072-E920-4374-80C5-10B328B5DB8C}"/>
  <tableColumns count="1">
    <tableColumn id="1" xr3:uid="{7D22DFAD-A8F9-4B28-95F8-163EE7C9E951}" name="TIPO APURAÇÃO" dataDxfId="33" dataCellStyle="Normal_Lalur Schmidt  2006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CAFFEA-B31B-450A-8B19-CBFF12B533ED}" name="Tabela4" displayName="Tabela4" ref="AD4:AD8" totalsRowShown="0" headerRowDxfId="32" dataDxfId="31" headerRowCellStyle="Normal_Lalur Schmidt  2006" dataCellStyle="Normal_Lalur Schmidt  2006">
  <autoFilter ref="AD4:AD8" xr:uid="{9F1E1F2D-6E35-41E3-9263-5D897031F895}"/>
  <tableColumns count="1">
    <tableColumn id="1" xr3:uid="{FD76AD21-0875-471F-8218-8C01196549FF}" name="AD/EX" dataDxfId="30" dataCellStyle="Normal_Lalur Schmidt  200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E3319E-6B9F-4BF8-9C56-66289CEA8660}" name="Tabela5" displayName="Tabela5" ref="A1:U84" totalsRowShown="0" headerRowDxfId="29" dataDxfId="28" headerRowCellStyle="Normal_Lalur Schmidt  2006" dataCellStyle="Vírgula 2">
  <autoFilter ref="A1:U84" xr:uid="{8D2FC5CF-08C7-46A7-A8C1-E78FCF07DD4B}"/>
  <tableColumns count="21">
    <tableColumn id="1" xr3:uid="{DFC5D748-66A5-47EE-823D-E098695AD43E}" name="TIPO APURAÇÃO" dataDxfId="27" dataCellStyle="Normal_Lalur Schmidt  2006"/>
    <tableColumn id="2" xr3:uid="{FA188A0D-B054-4377-8C37-5B321E9C2232}" name="TIPO RELACIONAMENTO" dataDxfId="26" dataCellStyle="Normal_Lalur Schmidt  2006"/>
    <tableColumn id="3" xr3:uid="{8EA8F3F8-0B59-4352-95F4-F3F85281B5E5}" name="CÓDIGO" dataDxfId="25" dataCellStyle="Normal_Lalur Schmidt  2006"/>
    <tableColumn id="4" xr3:uid="{09458771-CF7E-4F13-8874-BCCDA201E664}" name="AD/EX" dataDxfId="24" dataCellStyle="Normal_Lalur Schmidt  2006"/>
    <tableColumn id="21" xr3:uid="{A088936B-125C-45D0-8D4D-1C1E9B7F49E7}" name="HISTÓRICO" dataDxfId="23" dataCellStyle="Normal_Lalur Schmidt  2006">
      <calculatedColumnFormula>IF(VLOOKUP(Tabela5[[#This Row],[CÓDIGO]],Tabela9[],2,FALSE)=0,"",VLOOKUP(Tabela5[[#This Row],[CÓDIGO]],Tabela9[],2,FALSE))</calculatedColumnFormula>
    </tableColumn>
    <tableColumn id="5" xr3:uid="{36D3FA93-9F23-46B7-8BB9-032A25900CA3}" name="CONTA" dataDxfId="22" dataCellStyle="Normal_Lalur Schmidt  2006"/>
    <tableColumn id="6" xr3:uid="{8AE00702-9548-4C48-A402-E3004F12078D}" name="DECRIÇÃO CONTA" dataDxfId="21" dataCellStyle="Normal_Lalur Schmidt  2006"/>
    <tableColumn id="7" xr3:uid="{99E639DB-7587-436B-8E4D-00A058C472DD}" name="CONTA PARTE B" dataDxfId="20" dataCellStyle="Normal_Lalur Schmidt  2006"/>
    <tableColumn id="8" xr3:uid="{A3279EC5-9DA1-4431-80F9-13199EC911C3}" name="DESCRIÇAO CONTA PARTE B" dataDxfId="19" dataCellStyle="Normal_Lalur Schmidt  2006"/>
    <tableColumn id="9" xr3:uid="{881D9C70-3A0A-48D0-A482-0FAE436F587B}" name="JANEIRO" dataDxfId="18" dataCellStyle="Vírgula 2"/>
    <tableColumn id="10" xr3:uid="{19BD2670-9670-4E88-A3F2-27C195C8BF7C}" name="FEVEREIRO" dataDxfId="17" dataCellStyle="Vírgula 2"/>
    <tableColumn id="11" xr3:uid="{84A62D61-A26B-430D-B9E7-09524A9AFD6B}" name="MARÇO" dataDxfId="16" dataCellStyle="Vírgula 2"/>
    <tableColumn id="12" xr3:uid="{9EB0DA88-CF51-41FE-9D89-1BA94A19A91F}" name="ABRIL" dataDxfId="15" dataCellStyle="Vírgula 2"/>
    <tableColumn id="13" xr3:uid="{643B4CE7-B23F-4C86-A9A4-C4DD149EB889}" name="MAIO" dataDxfId="14" dataCellStyle="Vírgula 2"/>
    <tableColumn id="14" xr3:uid="{E02283B6-80A4-4BC5-B663-73A76FD65306}" name="JUNHO" dataDxfId="13" dataCellStyle="Vírgula 2"/>
    <tableColumn id="15" xr3:uid="{1B7201F2-D9E2-4976-8A86-6C2E4EF2B55C}" name="JULHO" dataDxfId="12" dataCellStyle="Vírgula 2"/>
    <tableColumn id="16" xr3:uid="{5EABCAC5-2027-4C88-91E3-49AA7074D583}" name="AGOSTO" dataDxfId="11" dataCellStyle="Vírgula 2"/>
    <tableColumn id="17" xr3:uid="{87312106-BBEE-460E-91B5-C9B2A96DCE18}" name="SETEMBRO" dataDxfId="10" dataCellStyle="Vírgula 2"/>
    <tableColumn id="18" xr3:uid="{D6548699-4AE0-458C-BCCE-0C3B237202E6}" name="OUTUBRO" dataDxfId="9" dataCellStyle="Vírgula 2"/>
    <tableColumn id="19" xr3:uid="{470B0606-F897-422B-82BB-0F2677E2F2F2}" name="NOVEMBRO" dataDxfId="8" dataCellStyle="Vírgula 2"/>
    <tableColumn id="20" xr3:uid="{0BD64F96-4C02-4892-9A40-2F43DDEEEE05}" name="DEZEMBRO" dataDxfId="7" dataCellStyle="Vírgula 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BC3D51-6FD2-48D6-956C-BA62BC65D7A4}" name="Tabela7" displayName="Tabela7" ref="X4:X5" totalsRowShown="0" headerRowCellStyle="Normal_Lalur Schmidt  2006" dataCellStyle="Normal_Lalur Schmidt  2006">
  <autoFilter ref="X4:X5" xr:uid="{85B7F5AD-3CD2-4948-80D5-7F69437E453A}"/>
  <tableColumns count="1">
    <tableColumn id="1" xr3:uid="{DB440F33-CAFF-4ED2-AAB9-9919B1BB7631}" name="ANO" dataCellStyle="Normal_Lalur Schmidt  200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168D71-968F-4229-B12C-409E9B35185B}" name="Tabela3" displayName="Tabela3" ref="AB4:AB8" totalsRowShown="0" headerRowDxfId="6" dataDxfId="5" headerRowCellStyle="Normal_Lalur Schmidt  2006" dataCellStyle="Normal_Lalur Schmidt  2006">
  <autoFilter ref="AB4:AB8" xr:uid="{5DD9DF6C-8D0E-4833-91AD-1F629EA73CF9}"/>
  <tableColumns count="1">
    <tableColumn id="1" xr3:uid="{3D99844B-AA87-4836-A8AA-DC3134ED2874}" name="TIPO RELACIONAMENTO" dataDxfId="4" dataCellStyle="Normal_Lalur Schmidt  200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4C474E-6D5C-4A72-8523-94C942D6EEB1}" name="Tabela_BaseM" displayName="Tabela_BaseM" ref="A1:Q397" totalsRowShown="0">
  <autoFilter ref="A1:Q397" xr:uid="{CB4C474E-6D5C-4A72-8523-94C942D6EEB1}"/>
  <sortState xmlns:xlrd2="http://schemas.microsoft.com/office/spreadsheetml/2017/richdata2" ref="A2:Q397">
    <sortCondition descending="1" ref="A2:A397"/>
    <sortCondition ref="P2:P397"/>
    <sortCondition ref="C2:C397"/>
    <sortCondition ref="B2:B397"/>
    <sortCondition ref="G2:G397"/>
    <sortCondition ref="F2:F397"/>
    <sortCondition ref="D2:D397"/>
  </sortState>
  <tableColumns count="17">
    <tableColumn id="1" xr3:uid="{53ACB0E6-19FE-4578-A495-D705391F09EA}" name="TIPO APURAÇÃO"/>
    <tableColumn id="2" xr3:uid="{39380114-C058-4A62-A5EB-58B4E1B669E4}" name="TIPO RELACIONAMENTO"/>
    <tableColumn id="3" xr3:uid="{9A8B2DFE-7CD4-4117-8CA1-CB6D3A4532E0}" name="CÓDIGO"/>
    <tableColumn id="4" xr3:uid="{9B588D1F-A0FB-4BD2-8D63-D052EA055E22}" name="AD/EX"/>
    <tableColumn id="5" xr3:uid="{BB79A638-1947-49F5-82C7-5C71039D7923}" name="HISTÓRICO" dataDxfId="3"/>
    <tableColumn id="6" xr3:uid="{3703DCD9-DA77-43B8-A29D-577492A1B0A1}" name="CONTA"/>
    <tableColumn id="7" xr3:uid="{5C1836A4-2CF9-4122-8353-AE86FAABCD17}" name="DECRIÇÃO CONTA"/>
    <tableColumn id="8" xr3:uid="{8B235AEE-02BB-4296-8809-DB30C953B6B2}" name="CONTA PARTE B"/>
    <tableColumn id="9" xr3:uid="{B4D5F10C-5C15-47CD-B320-A3F5BA2FEF7A}" name="DESCRIÇAO CONTA PARTE B"/>
    <tableColumn id="10" xr3:uid="{7BE6942B-D51F-483C-8AC1-FADAF5CA5945}" name="Periodo" dataDxfId="2"/>
    <tableColumn id="11" xr3:uid="{102B8CEB-CD22-4808-B609-27D54C6C81D3}" name="Valor"/>
    <tableColumn id="12" xr3:uid="{64412159-9DB8-4DCB-B3C8-74FFFA8820EE}" name="tipo Registro 3CCTB">
      <calculatedColumnFormula>IF(A2="IRPJ",IF(LEFT(B2,1)="1","|M305|",IF(LEFT(B2,1)="2","|M310|",IF(AND(LEFT(B2,1)="3",Tabela_BaseM[[#This Row],[CONTA PARTE B]]&lt;&gt;""),"|M305|",IF(LEFT(B2,1)="4","|M312|","")))),      IF(LEFT(B2,1)="1","|M355|",IF(LEFT(B2,1)="2","|M360|",IF(AND(LEFT(B2,1)="3",Tabela_BaseM[[#This Row],[CONTA PARTE B]]&lt;&gt;""),"|M355|",IF(LEFT(B2,1)="4","|M362|","")))))</calculatedColumnFormula>
    </tableColumn>
    <tableColumn id="14" xr3:uid="{9DFBBBBD-FA83-46EC-9F57-EA7E0FAC4038}" name="tipo registro 3 PARTE B">
      <calculatedColumnFormula>IF(LEFT(Tabela_BaseM[[#This Row],[TIPO RELACIONAMENTO]],1)="3",(IF(A2="IRPJ",IF(LEFT(B2,1)="1","|M305|",IF(LEFT(B2,1)="2","|M310|",IF(LEFT(B2,1)="3","|M310|",IF(LEFT(B2,1)="4","|M312|","")))),IF(LEFT(B2,1)="1","|M355|",IF(LEFT(B2,1)="2","|M360|",IF(LEFT(B2,1)="3","|M360|",IF(LEFT(B2,1)="4","|M362|","")))))),"")</calculatedColumnFormula>
    </tableColumn>
    <tableColumn id="13" xr3:uid="{8991A095-EF41-4E55-861A-B13776D4E3E8}" name="M310-TP1-2|M305-TP3">
      <calculatedColumnFormula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calculatedColumnFormula>
    </tableColumn>
    <tableColumn id="15" xr3:uid="{6D5384E5-872B-477E-956A-C50048935E5B}" name="M310-M360-TP3">
      <calculatedColumnFormula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calculatedColumnFormula>
    </tableColumn>
    <tableColumn id="16" xr3:uid="{1A7014FA-3D7D-4B14-8B3B-F008EC2C2674}" name="M030">
      <calculatedColumnFormula>("|M030|"&amp;TEXT(DATE(YEAR(Tabela_BaseM[[#This Row],[Periodo]]), MONTH(Tabela_BaseM[[#This Row],[Periodo]]), 1), "ddmmaaaa")&amp;"|"&amp;TEXT(EOMONTH(Tabela_BaseM[[#This Row],[Periodo]], 0), "ddmmaaaa")&amp;"|A"&amp;TEXT(Tabela_BaseM[[#This Row],[Periodo]],"MM")&amp;"|")</calculatedColumnFormula>
    </tableColumn>
    <tableColumn id="17" xr3:uid="{76F3F15B-2D62-45DA-865A-658CE0EC9DE6}" name="M300">
      <calculatedColumnFormula>IF(A2="IRPJ",("|M300|"&amp;LEFT(C2,FIND("-",C2)-1)&amp;"|"&amp;RIGHT(C2,LEN(C2)-FIND("-",C2))&amp;"|"&amp;LEFT(D2,1)&amp;"|"&amp;LEFT(B2,1)&amp;"|"&amp;Tabela_BaseM[[#This Row],[Valor]]&amp;"|"&amp;Tabela_BaseM[[#This Row],[HISTÓRICO]]&amp;"|"),("|M350|"&amp;LEFT(C2,FIND("-",C2)-1)&amp;"|"&amp;RIGHT(C2,LEN(C2)-FIND("-",C2))&amp;"|"&amp;LEFT(D2,1)&amp;"|"&amp;LEFT(B2,1)&amp;"|"&amp;Tabela_BaseM[[#This Row],[Valor]]&amp;"|"&amp;Tabela_BaseM[[#This Row],[HISTÓRICO]]&amp;"|"))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4C482CA-3414-4E7E-9207-3F61EB18F04A}" name="Tabela13" displayName="Tabela13" ref="A1:D2" totalsRowShown="0">
  <autoFilter ref="A1:D2" xr:uid="{D4C482CA-3414-4E7E-9207-3F61EB18F04A}"/>
  <tableColumns count="4">
    <tableColumn id="1" xr3:uid="{C92704EE-9C96-449C-9E9D-3FA763A24846}" name="PERÍODO" dataDxfId="1"/>
    <tableColumn id="2" xr3:uid="{2972EB2B-42B7-4C37-BD4A-37EEFF946EF7}" name="CÓDIGO"/>
    <tableColumn id="3" xr3:uid="{AC7BC2A0-F90D-431B-B941-2DCCC189D776}" name="CONTA"/>
    <tableColumn id="4" xr3:uid="{FE8C5B89-2D0A-40A3-92D3-88EAE615E8E3}" name="NUM LANCTO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B3A0FDD-2BD5-4863-B99C-22E5A66B87CD}" name="Tabela9" displayName="Tabela9" ref="A1:B4953" totalsRowShown="0">
  <autoFilter ref="A1:B4953" xr:uid="{FB3A0FDD-2BD5-4863-B99C-22E5A66B87CD}"/>
  <tableColumns count="2">
    <tableColumn id="1" xr3:uid="{F7D23AAF-2272-42AB-931D-3D765A542DFA}" name="Código-Concat"/>
    <tableColumn id="2" xr3:uid="{BEDA4C85-BDBE-48ED-9B3F-F94EA2C1AC8E}" name="Histórico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930D1-A267-4917-BF23-2B8F00E9F652}">
  <sheetPr codeName="Planilha3">
    <tabColor rgb="FFFF0000"/>
    <pageSetUpPr fitToPage="1"/>
  </sheetPr>
  <dimension ref="A1:AD84"/>
  <sheetViews>
    <sheetView showGridLines="0" topLeftCell="D1" zoomScale="80" zoomScaleNormal="80" workbookViewId="0">
      <selection sqref="A1:I1"/>
    </sheetView>
  </sheetViews>
  <sheetFormatPr defaultColWidth="9.140625" defaultRowHeight="12.75" x14ac:dyDescent="0.25"/>
  <cols>
    <col min="1" max="1" width="18.85546875" style="16" bestFit="1" customWidth="1"/>
    <col min="2" max="2" width="30" style="16" bestFit="1" customWidth="1"/>
    <col min="3" max="3" width="65.5703125" style="16" bestFit="1" customWidth="1"/>
    <col min="4" max="4" width="13.140625" style="16" bestFit="1" customWidth="1"/>
    <col min="5" max="5" width="37.140625" style="16" bestFit="1" customWidth="1"/>
    <col min="6" max="6" width="10.85546875" style="16" bestFit="1" customWidth="1"/>
    <col min="7" max="7" width="57.85546875" style="16" customWidth="1"/>
    <col min="8" max="8" width="18.42578125" style="16" bestFit="1" customWidth="1"/>
    <col min="9" max="9" width="56.28515625" style="16" bestFit="1" customWidth="1"/>
    <col min="10" max="10" width="13.5703125" style="2" customWidth="1"/>
    <col min="11" max="11" width="14.7109375" style="3" bestFit="1" customWidth="1"/>
    <col min="12" max="12" width="13.7109375" style="3" bestFit="1" customWidth="1"/>
    <col min="13" max="13" width="14.140625" style="3" bestFit="1" customWidth="1"/>
    <col min="14" max="14" width="12.140625" style="3" bestFit="1" customWidth="1"/>
    <col min="15" max="16" width="13.140625" style="3" bestFit="1" customWidth="1"/>
    <col min="17" max="17" width="13.140625" style="1" bestFit="1" customWidth="1"/>
    <col min="18" max="18" width="13.85546875" style="1" bestFit="1" customWidth="1"/>
    <col min="19" max="19" width="12.7109375" style="1" bestFit="1" customWidth="1"/>
    <col min="20" max="20" width="14.28515625" style="1" bestFit="1" customWidth="1"/>
    <col min="21" max="21" width="13.85546875" style="1" bestFit="1" customWidth="1"/>
    <col min="22" max="22" width="2.28515625" style="1" customWidth="1"/>
    <col min="23" max="23" width="7.5703125" style="1" bestFit="1" customWidth="1"/>
    <col min="24" max="24" width="0" style="1" hidden="1" customWidth="1"/>
    <col min="25" max="25" width="3.7109375" style="1" hidden="1" customWidth="1"/>
    <col min="26" max="26" width="18.85546875" style="1" hidden="1" customWidth="1"/>
    <col min="27" max="27" width="4.28515625" style="1" hidden="1" customWidth="1"/>
    <col min="28" max="28" width="46.140625" style="1" hidden="1" customWidth="1"/>
    <col min="29" max="29" width="3.85546875" style="1" hidden="1" customWidth="1"/>
    <col min="30" max="30" width="17.85546875" style="1" hidden="1" customWidth="1"/>
    <col min="31" max="16384" width="9.140625" style="1"/>
  </cols>
  <sheetData>
    <row r="1" spans="1:30" x14ac:dyDescent="0.2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</row>
    <row r="2" spans="1:30" ht="12" customHeight="1" x14ac:dyDescent="0.2">
      <c r="A2" s="16" t="s">
        <v>21</v>
      </c>
      <c r="B2" s="16" t="s">
        <v>22</v>
      </c>
      <c r="C2" s="16" t="s">
        <v>44</v>
      </c>
      <c r="D2" s="16" t="s">
        <v>425</v>
      </c>
      <c r="E2" s="16" t="str">
        <f>IF(VLOOKUP(Tabela5[[#This Row],[CÓDIGO]],Tabela9[],2,FALSE)=0,"",VLOOKUP(Tabela5[[#This Row],[CÓDIGO]],Tabela9[],2,FALSE))</f>
        <v>Contribuicoes a associacoes no periodo</v>
      </c>
      <c r="F2" s="16" t="s">
        <v>1008</v>
      </c>
      <c r="G2" s="27" t="s">
        <v>1009</v>
      </c>
      <c r="H2" s="27"/>
      <c r="I2" s="27"/>
      <c r="J2" s="4">
        <v>1034.46</v>
      </c>
      <c r="K2" s="5">
        <v>894.04</v>
      </c>
      <c r="L2" s="5">
        <v>1277.0999999999999</v>
      </c>
      <c r="M2" s="5">
        <v>1596.8400000000006</v>
      </c>
      <c r="N2" s="5"/>
      <c r="O2" s="5"/>
      <c r="P2" s="5"/>
      <c r="Q2" s="5"/>
      <c r="R2" s="5"/>
      <c r="S2" s="5"/>
      <c r="T2" s="5"/>
      <c r="U2" s="5"/>
    </row>
    <row r="3" spans="1:30" x14ac:dyDescent="0.2">
      <c r="A3" s="16" t="s">
        <v>21</v>
      </c>
      <c r="B3" s="16" t="s">
        <v>22</v>
      </c>
      <c r="C3" s="16" t="s">
        <v>44</v>
      </c>
      <c r="D3" s="16" t="s">
        <v>425</v>
      </c>
      <c r="E3" s="16" t="str">
        <f>IF(VLOOKUP(Tabela5[[#This Row],[CÓDIGO]],Tabela9[],2,FALSE)=0,"",VLOOKUP(Tabela5[[#This Row],[CÓDIGO]],Tabela9[],2,FALSE))</f>
        <v>Contribuicoes a associacoes no periodo</v>
      </c>
      <c r="F3" s="16" t="s">
        <v>1010</v>
      </c>
      <c r="G3" s="27" t="s">
        <v>1011</v>
      </c>
      <c r="H3" s="27"/>
      <c r="I3" s="27"/>
      <c r="J3" s="4">
        <v>8751.07</v>
      </c>
      <c r="K3" s="5">
        <v>7814.0999999999985</v>
      </c>
      <c r="L3" s="5">
        <v>5763.2000000000044</v>
      </c>
      <c r="M3" s="5">
        <v>12233.399999999994</v>
      </c>
      <c r="N3" s="5"/>
      <c r="O3" s="5"/>
      <c r="P3" s="5"/>
      <c r="Q3" s="5"/>
      <c r="R3" s="5"/>
      <c r="S3" s="5"/>
      <c r="T3" s="5"/>
      <c r="U3" s="5"/>
    </row>
    <row r="4" spans="1:30" x14ac:dyDescent="0.2">
      <c r="A4" s="16" t="s">
        <v>21</v>
      </c>
      <c r="B4" s="16" t="s">
        <v>22</v>
      </c>
      <c r="C4" s="16" t="s">
        <v>23</v>
      </c>
      <c r="D4" s="16" t="s">
        <v>425</v>
      </c>
      <c r="E4" s="16" t="str">
        <f>IF(VLOOKUP(Tabela5[[#This Row],[CÓDIGO]],Tabela9[],2,FALSE)=0,"",VLOOKUP(Tabela5[[#This Row],[CÓDIGO]],Tabela9[],2,FALSE))</f>
        <v>Despesas nao dedutiveis no periodo</v>
      </c>
      <c r="F4" s="16" t="s">
        <v>1013</v>
      </c>
      <c r="G4" s="16" t="s">
        <v>24</v>
      </c>
      <c r="J4" s="4">
        <v>5544.08</v>
      </c>
      <c r="K4" s="5">
        <v>11288.65</v>
      </c>
      <c r="L4" s="5">
        <v>11952.380000000001</v>
      </c>
      <c r="M4" s="5">
        <v>14497.14</v>
      </c>
      <c r="N4" s="5"/>
      <c r="O4" s="5"/>
      <c r="P4" s="5"/>
      <c r="Q4" s="5"/>
      <c r="R4" s="5"/>
      <c r="S4" s="5"/>
      <c r="T4" s="5"/>
      <c r="U4" s="5"/>
      <c r="X4" s="1" t="s">
        <v>26</v>
      </c>
      <c r="Z4" s="1" t="s">
        <v>0</v>
      </c>
      <c r="AB4" s="1" t="s">
        <v>1</v>
      </c>
      <c r="AD4" s="1" t="s">
        <v>3</v>
      </c>
    </row>
    <row r="5" spans="1:30" x14ac:dyDescent="0.2">
      <c r="A5" s="16" t="s">
        <v>21</v>
      </c>
      <c r="B5" s="16" t="s">
        <v>22</v>
      </c>
      <c r="C5" s="16" t="s">
        <v>23</v>
      </c>
      <c r="D5" s="16" t="s">
        <v>425</v>
      </c>
      <c r="E5" s="16" t="str">
        <f>IF(VLOOKUP(Tabela5[[#This Row],[CÓDIGO]],Tabela9[],2,FALSE)=0,"",VLOOKUP(Tabela5[[#This Row],[CÓDIGO]],Tabela9[],2,FALSE))</f>
        <v>Despesas nao dedutiveis no periodo</v>
      </c>
      <c r="F5" s="25" t="s">
        <v>1190</v>
      </c>
      <c r="G5" s="27" t="s">
        <v>1014</v>
      </c>
      <c r="H5" s="27"/>
      <c r="I5" s="27"/>
      <c r="J5" s="4"/>
      <c r="K5" s="5">
        <v>411.71</v>
      </c>
      <c r="L5" s="5"/>
      <c r="M5" s="5"/>
      <c r="N5" s="5"/>
      <c r="O5" s="5"/>
      <c r="P5" s="5"/>
      <c r="Q5" s="5"/>
      <c r="R5" s="5"/>
      <c r="S5" s="5"/>
      <c r="T5" s="5"/>
      <c r="U5" s="5"/>
      <c r="X5" s="1">
        <v>2024</v>
      </c>
      <c r="Z5" s="1" t="s">
        <v>21</v>
      </c>
      <c r="AB5" s="1" t="s">
        <v>28</v>
      </c>
      <c r="AD5" s="1" t="s">
        <v>425</v>
      </c>
    </row>
    <row r="6" spans="1:30" x14ac:dyDescent="0.2">
      <c r="A6" s="16" t="s">
        <v>21</v>
      </c>
      <c r="B6" s="16" t="s">
        <v>22</v>
      </c>
      <c r="C6" s="16" t="s">
        <v>23</v>
      </c>
      <c r="D6" s="16" t="s">
        <v>425</v>
      </c>
      <c r="E6" s="16" t="str">
        <f>IF(VLOOKUP(Tabela5[[#This Row],[CÓDIGO]],Tabela9[],2,FALSE)=0,"",VLOOKUP(Tabela5[[#This Row],[CÓDIGO]],Tabela9[],2,FALSE))</f>
        <v>Despesas nao dedutiveis no periodo</v>
      </c>
      <c r="F6" s="18" t="s">
        <v>1189</v>
      </c>
      <c r="G6" s="27" t="s">
        <v>1015</v>
      </c>
      <c r="H6" s="27"/>
      <c r="I6" s="27"/>
      <c r="J6" s="6">
        <v>25070.600000000002</v>
      </c>
      <c r="K6" s="5">
        <v>76578.909999999989</v>
      </c>
      <c r="L6" s="5">
        <v>25721.760000000009</v>
      </c>
      <c r="M6" s="5">
        <v>172311.76</v>
      </c>
      <c r="N6" s="5"/>
      <c r="O6" s="5"/>
      <c r="P6" s="5"/>
      <c r="Q6" s="5"/>
      <c r="R6" s="5"/>
      <c r="S6" s="5"/>
      <c r="T6" s="5"/>
      <c r="U6" s="5"/>
      <c r="Z6" s="1" t="s">
        <v>29</v>
      </c>
      <c r="AB6" s="1" t="s">
        <v>22</v>
      </c>
      <c r="AD6" s="1" t="s">
        <v>426</v>
      </c>
    </row>
    <row r="7" spans="1:30" x14ac:dyDescent="0.2">
      <c r="A7" s="16" t="s">
        <v>21</v>
      </c>
      <c r="B7" s="16" t="s">
        <v>22</v>
      </c>
      <c r="C7" s="16" t="s">
        <v>25</v>
      </c>
      <c r="D7" s="16" t="s">
        <v>425</v>
      </c>
      <c r="E7" s="16" t="str">
        <f>IF(VLOOKUP(Tabela5[[#This Row],[CÓDIGO]],Tabela9[],2,FALSE)=0,"",VLOOKUP(Tabela5[[#This Row],[CÓDIGO]],Tabela9[],2,FALSE))</f>
        <v>Multas nao fiscais no periodo</v>
      </c>
      <c r="F7" s="16" t="s">
        <v>1016</v>
      </c>
      <c r="G7" s="16" t="s">
        <v>1017</v>
      </c>
      <c r="J7" s="6"/>
      <c r="K7" s="5"/>
      <c r="L7" s="5"/>
      <c r="M7" s="5">
        <v>208.26</v>
      </c>
      <c r="N7" s="5"/>
      <c r="O7" s="5"/>
      <c r="P7" s="5"/>
      <c r="Q7" s="5"/>
      <c r="R7" s="5"/>
      <c r="S7" s="5"/>
      <c r="T7" s="5"/>
      <c r="U7" s="5"/>
      <c r="AB7" s="1" t="s">
        <v>30</v>
      </c>
      <c r="AD7" s="1" t="s">
        <v>427</v>
      </c>
    </row>
    <row r="8" spans="1:30" x14ac:dyDescent="0.2">
      <c r="A8" s="16" t="s">
        <v>21</v>
      </c>
      <c r="B8" s="16" t="s">
        <v>22</v>
      </c>
      <c r="C8" s="16" t="s">
        <v>56</v>
      </c>
      <c r="D8" s="16" t="s">
        <v>425</v>
      </c>
      <c r="E8" s="16" t="str">
        <f>IF(VLOOKUP(Tabela5[[#This Row],[CÓDIGO]],Tabela9[],2,FALSE)=0,"",VLOOKUP(Tabela5[[#This Row],[CÓDIGO]],Tabela9[],2,FALSE))</f>
        <v>Multas por infracoes fiscais no periodo</v>
      </c>
      <c r="F8" s="16" t="s">
        <v>1018</v>
      </c>
      <c r="G8" s="27" t="s">
        <v>1019</v>
      </c>
      <c r="H8" s="28"/>
      <c r="I8" s="28"/>
      <c r="J8" s="6"/>
      <c r="K8" s="5"/>
      <c r="L8" s="5">
        <v>30067.75</v>
      </c>
      <c r="M8" s="5">
        <v>24906.569999999992</v>
      </c>
      <c r="N8" s="5"/>
      <c r="O8" s="5"/>
      <c r="P8" s="5"/>
      <c r="Q8" s="5"/>
      <c r="R8" s="5"/>
      <c r="S8" s="5"/>
      <c r="T8" s="5"/>
      <c r="U8" s="5"/>
      <c r="AB8" s="1" t="s">
        <v>429</v>
      </c>
      <c r="AD8" s="1" t="s">
        <v>428</v>
      </c>
    </row>
    <row r="9" spans="1:30" x14ac:dyDescent="0.2">
      <c r="A9" s="16" t="s">
        <v>21</v>
      </c>
      <c r="B9" s="16" t="s">
        <v>22</v>
      </c>
      <c r="C9" s="16" t="s">
        <v>56</v>
      </c>
      <c r="D9" s="16" t="s">
        <v>425</v>
      </c>
      <c r="E9" s="16" t="str">
        <f>IF(VLOOKUP(Tabela5[[#This Row],[CÓDIGO]],Tabela9[],2,FALSE)=0,"",VLOOKUP(Tabela5[[#This Row],[CÓDIGO]],Tabela9[],2,FALSE))</f>
        <v>Multas por infracoes fiscais no periodo</v>
      </c>
      <c r="F9" s="16" t="s">
        <v>1020</v>
      </c>
      <c r="G9" s="27" t="s">
        <v>1021</v>
      </c>
      <c r="H9" s="28"/>
      <c r="I9" s="28"/>
      <c r="J9" s="6"/>
      <c r="K9" s="5"/>
      <c r="L9" s="5">
        <v>59345.13</v>
      </c>
      <c r="M9" s="5">
        <v>987.47000000000116</v>
      </c>
      <c r="N9" s="5"/>
      <c r="O9" s="5"/>
      <c r="P9" s="5"/>
      <c r="Q9" s="5"/>
      <c r="R9" s="5"/>
      <c r="S9" s="5"/>
      <c r="T9" s="5"/>
      <c r="U9" s="5"/>
    </row>
    <row r="10" spans="1:30" x14ac:dyDescent="0.2">
      <c r="A10" s="16" t="s">
        <v>21</v>
      </c>
      <c r="B10" s="16" t="s">
        <v>22</v>
      </c>
      <c r="C10" s="16" t="s">
        <v>27</v>
      </c>
      <c r="D10" s="16" t="s">
        <v>425</v>
      </c>
      <c r="E10" s="16" t="str">
        <f>IF(VLOOKUP(Tabela5[[#This Row],[CÓDIGO]],Tabela9[],2,FALSE)=0,"",VLOOKUP(Tabela5[[#This Row],[CÓDIGO]],Tabela9[],2,FALSE))</f>
        <v>Remuneracoes a socios</v>
      </c>
      <c r="F10" s="16" t="s">
        <v>1023</v>
      </c>
      <c r="G10" s="27" t="s">
        <v>1024</v>
      </c>
      <c r="H10" s="27"/>
      <c r="I10" s="27"/>
      <c r="J10" s="6">
        <v>38449.72</v>
      </c>
      <c r="K10" s="5">
        <v>33137.730000000003</v>
      </c>
      <c r="L10" s="5">
        <v>32666.309999999998</v>
      </c>
      <c r="M10" s="5">
        <v>19594.369999999995</v>
      </c>
      <c r="N10" s="5"/>
      <c r="O10" s="5"/>
      <c r="P10" s="5"/>
      <c r="Q10" s="5"/>
      <c r="R10" s="5"/>
      <c r="S10" s="5"/>
      <c r="T10" s="5"/>
      <c r="U10" s="5"/>
    </row>
    <row r="11" spans="1:30" x14ac:dyDescent="0.2">
      <c r="A11" s="16" t="s">
        <v>21</v>
      </c>
      <c r="B11" s="16" t="s">
        <v>30</v>
      </c>
      <c r="C11" s="16" t="s">
        <v>31</v>
      </c>
      <c r="D11" s="16" t="s">
        <v>425</v>
      </c>
      <c r="E11" s="16" t="str">
        <f>IF(VLOOKUP(Tabela5[[#This Row],[CÓDIGO]],Tabela9[],2,FALSE)=0,"",VLOOKUP(Tabela5[[#This Row],[CÓDIGO]],Tabela9[],2,FALSE))</f>
        <v>Provisoes no período</v>
      </c>
      <c r="F11" s="16" t="s">
        <v>1025</v>
      </c>
      <c r="G11" s="27" t="s">
        <v>1026</v>
      </c>
      <c r="H11" s="27">
        <v>2130304</v>
      </c>
      <c r="I11" s="27"/>
      <c r="J11" s="6"/>
      <c r="K11" s="5"/>
      <c r="L11" s="5">
        <v>215057.86000000002</v>
      </c>
      <c r="M11" s="5">
        <v>6607.0100000000093</v>
      </c>
      <c r="N11" s="5"/>
      <c r="O11" s="5"/>
      <c r="P11" s="5"/>
      <c r="Q11" s="5"/>
      <c r="R11" s="5"/>
      <c r="S11" s="5"/>
      <c r="T11" s="5"/>
      <c r="U11" s="5"/>
    </row>
    <row r="12" spans="1:30" x14ac:dyDescent="0.2">
      <c r="A12" s="16" t="s">
        <v>21</v>
      </c>
      <c r="B12" s="16" t="s">
        <v>30</v>
      </c>
      <c r="C12" s="16" t="s">
        <v>32</v>
      </c>
      <c r="D12" s="16" t="s">
        <v>426</v>
      </c>
      <c r="E12" s="16" t="str">
        <f>IF(VLOOKUP(Tabela5[[#This Row],[CÓDIGO]],Tabela9[],2,FALSE)=0,"",VLOOKUP(Tabela5[[#This Row],[CÓDIGO]],Tabela9[],2,FALSE))</f>
        <v>Reversao de provisoes no periodo</v>
      </c>
      <c r="F12" s="18">
        <v>3211602</v>
      </c>
      <c r="G12" s="27" t="s">
        <v>1027</v>
      </c>
      <c r="H12" s="27">
        <v>21405</v>
      </c>
      <c r="I12" s="28"/>
      <c r="J12" s="6"/>
      <c r="K12" s="5"/>
      <c r="L12" s="5">
        <v>35000</v>
      </c>
      <c r="M12" s="5"/>
      <c r="N12" s="5"/>
      <c r="O12" s="5"/>
      <c r="P12" s="5"/>
      <c r="Q12" s="5"/>
      <c r="R12" s="5"/>
      <c r="S12" s="5"/>
      <c r="T12" s="5"/>
      <c r="U12" s="5"/>
    </row>
    <row r="13" spans="1:30" x14ac:dyDescent="0.2">
      <c r="A13" s="16" t="s">
        <v>21</v>
      </c>
      <c r="B13" s="16" t="s">
        <v>30</v>
      </c>
      <c r="C13" s="16" t="s">
        <v>32</v>
      </c>
      <c r="D13" s="16" t="s">
        <v>426</v>
      </c>
      <c r="E13" s="16" t="str">
        <f>IF(VLOOKUP(Tabela5[[#This Row],[CÓDIGO]],Tabela9[],2,FALSE)=0,"",VLOOKUP(Tabela5[[#This Row],[CÓDIGO]],Tabela9[],2,FALSE))</f>
        <v>Reversao de provisoes no periodo</v>
      </c>
      <c r="F13" s="18">
        <v>3150201</v>
      </c>
      <c r="G13" s="27" t="s">
        <v>1028</v>
      </c>
      <c r="H13" s="27">
        <v>2130308</v>
      </c>
      <c r="I13" s="28"/>
      <c r="J13" s="6"/>
      <c r="K13" s="5"/>
      <c r="L13" s="5">
        <v>44133.86</v>
      </c>
      <c r="M13" s="5"/>
      <c r="N13" s="5"/>
      <c r="O13" s="5"/>
      <c r="P13" s="5"/>
      <c r="Q13" s="5"/>
      <c r="R13" s="5"/>
      <c r="S13" s="5"/>
      <c r="T13" s="5"/>
      <c r="U13" s="5"/>
    </row>
    <row r="14" spans="1:30" x14ac:dyDescent="0.2">
      <c r="A14" s="16" t="s">
        <v>21</v>
      </c>
      <c r="B14" s="16" t="s">
        <v>30</v>
      </c>
      <c r="C14" s="16" t="s">
        <v>31</v>
      </c>
      <c r="D14" s="16" t="s">
        <v>425</v>
      </c>
      <c r="E14" s="16" t="str">
        <f>IF(VLOOKUP(Tabela5[[#This Row],[CÓDIGO]],Tabela9[],2,FALSE)=0,"",VLOOKUP(Tabela5[[#This Row],[CÓDIGO]],Tabela9[],2,FALSE))</f>
        <v>Provisoes no período</v>
      </c>
      <c r="F14" s="18">
        <v>3150201</v>
      </c>
      <c r="G14" s="27" t="s">
        <v>1028</v>
      </c>
      <c r="H14" s="27">
        <v>2130308</v>
      </c>
      <c r="I14" s="28"/>
      <c r="J14" s="6"/>
      <c r="K14" s="22">
        <v>36281.970000000008</v>
      </c>
      <c r="L14" s="5"/>
      <c r="M14" s="5">
        <v>29893.099999999991</v>
      </c>
      <c r="N14" s="5"/>
      <c r="O14" s="5"/>
      <c r="P14" s="5"/>
      <c r="Q14" s="5"/>
      <c r="R14" s="5"/>
      <c r="S14" s="5"/>
      <c r="T14" s="5"/>
      <c r="U14" s="5"/>
    </row>
    <row r="15" spans="1:30" x14ac:dyDescent="0.2">
      <c r="A15" s="16" t="s">
        <v>21</v>
      </c>
      <c r="B15" s="16" t="s">
        <v>22</v>
      </c>
      <c r="C15" s="16" t="s">
        <v>77</v>
      </c>
      <c r="D15" s="16" t="s">
        <v>425</v>
      </c>
      <c r="E15" s="16" t="str">
        <f>IF(VLOOKUP(Tabela5[[#This Row],[CÓDIGO]],Tabela9[],2,FALSE)=0,"",VLOOKUP(Tabela5[[#This Row],[CÓDIGO]],Tabela9[],2,FALSE))</f>
        <v>Juros sobre emprestimo matriz no periodo</v>
      </c>
      <c r="F15" s="16" t="s">
        <v>1029</v>
      </c>
      <c r="G15" s="27" t="s">
        <v>1030</v>
      </c>
      <c r="H15" s="28"/>
      <c r="I15" s="28"/>
      <c r="J15" s="6"/>
      <c r="K15" s="5"/>
      <c r="L15" s="5">
        <v>29227.42</v>
      </c>
      <c r="M15" s="5">
        <v>1906237.24</v>
      </c>
      <c r="N15" s="5"/>
      <c r="O15" s="5"/>
      <c r="P15" s="5"/>
      <c r="Q15" s="5"/>
      <c r="R15" s="5"/>
      <c r="S15" s="5"/>
      <c r="T15" s="5"/>
      <c r="U15" s="5"/>
    </row>
    <row r="16" spans="1:30" x14ac:dyDescent="0.2">
      <c r="A16" s="16" t="s">
        <v>21</v>
      </c>
      <c r="B16" s="16" t="s">
        <v>30</v>
      </c>
      <c r="C16" s="16" t="s">
        <v>291</v>
      </c>
      <c r="D16" s="16" t="s">
        <v>426</v>
      </c>
      <c r="E16" s="16" t="str">
        <f>IF(VLOOKUP(Tabela5[[#This Row],[CÓDIGO]],Tabela9[],2,FALSE)=0,"",VLOOKUP(Tabela5[[#This Row],[CÓDIGO]],Tabela9[],2,FALSE))</f>
        <v>Variacao cambial ativa nao realizada no periodo</v>
      </c>
      <c r="F16" s="16" t="s">
        <v>1032</v>
      </c>
      <c r="G16" s="27" t="s">
        <v>1040</v>
      </c>
      <c r="H16" s="28" t="s">
        <v>1044</v>
      </c>
      <c r="I16" s="28"/>
      <c r="J16" s="6">
        <v>66960.320000000007</v>
      </c>
      <c r="K16" s="5">
        <v>233165.86</v>
      </c>
      <c r="L16" s="5">
        <v>182016.94</v>
      </c>
      <c r="M16" s="5">
        <v>282477.92</v>
      </c>
      <c r="N16" s="5"/>
      <c r="O16" s="5"/>
      <c r="P16" s="5"/>
      <c r="Q16" s="5"/>
      <c r="R16" s="5"/>
      <c r="S16" s="5"/>
      <c r="T16" s="5"/>
      <c r="U16" s="5"/>
    </row>
    <row r="17" spans="1:24" x14ac:dyDescent="0.2">
      <c r="A17" s="16" t="s">
        <v>21</v>
      </c>
      <c r="B17" s="16" t="s">
        <v>30</v>
      </c>
      <c r="C17" s="16" t="s">
        <v>81</v>
      </c>
      <c r="D17" s="16" t="s">
        <v>425</v>
      </c>
      <c r="E17" s="16" t="str">
        <f>IF(VLOOKUP(Tabela5[[#This Row],[CÓDIGO]],Tabela9[],2,FALSE)=0,"",VLOOKUP(Tabela5[[#This Row],[CÓDIGO]],Tabela9[],2,FALSE))</f>
        <v>Variacao cambial nao realizada no periodo</v>
      </c>
      <c r="F17" s="16" t="s">
        <v>1033</v>
      </c>
      <c r="G17" s="27" t="s">
        <v>1004</v>
      </c>
      <c r="H17" s="28" t="s">
        <v>1044</v>
      </c>
      <c r="J17" s="7">
        <v>6337.68</v>
      </c>
      <c r="K17" s="8"/>
      <c r="L17" s="8"/>
      <c r="M17" s="8">
        <v>165508.32</v>
      </c>
      <c r="N17" s="8"/>
      <c r="O17" s="8"/>
      <c r="P17" s="8"/>
      <c r="Q17" s="8"/>
      <c r="R17" s="8"/>
      <c r="S17" s="8"/>
      <c r="T17" s="8"/>
      <c r="U17" s="5"/>
    </row>
    <row r="18" spans="1:24" x14ac:dyDescent="0.2">
      <c r="A18" s="16" t="s">
        <v>21</v>
      </c>
      <c r="B18" s="16" t="s">
        <v>30</v>
      </c>
      <c r="C18" s="16" t="s">
        <v>291</v>
      </c>
      <c r="D18" s="16" t="s">
        <v>426</v>
      </c>
      <c r="E18" s="16" t="str">
        <f>IF(VLOOKUP(Tabela5[[#This Row],[CÓDIGO]],Tabela9[],2,FALSE)=0,"",VLOOKUP(Tabela5[[#This Row],[CÓDIGO]],Tabela9[],2,FALSE))</f>
        <v>Variacao cambial ativa nao realizada no periodo</v>
      </c>
      <c r="F18" s="16" t="s">
        <v>1034</v>
      </c>
      <c r="G18" s="27" t="s">
        <v>1041</v>
      </c>
      <c r="H18" s="28" t="s">
        <v>1044</v>
      </c>
      <c r="I18" s="28"/>
      <c r="J18" s="7">
        <v>145458.56</v>
      </c>
      <c r="K18" s="8">
        <v>319655.44</v>
      </c>
      <c r="L18" s="8"/>
      <c r="M18" s="8"/>
      <c r="N18" s="8"/>
      <c r="O18" s="8"/>
      <c r="P18" s="8"/>
      <c r="Q18" s="8"/>
      <c r="R18" s="8"/>
      <c r="S18" s="8"/>
      <c r="T18" s="8"/>
      <c r="U18" s="5"/>
    </row>
    <row r="19" spans="1:24" x14ac:dyDescent="0.2">
      <c r="A19" s="16" t="s">
        <v>21</v>
      </c>
      <c r="B19" s="16" t="s">
        <v>30</v>
      </c>
      <c r="C19" s="16" t="s">
        <v>81</v>
      </c>
      <c r="D19" s="16" t="s">
        <v>425</v>
      </c>
      <c r="E19" s="16" t="str">
        <f>IF(VLOOKUP(Tabela5[[#This Row],[CÓDIGO]],Tabela9[],2,FALSE)=0,"",VLOOKUP(Tabela5[[#This Row],[CÓDIGO]],Tabela9[],2,FALSE))</f>
        <v>Variacao cambial nao realizada no periodo</v>
      </c>
      <c r="F19" s="16" t="s">
        <v>1035</v>
      </c>
      <c r="G19" s="27" t="s">
        <v>1042</v>
      </c>
      <c r="H19" s="28" t="s">
        <v>1044</v>
      </c>
      <c r="I19" s="28"/>
      <c r="J19" s="7">
        <v>107662.78</v>
      </c>
      <c r="K19" s="8">
        <v>131313.46</v>
      </c>
      <c r="L19" s="8">
        <v>912883.65</v>
      </c>
      <c r="M19" s="8">
        <v>986512.59</v>
      </c>
      <c r="N19" s="8"/>
      <c r="O19" s="8"/>
      <c r="P19" s="8"/>
      <c r="Q19" s="8"/>
      <c r="R19" s="8"/>
      <c r="S19" s="8"/>
      <c r="T19" s="8"/>
      <c r="U19" s="5"/>
    </row>
    <row r="20" spans="1:24" x14ac:dyDescent="0.2">
      <c r="A20" s="16" t="s">
        <v>21</v>
      </c>
      <c r="B20" s="16" t="s">
        <v>30</v>
      </c>
      <c r="C20" s="16" t="s">
        <v>81</v>
      </c>
      <c r="D20" s="16" t="s">
        <v>425</v>
      </c>
      <c r="E20" s="16" t="str">
        <f>IF(VLOOKUP(Tabela5[[#This Row],[CÓDIGO]],Tabela9[],2,FALSE)=0,"",VLOOKUP(Tabela5[[#This Row],[CÓDIGO]],Tabela9[],2,FALSE))</f>
        <v>Variacao cambial nao realizada no periodo</v>
      </c>
      <c r="F20" s="16" t="s">
        <v>1036</v>
      </c>
      <c r="G20" s="27" t="s">
        <v>1001</v>
      </c>
      <c r="H20" s="28" t="s">
        <v>1044</v>
      </c>
      <c r="I20" s="28"/>
      <c r="J20" s="7">
        <v>51599.750000000007</v>
      </c>
      <c r="K20" s="8">
        <v>215527.29</v>
      </c>
      <c r="L20" s="8"/>
      <c r="M20" s="8">
        <v>364786.58999999997</v>
      </c>
      <c r="N20" s="8"/>
      <c r="O20" s="8"/>
      <c r="P20" s="8"/>
      <c r="Q20" s="8"/>
      <c r="R20" s="8"/>
      <c r="S20" s="8"/>
      <c r="T20" s="8"/>
      <c r="U20" s="5"/>
    </row>
    <row r="21" spans="1:24" x14ac:dyDescent="0.2">
      <c r="A21" s="16" t="s">
        <v>21</v>
      </c>
      <c r="B21" s="16" t="s">
        <v>30</v>
      </c>
      <c r="C21" s="16" t="s">
        <v>81</v>
      </c>
      <c r="D21" s="16" t="s">
        <v>425</v>
      </c>
      <c r="E21" s="16" t="str">
        <f>IF(VLOOKUP(Tabela5[[#This Row],[CÓDIGO]],Tabela9[],2,FALSE)=0,"",VLOOKUP(Tabela5[[#This Row],[CÓDIGO]],Tabela9[],2,FALSE))</f>
        <v>Variacao cambial nao realizada no periodo</v>
      </c>
      <c r="F21" s="16" t="s">
        <v>1037</v>
      </c>
      <c r="G21" s="27" t="s">
        <v>1043</v>
      </c>
      <c r="H21" s="28" t="s">
        <v>1044</v>
      </c>
      <c r="I21" s="27"/>
      <c r="J21" s="7">
        <v>4068219.7</v>
      </c>
      <c r="K21" s="8">
        <v>14534717.199999999</v>
      </c>
      <c r="L21" s="8">
        <v>1735123.59</v>
      </c>
      <c r="M21" s="8">
        <v>26297603.77</v>
      </c>
      <c r="N21" s="8"/>
      <c r="O21" s="8"/>
      <c r="P21" s="8"/>
      <c r="Q21" s="8"/>
      <c r="R21" s="8"/>
      <c r="S21" s="8"/>
      <c r="T21" s="8"/>
      <c r="U21" s="5"/>
    </row>
    <row r="22" spans="1:24" x14ac:dyDescent="0.2">
      <c r="A22" s="16" t="s">
        <v>21</v>
      </c>
      <c r="B22" s="16" t="s">
        <v>30</v>
      </c>
      <c r="C22" s="16" t="s">
        <v>291</v>
      </c>
      <c r="D22" s="16" t="s">
        <v>426</v>
      </c>
      <c r="E22" s="16" t="str">
        <f>IF(VLOOKUP(Tabela5[[#This Row],[CÓDIGO]],Tabela9[],2,FALSE)=0,"",VLOOKUP(Tabela5[[#This Row],[CÓDIGO]],Tabela9[],2,FALSE))</f>
        <v>Variacao cambial ativa nao realizada no periodo</v>
      </c>
      <c r="F22" s="16" t="s">
        <v>1033</v>
      </c>
      <c r="G22" s="27" t="s">
        <v>1004</v>
      </c>
      <c r="H22" s="28" t="s">
        <v>1044</v>
      </c>
      <c r="I22" s="27"/>
      <c r="J22" s="7"/>
      <c r="K22" s="8">
        <v>51674.54</v>
      </c>
      <c r="L22" s="8">
        <v>142892.31</v>
      </c>
      <c r="M22" s="8"/>
      <c r="N22" s="8"/>
      <c r="O22" s="8"/>
      <c r="P22" s="8"/>
      <c r="Q22" s="8"/>
      <c r="R22" s="8"/>
      <c r="S22" s="8"/>
      <c r="T22" s="8"/>
      <c r="U22" s="5"/>
    </row>
    <row r="23" spans="1:24" x14ac:dyDescent="0.25">
      <c r="A23" s="16" t="s">
        <v>21</v>
      </c>
      <c r="B23" s="16" t="s">
        <v>30</v>
      </c>
      <c r="C23" s="16" t="s">
        <v>81</v>
      </c>
      <c r="D23" s="16" t="s">
        <v>425</v>
      </c>
      <c r="E23" s="16" t="str">
        <f>IF(VLOOKUP(Tabela5[[#This Row],[CÓDIGO]],Tabela9[],2,FALSE)=0,"",VLOOKUP(Tabela5[[#This Row],[CÓDIGO]],Tabela9[],2,FALSE))</f>
        <v>Variacao cambial nao realizada no periodo</v>
      </c>
      <c r="F23" s="16" t="s">
        <v>1045</v>
      </c>
      <c r="G23" s="16" t="s">
        <v>1046</v>
      </c>
      <c r="H23" s="28" t="s">
        <v>1044</v>
      </c>
      <c r="J23" s="4"/>
      <c r="K23" s="9">
        <v>52770.23</v>
      </c>
      <c r="L23" s="9">
        <v>131757.23000000001</v>
      </c>
      <c r="M23" s="9">
        <v>1025997.51</v>
      </c>
      <c r="N23" s="9"/>
      <c r="O23" s="9"/>
      <c r="P23" s="9"/>
      <c r="Q23" s="9"/>
      <c r="R23" s="9"/>
      <c r="S23" s="9"/>
      <c r="T23" s="9"/>
      <c r="U23" s="9"/>
    </row>
    <row r="24" spans="1:24" ht="15" x14ac:dyDescent="0.25">
      <c r="A24" s="16" t="s">
        <v>21</v>
      </c>
      <c r="B24" s="16" t="s">
        <v>30</v>
      </c>
      <c r="C24" s="16" t="s">
        <v>81</v>
      </c>
      <c r="D24" s="16" t="s">
        <v>425</v>
      </c>
      <c r="E24" s="16" t="str">
        <f>IF(VLOOKUP(Tabela5[[#This Row],[CÓDIGO]],Tabela9[],2,FALSE)=0,"",VLOOKUP(Tabela5[[#This Row],[CÓDIGO]],Tabela9[],2,FALSE))</f>
        <v>Variacao cambial nao realizada no periodo</v>
      </c>
      <c r="F24" s="26" t="s">
        <v>1047</v>
      </c>
      <c r="G24" s="16" t="s">
        <v>1048</v>
      </c>
      <c r="H24" s="28" t="s">
        <v>1044</v>
      </c>
      <c r="J24" s="4"/>
      <c r="K24" s="9">
        <v>288672.18</v>
      </c>
      <c r="L24" s="9">
        <v>2428.7800000000002</v>
      </c>
      <c r="M24" s="9"/>
      <c r="N24" s="9"/>
      <c r="O24" s="9"/>
      <c r="P24" s="9"/>
      <c r="Q24" s="9"/>
      <c r="R24" s="9"/>
      <c r="S24" s="9"/>
      <c r="T24" s="9"/>
      <c r="U24" s="9"/>
      <c r="V24" s="10"/>
      <c r="X24" s="10"/>
    </row>
    <row r="25" spans="1:24" ht="15" x14ac:dyDescent="0.25">
      <c r="A25" s="16" t="s">
        <v>21</v>
      </c>
      <c r="B25" s="16" t="s">
        <v>30</v>
      </c>
      <c r="C25" s="16" t="s">
        <v>81</v>
      </c>
      <c r="D25" s="16" t="s">
        <v>425</v>
      </c>
      <c r="E25" s="16" t="str">
        <f>IF(VLOOKUP(Tabela5[[#This Row],[CÓDIGO]],Tabela9[],2,FALSE)=0,"",VLOOKUP(Tabela5[[#This Row],[CÓDIGO]],Tabela9[],2,FALSE))</f>
        <v>Variacao cambial nao realizada no periodo</v>
      </c>
      <c r="F25" s="16" t="s">
        <v>1049</v>
      </c>
      <c r="G25" s="27" t="s">
        <v>1050</v>
      </c>
      <c r="H25" s="28" t="s">
        <v>1044</v>
      </c>
      <c r="I25" s="28"/>
      <c r="J25" s="4"/>
      <c r="K25" s="9">
        <v>146263.45000000001</v>
      </c>
      <c r="L25" s="9"/>
      <c r="M25" s="9"/>
      <c r="N25" s="9"/>
      <c r="O25" s="9"/>
      <c r="P25" s="9"/>
      <c r="Q25" s="9"/>
      <c r="R25" s="9"/>
      <c r="S25" s="9"/>
      <c r="T25" s="9"/>
      <c r="U25" s="9"/>
      <c r="V25" s="10"/>
      <c r="X25" s="10"/>
    </row>
    <row r="26" spans="1:24" ht="15" x14ac:dyDescent="0.25">
      <c r="A26" s="16" t="s">
        <v>21</v>
      </c>
      <c r="B26" s="16" t="s">
        <v>30</v>
      </c>
      <c r="C26" s="16" t="s">
        <v>291</v>
      </c>
      <c r="D26" s="16" t="s">
        <v>426</v>
      </c>
      <c r="E26" s="16" t="str">
        <f>IF(VLOOKUP(Tabela5[[#This Row],[CÓDIGO]],Tabela9[],2,FALSE)=0,"",VLOOKUP(Tabela5[[#This Row],[CÓDIGO]],Tabela9[],2,FALSE))</f>
        <v>Variacao cambial ativa nao realizada no periodo</v>
      </c>
      <c r="F26" s="16" t="s">
        <v>1051</v>
      </c>
      <c r="G26" s="16" t="s">
        <v>1052</v>
      </c>
      <c r="H26" s="28" t="s">
        <v>1044</v>
      </c>
      <c r="I26" s="28"/>
      <c r="J26" s="4"/>
      <c r="K26" s="9">
        <v>566219.86</v>
      </c>
      <c r="L26" s="9">
        <v>25923.599999999999</v>
      </c>
      <c r="M26" s="9">
        <v>352792.28</v>
      </c>
      <c r="N26" s="9"/>
      <c r="O26" s="9"/>
      <c r="P26" s="9"/>
      <c r="Q26" s="9"/>
      <c r="R26" s="9"/>
      <c r="S26" s="9"/>
      <c r="T26" s="9"/>
      <c r="U26" s="9"/>
      <c r="V26" s="10"/>
      <c r="X26" s="10"/>
    </row>
    <row r="27" spans="1:24" ht="15" x14ac:dyDescent="0.25">
      <c r="A27" s="16" t="s">
        <v>21</v>
      </c>
      <c r="B27" s="16" t="s">
        <v>30</v>
      </c>
      <c r="C27" s="16" t="s">
        <v>291</v>
      </c>
      <c r="D27" s="16" t="s">
        <v>426</v>
      </c>
      <c r="E27" s="16" t="str">
        <f>IF(VLOOKUP(Tabela5[[#This Row],[CÓDIGO]],Tabela9[],2,FALSE)=0,"",VLOOKUP(Tabela5[[#This Row],[CÓDIGO]],Tabela9[],2,FALSE))</f>
        <v>Variacao cambial ativa nao realizada no periodo</v>
      </c>
      <c r="F27" s="16" t="s">
        <v>1053</v>
      </c>
      <c r="G27" s="16" t="s">
        <v>1043</v>
      </c>
      <c r="H27" s="28" t="s">
        <v>1044</v>
      </c>
      <c r="I27" s="27"/>
      <c r="J27" s="4"/>
      <c r="K27" s="9"/>
      <c r="L27" s="9">
        <v>7529714.8700000001</v>
      </c>
      <c r="M27" s="9"/>
      <c r="N27" s="9"/>
      <c r="O27" s="9"/>
      <c r="P27" s="9"/>
      <c r="Q27" s="9"/>
      <c r="R27" s="9"/>
      <c r="S27" s="9"/>
      <c r="T27" s="9"/>
      <c r="U27" s="9"/>
      <c r="V27" s="10"/>
      <c r="X27" s="10"/>
    </row>
    <row r="28" spans="1:24" x14ac:dyDescent="0.25">
      <c r="A28" s="16" t="s">
        <v>21</v>
      </c>
      <c r="B28" s="16" t="s">
        <v>30</v>
      </c>
      <c r="C28" s="16" t="s">
        <v>291</v>
      </c>
      <c r="D28" s="16" t="s">
        <v>426</v>
      </c>
      <c r="E28" s="16" t="str">
        <f>IF(VLOOKUP(Tabela5[[#This Row],[CÓDIGO]],Tabela9[],2,FALSE)=0,"",VLOOKUP(Tabela5[[#This Row],[CÓDIGO]],Tabela9[],2,FALSE))</f>
        <v>Variacao cambial ativa nao realizada no periodo</v>
      </c>
      <c r="F28" s="16" t="s">
        <v>1036</v>
      </c>
      <c r="G28" s="27" t="s">
        <v>1001</v>
      </c>
      <c r="H28" s="28" t="s">
        <v>1044</v>
      </c>
      <c r="I28" s="27"/>
      <c r="J28" s="4"/>
      <c r="K28" s="9"/>
      <c r="L28" s="9">
        <v>780591.94</v>
      </c>
      <c r="M28" s="9"/>
      <c r="N28" s="9"/>
      <c r="O28" s="9"/>
      <c r="P28" s="9"/>
      <c r="Q28" s="9"/>
      <c r="R28" s="9"/>
      <c r="S28" s="9"/>
      <c r="T28" s="9"/>
      <c r="U28" s="9"/>
    </row>
    <row r="29" spans="1:24" x14ac:dyDescent="0.25">
      <c r="A29" s="16" t="s">
        <v>21</v>
      </c>
      <c r="B29" s="16" t="s">
        <v>30</v>
      </c>
      <c r="C29" s="16" t="s">
        <v>291</v>
      </c>
      <c r="D29" s="16" t="s">
        <v>426</v>
      </c>
      <c r="E29" s="16" t="str">
        <f>IF(VLOOKUP(Tabela5[[#This Row],[CÓDIGO]],Tabela9[],2,FALSE)=0,"",VLOOKUP(Tabela5[[#This Row],[CÓDIGO]],Tabela9[],2,FALSE))</f>
        <v>Variacao cambial ativa nao realizada no periodo</v>
      </c>
      <c r="F29" s="16" t="s">
        <v>1047</v>
      </c>
      <c r="G29" s="16" t="s">
        <v>1048</v>
      </c>
      <c r="H29" s="28" t="s">
        <v>1044</v>
      </c>
      <c r="J29" s="4"/>
      <c r="K29" s="9"/>
      <c r="L29" s="9"/>
      <c r="M29" s="9">
        <v>28.55</v>
      </c>
      <c r="N29" s="9"/>
      <c r="O29" s="9"/>
      <c r="P29" s="9"/>
      <c r="Q29" s="9"/>
      <c r="R29" s="9"/>
      <c r="S29" s="9"/>
      <c r="T29" s="9"/>
      <c r="U29" s="9"/>
    </row>
    <row r="30" spans="1:24" x14ac:dyDescent="0.25">
      <c r="A30" s="16" t="s">
        <v>21</v>
      </c>
      <c r="B30" s="16" t="s">
        <v>30</v>
      </c>
      <c r="C30" s="16" t="s">
        <v>291</v>
      </c>
      <c r="D30" s="16" t="s">
        <v>426</v>
      </c>
      <c r="E30" s="16" t="str">
        <f>IF(VLOOKUP(Tabela5[[#This Row],[CÓDIGO]],Tabela9[],2,FALSE)=0,"",VLOOKUP(Tabela5[[#This Row],[CÓDIGO]],Tabela9[],2,FALSE))</f>
        <v>Variacao cambial ativa nao realizada no periodo</v>
      </c>
      <c r="F30" s="16" t="s">
        <v>1049</v>
      </c>
      <c r="G30" s="27" t="s">
        <v>1050</v>
      </c>
      <c r="H30" s="28" t="s">
        <v>1044</v>
      </c>
      <c r="I30" s="28"/>
      <c r="J30" s="4"/>
      <c r="K30" s="9"/>
      <c r="L30" s="9">
        <v>254849.69</v>
      </c>
      <c r="M30" s="9">
        <v>3088.15</v>
      </c>
      <c r="N30" s="9"/>
      <c r="O30" s="9"/>
      <c r="P30" s="9"/>
      <c r="Q30" s="9"/>
      <c r="R30" s="9"/>
      <c r="S30" s="9"/>
      <c r="T30" s="9"/>
      <c r="U30" s="9"/>
    </row>
    <row r="31" spans="1:24" x14ac:dyDescent="0.25">
      <c r="A31" s="16" t="s">
        <v>21</v>
      </c>
      <c r="B31" s="16" t="s">
        <v>30</v>
      </c>
      <c r="C31" s="16" t="s">
        <v>31</v>
      </c>
      <c r="D31" s="16" t="s">
        <v>425</v>
      </c>
      <c r="E31" s="16" t="str">
        <f>IF(VLOOKUP(Tabela5[[#This Row],[CÓDIGO]],Tabela9[],2,FALSE)=0,"",VLOOKUP(Tabela5[[#This Row],[CÓDIGO]],Tabela9[],2,FALSE))</f>
        <v>Provisoes no período</v>
      </c>
      <c r="F31" s="18" t="s">
        <v>1097</v>
      </c>
      <c r="G31" s="16" t="s">
        <v>1056</v>
      </c>
      <c r="H31" s="29">
        <v>21405</v>
      </c>
      <c r="I31" s="27"/>
      <c r="J31" s="4">
        <v>26780.329999999994</v>
      </c>
      <c r="K31" s="9"/>
      <c r="L31" s="9">
        <v>497.35</v>
      </c>
      <c r="M31" s="9"/>
      <c r="N31" s="9"/>
      <c r="O31" s="9"/>
      <c r="P31" s="9"/>
      <c r="Q31" s="9"/>
      <c r="R31" s="9"/>
      <c r="S31" s="9"/>
      <c r="T31" s="9"/>
      <c r="U31" s="9"/>
    </row>
    <row r="32" spans="1:24" x14ac:dyDescent="0.25">
      <c r="A32" s="16" t="s">
        <v>21</v>
      </c>
      <c r="B32" s="16" t="s">
        <v>30</v>
      </c>
      <c r="C32" s="16" t="s">
        <v>31</v>
      </c>
      <c r="D32" s="16" t="s">
        <v>425</v>
      </c>
      <c r="E32" s="16" t="str">
        <f>IF(VLOOKUP(Tabela5[[#This Row],[CÓDIGO]],Tabela9[],2,FALSE)=0,"",VLOOKUP(Tabela5[[#This Row],[CÓDIGO]],Tabela9[],2,FALSE))</f>
        <v>Provisoes no período</v>
      </c>
      <c r="F32" s="18" t="s">
        <v>1098</v>
      </c>
      <c r="G32" s="16" t="s">
        <v>1056</v>
      </c>
      <c r="H32" s="29">
        <v>21405</v>
      </c>
      <c r="I32" s="28"/>
      <c r="J32" s="4">
        <v>115841.50000000001</v>
      </c>
      <c r="K32" s="9"/>
      <c r="L32" s="9">
        <v>154485.92000000001</v>
      </c>
      <c r="M32" s="9"/>
      <c r="N32" s="9"/>
      <c r="O32" s="9"/>
      <c r="P32" s="9"/>
      <c r="Q32" s="9"/>
      <c r="R32" s="9"/>
      <c r="S32" s="9"/>
      <c r="T32" s="9"/>
      <c r="U32" s="9"/>
    </row>
    <row r="33" spans="1:21" x14ac:dyDescent="0.2">
      <c r="A33" s="16" t="s">
        <v>21</v>
      </c>
      <c r="B33" s="16" t="s">
        <v>30</v>
      </c>
      <c r="C33" s="16" t="s">
        <v>31</v>
      </c>
      <c r="D33" s="16" t="s">
        <v>425</v>
      </c>
      <c r="E33" s="16" t="str">
        <f>IF(VLOOKUP(Tabela5[[#This Row],[CÓDIGO]],Tabela9[],2,FALSE)=0,"",VLOOKUP(Tabela5[[#This Row],[CÓDIGO]],Tabela9[],2,FALSE))</f>
        <v>Provisoes no período</v>
      </c>
      <c r="F33" s="18" t="s">
        <v>1099</v>
      </c>
      <c r="G33" s="32" t="s">
        <v>1057</v>
      </c>
      <c r="H33" s="29">
        <v>21405</v>
      </c>
      <c r="J33" s="7">
        <v>6.12</v>
      </c>
      <c r="K33" s="23">
        <v>6.1199999999999983</v>
      </c>
      <c r="L33" s="8">
        <v>2145.42</v>
      </c>
      <c r="M33" s="8"/>
      <c r="N33" s="8"/>
      <c r="O33" s="8"/>
      <c r="P33" s="8"/>
      <c r="Q33" s="8"/>
      <c r="R33" s="8"/>
      <c r="S33" s="8"/>
      <c r="T33" s="8"/>
      <c r="U33" s="8"/>
    </row>
    <row r="34" spans="1:21" x14ac:dyDescent="0.2">
      <c r="A34" s="16" t="s">
        <v>21</v>
      </c>
      <c r="B34" s="16" t="s">
        <v>30</v>
      </c>
      <c r="C34" s="16" t="s">
        <v>32</v>
      </c>
      <c r="D34" s="16" t="s">
        <v>426</v>
      </c>
      <c r="E34" s="16" t="str">
        <f>IF(VLOOKUP(Tabela5[[#This Row],[CÓDIGO]],Tabela9[],2,FALSE)=0,"",VLOOKUP(Tabela5[[#This Row],[CÓDIGO]],Tabela9[],2,FALSE))</f>
        <v>Reversao de provisoes no periodo</v>
      </c>
      <c r="F34" s="18" t="s">
        <v>1096</v>
      </c>
      <c r="G34" s="30" t="s">
        <v>1055</v>
      </c>
      <c r="H34" s="29">
        <v>21405</v>
      </c>
      <c r="I34" s="28"/>
      <c r="J34" s="7">
        <v>24506.65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1:21" x14ac:dyDescent="0.2">
      <c r="A35" s="16" t="s">
        <v>21</v>
      </c>
      <c r="B35" s="16" t="s">
        <v>30</v>
      </c>
      <c r="C35" s="16" t="s">
        <v>31</v>
      </c>
      <c r="D35" s="16" t="s">
        <v>425</v>
      </c>
      <c r="E35" s="16" t="str">
        <f>IF(VLOOKUP(Tabela5[[#This Row],[CÓDIGO]],Tabela9[],2,FALSE)=0,"",VLOOKUP(Tabela5[[#This Row],[CÓDIGO]],Tabela9[],2,FALSE))</f>
        <v>Provisoes no período</v>
      </c>
      <c r="F35" s="18" t="s">
        <v>1096</v>
      </c>
      <c r="G35" s="30" t="s">
        <v>1055</v>
      </c>
      <c r="H35" s="29">
        <v>21405</v>
      </c>
      <c r="I35" s="27"/>
      <c r="J35" s="7"/>
      <c r="K35" s="8"/>
      <c r="L35" s="8">
        <v>2955108.87</v>
      </c>
      <c r="M35" s="8"/>
      <c r="N35" s="8"/>
      <c r="O35" s="8"/>
      <c r="P35" s="8"/>
      <c r="Q35" s="8"/>
      <c r="R35" s="8"/>
      <c r="S35" s="8"/>
      <c r="T35" s="8"/>
      <c r="U35" s="8"/>
    </row>
    <row r="36" spans="1:21" x14ac:dyDescent="0.2">
      <c r="A36" s="16" t="s">
        <v>21</v>
      </c>
      <c r="B36" s="16" t="s">
        <v>30</v>
      </c>
      <c r="C36" s="16" t="s">
        <v>31</v>
      </c>
      <c r="D36" s="16" t="s">
        <v>425</v>
      </c>
      <c r="E36" s="16" t="str">
        <f>IF(VLOOKUP(Tabela5[[#This Row],[CÓDIGO]],Tabela9[],2,FALSE)=0,"",VLOOKUP(Tabela5[[#This Row],[CÓDIGO]],Tabela9[],2,FALSE))</f>
        <v>Provisoes no período</v>
      </c>
      <c r="F36" s="18">
        <v>3210201</v>
      </c>
      <c r="G36" s="30" t="s">
        <v>1058</v>
      </c>
      <c r="H36" s="30">
        <v>2130301</v>
      </c>
      <c r="I36" s="27"/>
      <c r="J36" s="7"/>
      <c r="K36" s="8"/>
      <c r="L36" s="8">
        <v>453150</v>
      </c>
      <c r="M36" s="8">
        <v>340114.33000000019</v>
      </c>
      <c r="N36" s="8"/>
      <c r="O36" s="8"/>
      <c r="P36" s="8"/>
      <c r="Q36" s="8"/>
      <c r="R36" s="8"/>
      <c r="S36" s="8"/>
      <c r="T36" s="8"/>
      <c r="U36" s="8"/>
    </row>
    <row r="37" spans="1:21" x14ac:dyDescent="0.2">
      <c r="A37" s="16" t="s">
        <v>21</v>
      </c>
      <c r="B37" s="16" t="s">
        <v>30</v>
      </c>
      <c r="C37" s="16" t="s">
        <v>32</v>
      </c>
      <c r="D37" s="16" t="s">
        <v>426</v>
      </c>
      <c r="E37" s="16" t="str">
        <f>IF(VLOOKUP(Tabela5[[#This Row],[CÓDIGO]],Tabela9[],2,FALSE)=0,"",VLOOKUP(Tabela5[[#This Row],[CÓDIGO]],Tabela9[],2,FALSE))</f>
        <v>Reversao de provisoes no periodo</v>
      </c>
      <c r="F37" s="18">
        <v>3210202</v>
      </c>
      <c r="G37" s="30" t="s">
        <v>1059</v>
      </c>
      <c r="H37" s="27">
        <v>2130302</v>
      </c>
      <c r="I37" s="27"/>
      <c r="J37" s="7"/>
      <c r="K37" s="8"/>
      <c r="L37" s="8">
        <v>337294.02</v>
      </c>
      <c r="M37" s="8"/>
      <c r="N37" s="8"/>
      <c r="O37" s="8"/>
      <c r="P37" s="8"/>
      <c r="Q37" s="8"/>
      <c r="R37" s="8"/>
      <c r="S37" s="8"/>
      <c r="T37" s="8"/>
      <c r="U37" s="8"/>
    </row>
    <row r="38" spans="1:21" x14ac:dyDescent="0.2">
      <c r="A38" s="16" t="s">
        <v>21</v>
      </c>
      <c r="B38" s="16" t="s">
        <v>30</v>
      </c>
      <c r="C38" s="16" t="s">
        <v>32</v>
      </c>
      <c r="D38" s="16" t="s">
        <v>426</v>
      </c>
      <c r="E38" s="16" t="str">
        <f>IF(VLOOKUP(Tabela5[[#This Row],[CÓDIGO]],Tabela9[],2,FALSE)=0,"",VLOOKUP(Tabela5[[#This Row],[CÓDIGO]],Tabela9[],2,FALSE))</f>
        <v>Reversao de provisoes no periodo</v>
      </c>
      <c r="F38" s="18">
        <v>3210204</v>
      </c>
      <c r="G38" s="30" t="s">
        <v>1060</v>
      </c>
      <c r="H38" s="27">
        <v>2130303</v>
      </c>
      <c r="I38" s="27"/>
      <c r="J38" s="7"/>
      <c r="K38" s="8"/>
      <c r="L38" s="8">
        <v>9959.16</v>
      </c>
      <c r="M38" s="8">
        <v>171664.94</v>
      </c>
      <c r="N38" s="8"/>
      <c r="O38" s="8"/>
      <c r="P38" s="8"/>
      <c r="Q38" s="8"/>
      <c r="R38" s="8"/>
      <c r="S38" s="8"/>
      <c r="T38" s="8"/>
      <c r="U38" s="8"/>
    </row>
    <row r="39" spans="1:21" x14ac:dyDescent="0.2">
      <c r="A39" s="16" t="s">
        <v>21</v>
      </c>
      <c r="B39" s="16" t="s">
        <v>30</v>
      </c>
      <c r="C39" s="16" t="s">
        <v>31</v>
      </c>
      <c r="D39" s="16" t="s">
        <v>425</v>
      </c>
      <c r="E39" s="16" t="str">
        <f>IF(VLOOKUP(Tabela5[[#This Row],[CÓDIGO]],Tabela9[],2,FALSE)=0,"",VLOOKUP(Tabela5[[#This Row],[CÓDIGO]],Tabela9[],2,FALSE))</f>
        <v>Provisoes no período</v>
      </c>
      <c r="F39" s="18">
        <v>3210202</v>
      </c>
      <c r="G39" s="30" t="s">
        <v>1059</v>
      </c>
      <c r="H39" s="30">
        <v>2130302</v>
      </c>
      <c r="I39" s="30"/>
      <c r="J39" s="7"/>
      <c r="K39" s="8"/>
      <c r="L39" s="8"/>
      <c r="M39" s="8">
        <v>452072.5</v>
      </c>
      <c r="N39" s="8"/>
      <c r="O39" s="8"/>
      <c r="P39" s="8"/>
      <c r="Q39" s="17"/>
      <c r="R39" s="17"/>
      <c r="S39" s="17"/>
      <c r="T39" s="17"/>
      <c r="U39" s="17"/>
    </row>
    <row r="40" spans="1:21" x14ac:dyDescent="0.2">
      <c r="A40" s="16" t="s">
        <v>21</v>
      </c>
      <c r="B40" s="16" t="s">
        <v>30</v>
      </c>
      <c r="C40" s="16" t="s">
        <v>31</v>
      </c>
      <c r="D40" s="16" t="s">
        <v>425</v>
      </c>
      <c r="E40" s="16" t="str">
        <f>IF(VLOOKUP(Tabela5[[#This Row],[CÓDIGO]],Tabela9[],2,FALSE)=0,"",VLOOKUP(Tabela5[[#This Row],[CÓDIGO]],Tabela9[],2,FALSE))</f>
        <v>Provisoes no período</v>
      </c>
      <c r="F40" s="18" t="s">
        <v>1061</v>
      </c>
      <c r="G40" s="30" t="s">
        <v>1062</v>
      </c>
      <c r="H40" s="30">
        <v>1120201</v>
      </c>
      <c r="I40" s="30"/>
      <c r="J40" s="19">
        <v>202076.83000000002</v>
      </c>
      <c r="K40" s="21">
        <v>143072.82999999996</v>
      </c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1" spans="1:21" x14ac:dyDescent="0.2">
      <c r="A41" s="16" t="s">
        <v>21</v>
      </c>
      <c r="B41" s="16" t="s">
        <v>30</v>
      </c>
      <c r="C41" s="16" t="s">
        <v>31</v>
      </c>
      <c r="D41" s="16" t="s">
        <v>425</v>
      </c>
      <c r="E41" s="16" t="str">
        <f>IF(VLOOKUP(Tabela5[[#This Row],[CÓDIGO]],Tabela9[],2,FALSE)=0,"",VLOOKUP(Tabela5[[#This Row],[CÓDIGO]],Tabela9[],2,FALSE))</f>
        <v>Provisoes no período</v>
      </c>
      <c r="F41" s="18" t="s">
        <v>1191</v>
      </c>
      <c r="G41" s="30" t="s">
        <v>1063</v>
      </c>
      <c r="H41" s="30">
        <v>2130307</v>
      </c>
      <c r="I41" s="30"/>
      <c r="J41" s="19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2" spans="1:21" x14ac:dyDescent="0.2">
      <c r="A42" s="16" t="s">
        <v>21</v>
      </c>
      <c r="B42" s="16" t="s">
        <v>30</v>
      </c>
      <c r="C42" s="16" t="s">
        <v>376</v>
      </c>
      <c r="D42" s="16" t="s">
        <v>426</v>
      </c>
      <c r="E42" s="16" t="str">
        <f>IF(VLOOKUP(Tabela5[[#This Row],[CÓDIGO]],Tabela9[],2,FALSE)=0,"",VLOOKUP(Tabela5[[#This Row],[CÓDIGO]],Tabela9[],2,FALSE))</f>
        <v>Ajuste cut-off no periodo</v>
      </c>
      <c r="F42" s="18" t="s">
        <v>1192</v>
      </c>
      <c r="G42" s="30" t="s">
        <v>1064</v>
      </c>
      <c r="H42" s="30">
        <v>1120195</v>
      </c>
      <c r="I42" s="30"/>
      <c r="J42" s="19">
        <v>806843.4</v>
      </c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3" spans="1:21" x14ac:dyDescent="0.2">
      <c r="A43" s="16" t="s">
        <v>21</v>
      </c>
      <c r="B43" s="16" t="s">
        <v>30</v>
      </c>
      <c r="C43" s="16" t="s">
        <v>224</v>
      </c>
      <c r="D43" s="16" t="s">
        <v>425</v>
      </c>
      <c r="E43" s="16" t="str">
        <f>IF(VLOOKUP(Tabela5[[#This Row],[CÓDIGO]],Tabela9[],2,FALSE)=0,"",VLOOKUP(Tabela5[[#This Row],[CÓDIGO]],Tabela9[],2,FALSE))</f>
        <v>Ajuste cut-off no periodo</v>
      </c>
      <c r="F43" s="18" t="s">
        <v>1193</v>
      </c>
      <c r="G43" s="30" t="s">
        <v>1065</v>
      </c>
      <c r="H43" s="30">
        <v>1140301</v>
      </c>
      <c r="I43" s="30"/>
      <c r="J43" s="19">
        <v>171284.04</v>
      </c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</row>
    <row r="44" spans="1:21" x14ac:dyDescent="0.2">
      <c r="A44" s="16" t="s">
        <v>21</v>
      </c>
      <c r="B44" s="16" t="s">
        <v>30</v>
      </c>
      <c r="C44" s="16" t="s">
        <v>224</v>
      </c>
      <c r="D44" s="16" t="s">
        <v>425</v>
      </c>
      <c r="E44" s="16" t="str">
        <f>IF(VLOOKUP(Tabela5[[#This Row],[CÓDIGO]],Tabela9[],2,FALSE)=0,"",VLOOKUP(Tabela5[[#This Row],[CÓDIGO]],Tabela9[],2,FALSE))</f>
        <v>Ajuste cut-off no periodo</v>
      </c>
      <c r="F44" s="18" t="s">
        <v>1194</v>
      </c>
      <c r="G44" s="30" t="s">
        <v>1066</v>
      </c>
      <c r="H44" s="30">
        <v>1130306</v>
      </c>
      <c r="I44" s="30"/>
      <c r="J44" s="19">
        <v>256611.63</v>
      </c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</row>
    <row r="45" spans="1:21" x14ac:dyDescent="0.2">
      <c r="A45" s="16" t="s">
        <v>21</v>
      </c>
      <c r="B45" s="16" t="s">
        <v>30</v>
      </c>
      <c r="C45" s="16" t="s">
        <v>376</v>
      </c>
      <c r="D45" s="16" t="s">
        <v>426</v>
      </c>
      <c r="E45" s="16" t="str">
        <f>IF(VLOOKUP(Tabela5[[#This Row],[CÓDIGO]],Tabela9[],2,FALSE)=0,"",VLOOKUP(Tabela5[[#This Row],[CÓDIGO]],Tabela9[],2,FALSE))</f>
        <v>Ajuste cut-off no periodo</v>
      </c>
      <c r="F45" s="16" t="s">
        <v>1069</v>
      </c>
      <c r="G45" s="30" t="s">
        <v>1070</v>
      </c>
      <c r="H45" s="31" t="s">
        <v>1195</v>
      </c>
      <c r="I45" s="30"/>
      <c r="J45" s="19"/>
      <c r="K45" s="17"/>
      <c r="L45" s="17">
        <v>152789.76999999999</v>
      </c>
      <c r="M45" s="17"/>
      <c r="N45" s="17"/>
      <c r="O45" s="17"/>
      <c r="P45" s="17"/>
      <c r="Q45" s="17"/>
      <c r="R45" s="17"/>
      <c r="S45" s="17"/>
      <c r="T45" s="17"/>
      <c r="U45" s="17"/>
    </row>
    <row r="46" spans="1:21" x14ac:dyDescent="0.2">
      <c r="A46" s="16" t="s">
        <v>21</v>
      </c>
      <c r="B46" s="16" t="s">
        <v>22</v>
      </c>
      <c r="C46" s="16" t="s">
        <v>344</v>
      </c>
      <c r="D46" s="16" t="s">
        <v>426</v>
      </c>
      <c r="E46" s="16" t="str">
        <f>IF(VLOOKUP(Tabela5[[#This Row],[CÓDIGO]],Tabela9[],2,FALSE)=0,"",VLOOKUP(Tabela5[[#This Row],[CÓDIGO]],Tabela9[],2,FALSE))</f>
        <v>Contraprestacoes pagas de aluguel no periodo</v>
      </c>
      <c r="F46" s="16" t="s">
        <v>1071</v>
      </c>
      <c r="G46" s="30" t="s">
        <v>1072</v>
      </c>
      <c r="H46" s="30"/>
      <c r="I46" s="30"/>
      <c r="J46" s="19">
        <v>3829.47</v>
      </c>
      <c r="K46" s="19">
        <v>3829.47</v>
      </c>
      <c r="L46" s="19">
        <v>3829.47</v>
      </c>
      <c r="M46" s="19">
        <v>3829.47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">
      <c r="A47" s="16" t="s">
        <v>21</v>
      </c>
      <c r="B47" s="16" t="s">
        <v>30</v>
      </c>
      <c r="C47" s="16" t="s">
        <v>292</v>
      </c>
      <c r="D47" s="16" t="s">
        <v>426</v>
      </c>
      <c r="E47" s="16" t="str">
        <f>IF(VLOOKUP(Tabela5[[#This Row],[CÓDIGO]],Tabela9[],2,FALSE)=0,"",VLOOKUP(Tabela5[[#This Row],[CÓDIGO]],Tabela9[],2,FALSE))</f>
        <v>Variacao cambial passiva realizada no periodo</v>
      </c>
      <c r="F47" s="16" t="s">
        <v>1035</v>
      </c>
      <c r="G47" s="27" t="s">
        <v>1042</v>
      </c>
      <c r="H47" s="28" t="s">
        <v>1044</v>
      </c>
      <c r="I47" s="30"/>
      <c r="J47" s="19">
        <v>40702.46</v>
      </c>
      <c r="K47" s="17">
        <v>239590.01</v>
      </c>
      <c r="L47" s="17">
        <v>865052.72</v>
      </c>
      <c r="M47" s="17">
        <v>1730003.63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">
      <c r="A48" s="16" t="s">
        <v>21</v>
      </c>
      <c r="B48" s="16" t="s">
        <v>22</v>
      </c>
      <c r="C48" s="16" t="s">
        <v>402</v>
      </c>
      <c r="D48" s="16" t="s">
        <v>426</v>
      </c>
      <c r="E48" s="16" t="str">
        <f>IF(VLOOKUP(Tabela5[[#This Row],[CÓDIGO]],Tabela9[],2,FALSE)=0,"",VLOOKUP(Tabela5[[#This Row],[CÓDIGO]],Tabela9[],2,FALSE))</f>
        <v>Juros ativos de credito extemporaneo e despesas dedutiveis</v>
      </c>
      <c r="F48" s="16" t="s">
        <v>1077</v>
      </c>
      <c r="G48" s="30" t="s">
        <v>1078</v>
      </c>
      <c r="H48" s="30"/>
      <c r="I48" s="30"/>
      <c r="J48" s="19">
        <v>34382124.899999999</v>
      </c>
      <c r="K48" s="17">
        <v>810727.18</v>
      </c>
      <c r="L48" s="17">
        <v>756999.47</v>
      </c>
      <c r="M48" s="17">
        <v>754223.91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">
      <c r="A49" s="16" t="s">
        <v>21</v>
      </c>
      <c r="B49" s="16" t="s">
        <v>22</v>
      </c>
      <c r="C49" s="16" t="s">
        <v>402</v>
      </c>
      <c r="D49" s="16" t="s">
        <v>426</v>
      </c>
      <c r="E49" s="16" t="str">
        <f>IF(VLOOKUP(Tabela5[[#This Row],[CÓDIGO]],Tabela9[],2,FALSE)=0,"",VLOOKUP(Tabela5[[#This Row],[CÓDIGO]],Tabela9[],2,FALSE))</f>
        <v>Juros ativos de credito extemporaneo e despesas dedutiveis</v>
      </c>
      <c r="F49" s="18" t="s">
        <v>1190</v>
      </c>
      <c r="G49" s="30" t="s">
        <v>1014</v>
      </c>
      <c r="H49" s="30"/>
      <c r="I49" s="30"/>
      <c r="J49" s="19"/>
      <c r="K49" s="17"/>
      <c r="L49" s="17"/>
      <c r="M49" s="17">
        <v>299089.03999999998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">
      <c r="A50" s="16" t="s">
        <v>21</v>
      </c>
      <c r="B50" s="16" t="s">
        <v>30</v>
      </c>
      <c r="C50" s="16" t="s">
        <v>32</v>
      </c>
      <c r="D50" s="16" t="s">
        <v>426</v>
      </c>
      <c r="E50" s="16" t="str">
        <f>IF(VLOOKUP(Tabela5[[#This Row],[CÓDIGO]],Tabela9[],2,FALSE)=0,"",VLOOKUP(Tabela5[[#This Row],[CÓDIGO]],Tabela9[],2,FALSE))</f>
        <v>Reversao de provisoes no periodo</v>
      </c>
      <c r="F50" s="18">
        <v>3150202</v>
      </c>
      <c r="G50" s="30" t="s">
        <v>1026</v>
      </c>
      <c r="H50" s="30">
        <v>2130304</v>
      </c>
      <c r="I50" s="30"/>
      <c r="J50" s="19">
        <v>240194</v>
      </c>
      <c r="K50" s="21">
        <v>210440.78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</row>
    <row r="51" spans="1:21" x14ac:dyDescent="0.2">
      <c r="A51" s="16" t="s">
        <v>21</v>
      </c>
      <c r="B51" s="16" t="s">
        <v>30</v>
      </c>
      <c r="C51" s="16" t="s">
        <v>31</v>
      </c>
      <c r="D51" s="16" t="s">
        <v>425</v>
      </c>
      <c r="E51" s="16" t="str">
        <f>IF(VLOOKUP(Tabela5[[#This Row],[CÓDIGO]],Tabela9[],2,FALSE)=0,"",VLOOKUP(Tabela5[[#This Row],[CÓDIGO]],Tabela9[],2,FALSE))</f>
        <v>Provisoes no período</v>
      </c>
      <c r="F51" s="18">
        <v>3211602</v>
      </c>
      <c r="G51" s="30" t="s">
        <v>1027</v>
      </c>
      <c r="H51" s="30">
        <v>2130304</v>
      </c>
      <c r="I51" s="30"/>
      <c r="J51" s="19">
        <v>35025.590000000004</v>
      </c>
      <c r="K51" s="21"/>
      <c r="L51" s="17"/>
      <c r="M51" s="17"/>
      <c r="N51" s="17"/>
      <c r="O51" s="17"/>
      <c r="P51" s="17"/>
      <c r="Q51" s="17"/>
      <c r="R51" s="17"/>
      <c r="S51" s="17"/>
      <c r="T51" s="17"/>
      <c r="U51" s="17"/>
    </row>
    <row r="52" spans="1:21" x14ac:dyDescent="0.2">
      <c r="A52" s="16" t="s">
        <v>21</v>
      </c>
      <c r="B52" s="16" t="s">
        <v>30</v>
      </c>
      <c r="C52" s="16" t="s">
        <v>32</v>
      </c>
      <c r="D52" s="16" t="s">
        <v>426</v>
      </c>
      <c r="E52" s="16" t="str">
        <f>IF(VLOOKUP(Tabela5[[#This Row],[CÓDIGO]],Tabela9[],2,FALSE)=0,"",VLOOKUP(Tabela5[[#This Row],[CÓDIGO]],Tabela9[],2,FALSE))</f>
        <v>Reversao de provisoes no periodo</v>
      </c>
      <c r="F52" s="18">
        <v>3150201</v>
      </c>
      <c r="G52" s="30" t="s">
        <v>1028</v>
      </c>
      <c r="H52" s="30">
        <v>2130308</v>
      </c>
      <c r="I52" s="30"/>
      <c r="J52" s="19">
        <v>87791.17</v>
      </c>
      <c r="K52" s="21"/>
      <c r="L52" s="17"/>
      <c r="M52" s="17"/>
      <c r="N52" s="17"/>
      <c r="O52" s="17"/>
      <c r="P52" s="17"/>
      <c r="Q52" s="17"/>
      <c r="R52" s="17"/>
      <c r="S52" s="17"/>
      <c r="T52" s="17"/>
      <c r="U52" s="17"/>
    </row>
    <row r="53" spans="1:21" x14ac:dyDescent="0.2">
      <c r="A53" s="16" t="s">
        <v>21</v>
      </c>
      <c r="B53" s="16" t="s">
        <v>30</v>
      </c>
      <c r="C53" s="16" t="s">
        <v>32</v>
      </c>
      <c r="D53" s="16" t="s">
        <v>426</v>
      </c>
      <c r="E53" s="16" t="str">
        <f>IF(VLOOKUP(Tabela5[[#This Row],[CÓDIGO]],Tabela9[],2,FALSE)=0,"",VLOOKUP(Tabela5[[#This Row],[CÓDIGO]],Tabela9[],2,FALSE))</f>
        <v>Reversao de provisoes no periodo</v>
      </c>
      <c r="F53" s="18">
        <v>3121602</v>
      </c>
      <c r="G53" s="30" t="s">
        <v>1027</v>
      </c>
      <c r="H53" s="30">
        <v>2130304</v>
      </c>
      <c r="I53" s="30"/>
      <c r="J53" s="19"/>
      <c r="K53" s="21">
        <v>54580.55</v>
      </c>
      <c r="L53" s="17"/>
      <c r="M53" s="17"/>
      <c r="N53" s="17"/>
      <c r="O53" s="17"/>
      <c r="P53" s="17"/>
      <c r="Q53" s="17"/>
      <c r="R53" s="17"/>
      <c r="S53" s="17"/>
      <c r="T53" s="17"/>
      <c r="U53" s="17"/>
    </row>
    <row r="54" spans="1:21" x14ac:dyDescent="0.2">
      <c r="A54" s="16" t="s">
        <v>21</v>
      </c>
      <c r="B54" s="16" t="s">
        <v>22</v>
      </c>
      <c r="C54" s="16" t="s">
        <v>253</v>
      </c>
      <c r="D54" s="16" t="s">
        <v>426</v>
      </c>
      <c r="E54" s="16" t="str">
        <f>IF(VLOOKUP(Tabela5[[#This Row],[CÓDIGO]],Tabela9[],2,FALSE)=0,"",VLOOKUP(Tabela5[[#This Row],[CÓDIGO]],Tabela9[],2,FALSE))</f>
        <v>Dividendos recebidos no periodo</v>
      </c>
      <c r="F54" s="16">
        <v>3290104</v>
      </c>
      <c r="G54" s="30" t="s">
        <v>1082</v>
      </c>
      <c r="H54" s="30"/>
      <c r="I54" s="30"/>
      <c r="J54" s="19"/>
      <c r="K54" s="17">
        <v>10026842.92</v>
      </c>
      <c r="L54" s="17">
        <v>4000000</v>
      </c>
      <c r="M54" s="17"/>
      <c r="N54" s="17"/>
      <c r="O54" s="17"/>
      <c r="P54" s="17"/>
      <c r="Q54" s="17"/>
      <c r="R54" s="17"/>
      <c r="S54" s="17"/>
      <c r="T54" s="17"/>
      <c r="U54" s="17"/>
    </row>
    <row r="55" spans="1:21" x14ac:dyDescent="0.2">
      <c r="A55" s="16" t="s">
        <v>21</v>
      </c>
      <c r="B55" s="16" t="s">
        <v>30</v>
      </c>
      <c r="C55" s="16" t="s">
        <v>32</v>
      </c>
      <c r="D55" s="16" t="s">
        <v>426</v>
      </c>
      <c r="E55" s="16" t="str">
        <f>IF(VLOOKUP(Tabela5[[#This Row],[CÓDIGO]],Tabela9[],2,FALSE)=0,"",VLOOKUP(Tabela5[[#This Row],[CÓDIGO]],Tabela9[],2,FALSE))</f>
        <v>Reversao de provisoes no periodo</v>
      </c>
      <c r="F55" s="18">
        <v>3230305</v>
      </c>
      <c r="G55" s="30" t="s">
        <v>1084</v>
      </c>
      <c r="H55" s="29">
        <v>21405</v>
      </c>
      <c r="I55" s="30"/>
      <c r="J55" s="19"/>
      <c r="K55" s="21">
        <v>291638.03999999998</v>
      </c>
      <c r="L55" s="17"/>
      <c r="M55" s="17"/>
      <c r="N55" s="17"/>
      <c r="O55" s="17"/>
      <c r="P55" s="17"/>
      <c r="Q55" s="17"/>
      <c r="R55" s="17"/>
      <c r="S55" s="17"/>
      <c r="T55" s="17"/>
      <c r="U55" s="17"/>
    </row>
    <row r="56" spans="1:21" x14ac:dyDescent="0.2">
      <c r="A56" s="16" t="s">
        <v>21</v>
      </c>
      <c r="B56" s="16" t="s">
        <v>30</v>
      </c>
      <c r="C56" s="16" t="s">
        <v>32</v>
      </c>
      <c r="D56" s="16" t="s">
        <v>426</v>
      </c>
      <c r="E56" s="16" t="str">
        <f>IF(VLOOKUP(Tabela5[[#This Row],[CÓDIGO]],Tabela9[],2,FALSE)=0,"",VLOOKUP(Tabela5[[#This Row],[CÓDIGO]],Tabela9[],2,FALSE))</f>
        <v>Reversao de provisoes no periodo</v>
      </c>
      <c r="F56" s="18">
        <v>3230306</v>
      </c>
      <c r="G56" s="30" t="s">
        <v>1084</v>
      </c>
      <c r="H56" s="29">
        <v>21405</v>
      </c>
      <c r="I56" s="30"/>
      <c r="J56" s="19"/>
      <c r="K56" s="20"/>
      <c r="L56" s="17"/>
      <c r="M56" s="17">
        <v>105111.65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">
      <c r="A57" s="16" t="s">
        <v>21</v>
      </c>
      <c r="B57" s="16" t="s">
        <v>30</v>
      </c>
      <c r="C57" s="16" t="s">
        <v>32</v>
      </c>
      <c r="D57" s="16" t="s">
        <v>426</v>
      </c>
      <c r="E57" s="16" t="str">
        <f>IF(VLOOKUP(Tabela5[[#This Row],[CÓDIGO]],Tabela9[],2,FALSE)=0,"",VLOOKUP(Tabela5[[#This Row],[CÓDIGO]],Tabela9[],2,FALSE))</f>
        <v>Reversao de provisoes no periodo</v>
      </c>
      <c r="F57" s="18">
        <v>3230307</v>
      </c>
      <c r="G57" s="30" t="s">
        <v>1084</v>
      </c>
      <c r="H57" s="29">
        <v>21405</v>
      </c>
      <c r="I57" s="30"/>
      <c r="J57" s="19"/>
      <c r="K57" s="20"/>
      <c r="L57" s="17"/>
      <c r="M57" s="17">
        <v>1268198.55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">
      <c r="A58" s="16" t="s">
        <v>21</v>
      </c>
      <c r="B58" s="16" t="s">
        <v>30</v>
      </c>
      <c r="C58" s="16" t="s">
        <v>32</v>
      </c>
      <c r="D58" s="16" t="s">
        <v>426</v>
      </c>
      <c r="E58" s="16" t="str">
        <f>IF(VLOOKUP(Tabela5[[#This Row],[CÓDIGO]],Tabela9[],2,FALSE)=0,"",VLOOKUP(Tabela5[[#This Row],[CÓDIGO]],Tabela9[],2,FALSE))</f>
        <v>Reversao de provisoes no periodo</v>
      </c>
      <c r="F58" s="18">
        <v>3230308</v>
      </c>
      <c r="G58" s="30" t="s">
        <v>1084</v>
      </c>
      <c r="H58" s="29">
        <v>21405</v>
      </c>
      <c r="I58" s="30"/>
      <c r="J58" s="19"/>
      <c r="K58" s="20"/>
      <c r="L58" s="17"/>
      <c r="M58" s="17">
        <v>125168.11</v>
      </c>
      <c r="N58" s="17"/>
      <c r="O58" s="17"/>
      <c r="P58" s="17"/>
      <c r="Q58" s="17"/>
      <c r="R58" s="17"/>
      <c r="S58" s="17"/>
      <c r="T58" s="17"/>
      <c r="U58" s="17"/>
    </row>
    <row r="59" spans="1:21" x14ac:dyDescent="0.2">
      <c r="A59" s="16" t="s">
        <v>21</v>
      </c>
      <c r="B59" s="16" t="s">
        <v>30</v>
      </c>
      <c r="C59" s="16" t="s">
        <v>31</v>
      </c>
      <c r="D59" s="16" t="s">
        <v>425</v>
      </c>
      <c r="E59" s="16" t="str">
        <f>IF(VLOOKUP(Tabela5[[#This Row],[CÓDIGO]],Tabela9[],2,FALSE)=0,"",VLOOKUP(Tabela5[[#This Row],[CÓDIGO]],Tabela9[],2,FALSE))</f>
        <v>Provisoes no período</v>
      </c>
      <c r="F59" s="18">
        <v>3230305</v>
      </c>
      <c r="G59" s="30" t="s">
        <v>1084</v>
      </c>
      <c r="H59" s="29">
        <v>21405</v>
      </c>
      <c r="I59" s="30"/>
      <c r="J59" s="19"/>
      <c r="K59" s="20"/>
      <c r="L59" s="17"/>
      <c r="M59" s="17">
        <v>83886.140000000014</v>
      </c>
      <c r="N59" s="17"/>
      <c r="O59" s="17"/>
      <c r="P59" s="17"/>
      <c r="Q59" s="17"/>
      <c r="R59" s="17"/>
      <c r="S59" s="17"/>
      <c r="T59" s="17"/>
      <c r="U59" s="17"/>
    </row>
    <row r="60" spans="1:21" x14ac:dyDescent="0.2">
      <c r="A60" s="16" t="s">
        <v>21</v>
      </c>
      <c r="B60" s="16" t="s">
        <v>30</v>
      </c>
      <c r="C60" s="16" t="s">
        <v>31</v>
      </c>
      <c r="D60" s="16" t="s">
        <v>425</v>
      </c>
      <c r="E60" s="16" t="str">
        <f>IF(VLOOKUP(Tabela5[[#This Row],[CÓDIGO]],Tabela9[],2,FALSE)=0,"",VLOOKUP(Tabela5[[#This Row],[CÓDIGO]],Tabela9[],2,FALSE))</f>
        <v>Provisoes no período</v>
      </c>
      <c r="F60" s="18">
        <v>3230306</v>
      </c>
      <c r="G60" s="30" t="s">
        <v>1084</v>
      </c>
      <c r="H60" s="29">
        <v>21405</v>
      </c>
      <c r="I60" s="30"/>
      <c r="J60" s="19"/>
      <c r="K60" s="21">
        <v>102.65999999997439</v>
      </c>
      <c r="L60" s="17"/>
      <c r="M60" s="17"/>
      <c r="N60" s="17"/>
      <c r="O60" s="17"/>
      <c r="P60" s="17"/>
      <c r="Q60" s="17"/>
      <c r="R60" s="17"/>
      <c r="S60" s="17"/>
      <c r="T60" s="17"/>
      <c r="U60" s="17"/>
    </row>
    <row r="61" spans="1:21" x14ac:dyDescent="0.2">
      <c r="A61" s="16" t="s">
        <v>21</v>
      </c>
      <c r="B61" s="16" t="s">
        <v>30</v>
      </c>
      <c r="C61" s="16" t="s">
        <v>31</v>
      </c>
      <c r="D61" s="16" t="s">
        <v>425</v>
      </c>
      <c r="E61" s="16" t="str">
        <f>IF(VLOOKUP(Tabela5[[#This Row],[CÓDIGO]],Tabela9[],2,FALSE)=0,"",VLOOKUP(Tabela5[[#This Row],[CÓDIGO]],Tabela9[],2,FALSE))</f>
        <v>Provisoes no período</v>
      </c>
      <c r="F61" s="18">
        <v>3230307</v>
      </c>
      <c r="G61" s="30" t="s">
        <v>1084</v>
      </c>
      <c r="H61" s="29">
        <v>21405</v>
      </c>
      <c r="I61" s="30"/>
      <c r="J61" s="19"/>
      <c r="K61" s="20"/>
      <c r="L61" s="17"/>
      <c r="M61" s="17"/>
      <c r="N61" s="17"/>
      <c r="O61" s="17"/>
      <c r="P61" s="17"/>
      <c r="Q61" s="17"/>
      <c r="R61" s="17"/>
      <c r="S61" s="17"/>
      <c r="T61" s="17"/>
      <c r="U61" s="17"/>
    </row>
    <row r="62" spans="1:21" x14ac:dyDescent="0.2">
      <c r="A62" s="16" t="s">
        <v>21</v>
      </c>
      <c r="B62" s="16" t="s">
        <v>30</v>
      </c>
      <c r="C62" s="16" t="s">
        <v>31</v>
      </c>
      <c r="D62" s="16" t="s">
        <v>425</v>
      </c>
      <c r="E62" s="16" t="str">
        <f>IF(VLOOKUP(Tabela5[[#This Row],[CÓDIGO]],Tabela9[],2,FALSE)=0,"",VLOOKUP(Tabela5[[#This Row],[CÓDIGO]],Tabela9[],2,FALSE))</f>
        <v>Provisoes no período</v>
      </c>
      <c r="F62" s="18">
        <v>3210201</v>
      </c>
      <c r="G62" s="30" t="s">
        <v>1058</v>
      </c>
      <c r="H62" s="30">
        <v>2130301</v>
      </c>
      <c r="I62" s="30"/>
      <c r="J62" s="19">
        <v>341253</v>
      </c>
      <c r="K62" s="21"/>
      <c r="L62" s="17"/>
      <c r="M62" s="17"/>
      <c r="N62" s="17"/>
      <c r="O62" s="17"/>
      <c r="P62" s="17"/>
      <c r="Q62" s="17"/>
      <c r="R62" s="17"/>
      <c r="S62" s="17"/>
      <c r="T62" s="17"/>
      <c r="U62" s="17"/>
    </row>
    <row r="63" spans="1:21" x14ac:dyDescent="0.2">
      <c r="A63" s="16" t="s">
        <v>21</v>
      </c>
      <c r="B63" s="16" t="s">
        <v>30</v>
      </c>
      <c r="C63" s="16" t="s">
        <v>32</v>
      </c>
      <c r="D63" s="16" t="s">
        <v>426</v>
      </c>
      <c r="E63" s="16" t="str">
        <f>IF(VLOOKUP(Tabela5[[#This Row],[CÓDIGO]],Tabela9[],2,FALSE)=0,"",VLOOKUP(Tabela5[[#This Row],[CÓDIGO]],Tabela9[],2,FALSE))</f>
        <v>Reversao de provisoes no periodo</v>
      </c>
      <c r="F63" s="18">
        <v>3210201</v>
      </c>
      <c r="G63" s="30" t="s">
        <v>1058</v>
      </c>
      <c r="H63" s="30">
        <v>2130301</v>
      </c>
      <c r="I63" s="30"/>
      <c r="J63" s="19"/>
      <c r="K63" s="21">
        <v>2020199.99</v>
      </c>
      <c r="L63" s="17"/>
      <c r="M63" s="17"/>
      <c r="N63" s="17"/>
      <c r="O63" s="17"/>
      <c r="P63" s="17"/>
      <c r="Q63" s="17"/>
      <c r="R63" s="17"/>
      <c r="S63" s="17"/>
      <c r="T63" s="17"/>
      <c r="U63" s="17"/>
    </row>
    <row r="64" spans="1:21" x14ac:dyDescent="0.2">
      <c r="A64" s="16" t="s">
        <v>21</v>
      </c>
      <c r="B64" s="16" t="s">
        <v>30</v>
      </c>
      <c r="C64" s="16" t="s">
        <v>32</v>
      </c>
      <c r="D64" s="16" t="s">
        <v>426</v>
      </c>
      <c r="E64" s="16" t="str">
        <f>IF(VLOOKUP(Tabela5[[#This Row],[CÓDIGO]],Tabela9[],2,FALSE)=0,"",VLOOKUP(Tabela5[[#This Row],[CÓDIGO]],Tabela9[],2,FALSE))</f>
        <v>Reversao de provisoes no periodo</v>
      </c>
      <c r="F64" s="18">
        <v>3210202</v>
      </c>
      <c r="G64" s="30" t="s">
        <v>1059</v>
      </c>
      <c r="H64" s="30">
        <v>2130302</v>
      </c>
      <c r="I64" s="30"/>
      <c r="J64" s="19">
        <v>266461.78999999998</v>
      </c>
      <c r="K64" s="21"/>
      <c r="L64" s="17"/>
      <c r="M64" s="17"/>
      <c r="N64" s="17"/>
      <c r="O64" s="17"/>
      <c r="P64" s="17"/>
      <c r="Q64" s="17"/>
      <c r="R64" s="17"/>
      <c r="S64" s="17"/>
      <c r="T64" s="17"/>
      <c r="U64" s="17"/>
    </row>
    <row r="65" spans="1:21" x14ac:dyDescent="0.2">
      <c r="A65" s="16" t="s">
        <v>21</v>
      </c>
      <c r="B65" s="16" t="s">
        <v>30</v>
      </c>
      <c r="C65" s="16" t="s">
        <v>31</v>
      </c>
      <c r="D65" s="16" t="s">
        <v>425</v>
      </c>
      <c r="E65" s="16" t="str">
        <f>IF(VLOOKUP(Tabela5[[#This Row],[CÓDIGO]],Tabela9[],2,FALSE)=0,"",VLOOKUP(Tabela5[[#This Row],[CÓDIGO]],Tabela9[],2,FALSE))</f>
        <v>Provisoes no período</v>
      </c>
      <c r="F65" s="18">
        <v>3210202</v>
      </c>
      <c r="G65" s="30" t="s">
        <v>1059</v>
      </c>
      <c r="H65" s="30">
        <v>2130302</v>
      </c>
      <c r="I65" s="30"/>
      <c r="J65" s="19"/>
      <c r="K65" s="21">
        <v>277993.11</v>
      </c>
      <c r="L65" s="17"/>
      <c r="M65" s="17"/>
      <c r="N65" s="17"/>
      <c r="O65" s="17"/>
      <c r="P65" s="17"/>
      <c r="Q65" s="17"/>
      <c r="R65" s="17"/>
      <c r="S65" s="17"/>
      <c r="T65" s="17"/>
      <c r="U65" s="17"/>
    </row>
    <row r="66" spans="1:21" x14ac:dyDescent="0.2">
      <c r="A66" s="16" t="s">
        <v>21</v>
      </c>
      <c r="B66" s="16" t="s">
        <v>30</v>
      </c>
      <c r="C66" s="16" t="s">
        <v>32</v>
      </c>
      <c r="D66" s="16" t="s">
        <v>426</v>
      </c>
      <c r="E66" s="16" t="str">
        <f>IF(VLOOKUP(Tabela5[[#This Row],[CÓDIGO]],Tabela9[],2,FALSE)=0,"",VLOOKUP(Tabela5[[#This Row],[CÓDIGO]],Tabela9[],2,FALSE))</f>
        <v>Reversao de provisoes no periodo</v>
      </c>
      <c r="F66" s="18">
        <v>3210204</v>
      </c>
      <c r="G66" s="30" t="s">
        <v>1060</v>
      </c>
      <c r="H66" s="30">
        <v>2130303</v>
      </c>
      <c r="I66" s="30"/>
      <c r="J66" s="19">
        <v>499908.35</v>
      </c>
      <c r="K66" s="21">
        <v>39551.980000000003</v>
      </c>
      <c r="L66" s="17"/>
      <c r="M66" s="17"/>
      <c r="N66" s="17"/>
      <c r="O66" s="17"/>
      <c r="P66" s="17"/>
      <c r="Q66" s="17"/>
      <c r="R66" s="17"/>
      <c r="S66" s="17"/>
      <c r="T66" s="17"/>
      <c r="U66" s="17"/>
    </row>
    <row r="67" spans="1:21" x14ac:dyDescent="0.2">
      <c r="A67" s="16" t="s">
        <v>21</v>
      </c>
      <c r="B67" s="16" t="s">
        <v>30</v>
      </c>
      <c r="C67" s="16" t="s">
        <v>31</v>
      </c>
      <c r="D67" s="16" t="s">
        <v>425</v>
      </c>
      <c r="E67" s="16" t="str">
        <f>IF(VLOOKUP(Tabela5[[#This Row],[CÓDIGO]],Tabela9[],2,FALSE)=0,"",VLOOKUP(Tabela5[[#This Row],[CÓDIGO]],Tabela9[],2,FALSE))</f>
        <v>Provisoes no período</v>
      </c>
      <c r="F67" s="18">
        <v>3210205</v>
      </c>
      <c r="G67" s="30" t="s">
        <v>1085</v>
      </c>
      <c r="H67" s="30">
        <v>2130306</v>
      </c>
      <c r="I67" s="30"/>
      <c r="J67" s="19">
        <v>11499.949999999999</v>
      </c>
      <c r="K67" s="21"/>
      <c r="L67" s="17"/>
      <c r="M67" s="17"/>
      <c r="N67" s="17"/>
      <c r="O67" s="17"/>
      <c r="P67" s="17"/>
      <c r="Q67" s="17"/>
      <c r="R67" s="17"/>
      <c r="S67" s="17"/>
      <c r="T67" s="17"/>
      <c r="U67" s="17"/>
    </row>
    <row r="68" spans="1:21" x14ac:dyDescent="0.2">
      <c r="A68" s="16" t="s">
        <v>21</v>
      </c>
      <c r="B68" s="16" t="s">
        <v>30</v>
      </c>
      <c r="C68" s="16" t="s">
        <v>32</v>
      </c>
      <c r="D68" s="16" t="s">
        <v>426</v>
      </c>
      <c r="E68" s="16" t="str">
        <f>IF(VLOOKUP(Tabela5[[#This Row],[CÓDIGO]],Tabela9[],2,FALSE)=0,"",VLOOKUP(Tabela5[[#This Row],[CÓDIGO]],Tabela9[],2,FALSE))</f>
        <v>Reversao de provisoes no periodo</v>
      </c>
      <c r="F68" s="18">
        <v>3210205</v>
      </c>
      <c r="G68" s="30" t="s">
        <v>1085</v>
      </c>
      <c r="H68" s="30">
        <v>2130306</v>
      </c>
      <c r="I68" s="30"/>
      <c r="J68" s="19"/>
      <c r="K68" s="21">
        <v>11110.62</v>
      </c>
      <c r="L68" s="17"/>
      <c r="M68" s="17"/>
      <c r="N68" s="17"/>
      <c r="O68" s="17"/>
      <c r="P68" s="17"/>
      <c r="Q68" s="17"/>
      <c r="R68" s="17"/>
      <c r="S68" s="17"/>
      <c r="T68" s="17"/>
      <c r="U68" s="17"/>
    </row>
    <row r="69" spans="1:21" x14ac:dyDescent="0.2">
      <c r="A69" s="16" t="s">
        <v>21</v>
      </c>
      <c r="B69" s="16" t="s">
        <v>30</v>
      </c>
      <c r="C69" s="16" t="s">
        <v>31</v>
      </c>
      <c r="D69" s="16" t="s">
        <v>425</v>
      </c>
      <c r="E69" s="16" t="str">
        <f>IF(VLOOKUP(Tabela5[[#This Row],[CÓDIGO]],Tabela9[],2,FALSE)=0,"",VLOOKUP(Tabela5[[#This Row],[CÓDIGO]],Tabela9[],2,FALSE))</f>
        <v>Provisoes no período</v>
      </c>
      <c r="F69" s="18">
        <v>3210206</v>
      </c>
      <c r="G69" s="30" t="s">
        <v>1086</v>
      </c>
      <c r="H69" s="30">
        <v>2130306</v>
      </c>
      <c r="I69" s="30"/>
      <c r="J69" s="19">
        <v>32749.68</v>
      </c>
      <c r="K69" s="21"/>
      <c r="L69" s="17"/>
      <c r="M69" s="17"/>
      <c r="N69" s="17"/>
      <c r="O69" s="17"/>
      <c r="P69" s="17"/>
      <c r="Q69" s="17"/>
      <c r="R69" s="17"/>
      <c r="S69" s="17"/>
      <c r="T69" s="17"/>
      <c r="U69" s="17"/>
    </row>
    <row r="70" spans="1:21" x14ac:dyDescent="0.2">
      <c r="A70" s="16" t="s">
        <v>21</v>
      </c>
      <c r="B70" s="16" t="s">
        <v>30</v>
      </c>
      <c r="C70" s="16" t="s">
        <v>32</v>
      </c>
      <c r="D70" s="16" t="s">
        <v>426</v>
      </c>
      <c r="E70" s="16" t="str">
        <f>IF(VLOOKUP(Tabela5[[#This Row],[CÓDIGO]],Tabela9[],2,FALSE)=0,"",VLOOKUP(Tabela5[[#This Row],[CÓDIGO]],Tabela9[],2,FALSE))</f>
        <v>Reversao de provisoes no periodo</v>
      </c>
      <c r="F70" s="18">
        <v>3210206</v>
      </c>
      <c r="G70" s="30" t="s">
        <v>1086</v>
      </c>
      <c r="H70" s="30">
        <v>2130306</v>
      </c>
      <c r="I70" s="30"/>
      <c r="J70" s="19"/>
      <c r="K70" s="21">
        <v>31640.639999999999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</row>
    <row r="71" spans="1:21" x14ac:dyDescent="0.2">
      <c r="A71" s="16" t="s">
        <v>21</v>
      </c>
      <c r="B71" s="16" t="s">
        <v>22</v>
      </c>
      <c r="C71" s="16" t="s">
        <v>23</v>
      </c>
      <c r="D71" s="16" t="s">
        <v>425</v>
      </c>
      <c r="E71" s="16" t="str">
        <f>IF(VLOOKUP(Tabela5[[#This Row],[CÓDIGO]],Tabela9[],2,FALSE)=0,"",VLOOKUP(Tabela5[[#This Row],[CÓDIGO]],Tabela9[],2,FALSE))</f>
        <v>Despesas nao dedutiveis no periodo</v>
      </c>
      <c r="F71" s="16">
        <v>3210113</v>
      </c>
      <c r="G71" s="30" t="s">
        <v>1083</v>
      </c>
      <c r="H71" s="30"/>
      <c r="I71" s="30"/>
      <c r="J71" s="19"/>
      <c r="K71" s="20">
        <v>363113.42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</row>
    <row r="72" spans="1:21" x14ac:dyDescent="0.2">
      <c r="A72" s="16" t="s">
        <v>21</v>
      </c>
      <c r="B72" s="16" t="s">
        <v>30</v>
      </c>
      <c r="C72" s="16" t="s">
        <v>32</v>
      </c>
      <c r="D72" s="16" t="s">
        <v>426</v>
      </c>
      <c r="E72" s="16" t="str">
        <f>IF(VLOOKUP(Tabela5[[#This Row],[CÓDIGO]],Tabela9[],2,FALSE)=0,"",VLOOKUP(Tabela5[[#This Row],[CÓDIGO]],Tabela9[],2,FALSE))</f>
        <v>Reversao de provisoes no periodo</v>
      </c>
      <c r="F72" s="18">
        <v>3160401</v>
      </c>
      <c r="G72" s="30" t="s">
        <v>1087</v>
      </c>
      <c r="H72" s="30">
        <v>1130601</v>
      </c>
      <c r="I72" s="30"/>
      <c r="J72" s="19">
        <v>120536.03</v>
      </c>
      <c r="K72" s="21">
        <v>21244.43</v>
      </c>
      <c r="L72" s="17">
        <v>99923.6</v>
      </c>
      <c r="M72" s="17">
        <v>23580.49</v>
      </c>
      <c r="N72" s="17"/>
      <c r="O72" s="17"/>
      <c r="P72" s="17"/>
      <c r="Q72" s="17"/>
      <c r="R72" s="17"/>
      <c r="S72" s="17"/>
      <c r="T72" s="17"/>
      <c r="U72" s="17"/>
    </row>
    <row r="73" spans="1:21" x14ac:dyDescent="0.2">
      <c r="A73" s="16" t="s">
        <v>21</v>
      </c>
      <c r="B73" s="16" t="s">
        <v>30</v>
      </c>
      <c r="C73" s="16" t="s">
        <v>31</v>
      </c>
      <c r="D73" s="16" t="s">
        <v>425</v>
      </c>
      <c r="E73" s="16" t="str">
        <f>IF(VLOOKUP(Tabela5[[#This Row],[CÓDIGO]],Tabela9[],2,FALSE)=0,"",VLOOKUP(Tabela5[[#This Row],[CÓDIGO]],Tabela9[],2,FALSE))</f>
        <v>Provisoes no período</v>
      </c>
      <c r="F73" s="18">
        <v>3160408</v>
      </c>
      <c r="G73" s="30" t="s">
        <v>1088</v>
      </c>
      <c r="H73" s="30">
        <v>1130608</v>
      </c>
      <c r="I73" s="30"/>
      <c r="J73" s="19">
        <v>141671.27000000002</v>
      </c>
      <c r="K73" s="21"/>
      <c r="L73" s="17"/>
      <c r="M73" s="17"/>
      <c r="N73" s="17"/>
      <c r="O73" s="17"/>
      <c r="P73" s="17"/>
      <c r="Q73" s="17"/>
      <c r="R73" s="17"/>
      <c r="S73" s="17"/>
      <c r="T73" s="17"/>
      <c r="U73" s="17"/>
    </row>
    <row r="74" spans="1:21" x14ac:dyDescent="0.2">
      <c r="A74" s="16" t="s">
        <v>21</v>
      </c>
      <c r="B74" s="16" t="s">
        <v>30</v>
      </c>
      <c r="C74" s="16" t="s">
        <v>32</v>
      </c>
      <c r="D74" s="16" t="s">
        <v>426</v>
      </c>
      <c r="E74" s="16" t="str">
        <f>IF(VLOOKUP(Tabela5[[#This Row],[CÓDIGO]],Tabela9[],2,FALSE)=0,"",VLOOKUP(Tabela5[[#This Row],[CÓDIGO]],Tabela9[],2,FALSE))</f>
        <v>Reversao de provisoes no periodo</v>
      </c>
      <c r="F74" s="18">
        <v>3160406</v>
      </c>
      <c r="G74" s="30" t="s">
        <v>1089</v>
      </c>
      <c r="H74" s="30">
        <v>1130609</v>
      </c>
      <c r="I74" s="30"/>
      <c r="J74" s="19">
        <v>75621.88</v>
      </c>
      <c r="K74" s="21">
        <v>13760.08</v>
      </c>
      <c r="L74" s="17"/>
      <c r="M74" s="17">
        <v>62997.83</v>
      </c>
      <c r="N74" s="17"/>
      <c r="O74" s="17"/>
      <c r="P74" s="17"/>
      <c r="Q74" s="17"/>
      <c r="R74" s="17"/>
      <c r="S74" s="17"/>
      <c r="T74" s="17"/>
      <c r="U74" s="17"/>
    </row>
    <row r="75" spans="1:21" x14ac:dyDescent="0.2">
      <c r="A75" s="16" t="s">
        <v>21</v>
      </c>
      <c r="B75" s="16" t="s">
        <v>30</v>
      </c>
      <c r="C75" s="16" t="s">
        <v>32</v>
      </c>
      <c r="D75" s="16" t="s">
        <v>426</v>
      </c>
      <c r="E75" s="16" t="str">
        <f>IF(VLOOKUP(Tabela5[[#This Row],[CÓDIGO]],Tabela9[],2,FALSE)=0,"",VLOOKUP(Tabela5[[#This Row],[CÓDIGO]],Tabela9[],2,FALSE))</f>
        <v>Reversao de provisoes no periodo</v>
      </c>
      <c r="F75" s="18">
        <v>3160403</v>
      </c>
      <c r="G75" s="30" t="s">
        <v>1090</v>
      </c>
      <c r="H75" s="30">
        <v>1130604</v>
      </c>
      <c r="I75" s="30"/>
      <c r="J75" s="19">
        <v>13720.19</v>
      </c>
      <c r="K75" s="21">
        <v>185431.33</v>
      </c>
      <c r="L75" s="17">
        <v>8392.99</v>
      </c>
      <c r="M75" s="17">
        <v>3192</v>
      </c>
      <c r="N75" s="17"/>
      <c r="O75" s="17"/>
      <c r="P75" s="17"/>
      <c r="Q75" s="17"/>
      <c r="R75" s="17"/>
      <c r="S75" s="17"/>
      <c r="T75" s="17"/>
      <c r="U75" s="17"/>
    </row>
    <row r="76" spans="1:21" x14ac:dyDescent="0.2">
      <c r="A76" s="16" t="s">
        <v>21</v>
      </c>
      <c r="B76" s="16" t="s">
        <v>30</v>
      </c>
      <c r="C76" s="16" t="s">
        <v>32</v>
      </c>
      <c r="D76" s="16" t="s">
        <v>426</v>
      </c>
      <c r="E76" s="16" t="str">
        <f>IF(VLOOKUP(Tabela5[[#This Row],[CÓDIGO]],Tabela9[],2,FALSE)=0,"",VLOOKUP(Tabela5[[#This Row],[CÓDIGO]],Tabela9[],2,FALSE))</f>
        <v>Reversao de provisoes no periodo</v>
      </c>
      <c r="F76" s="18">
        <v>3160404</v>
      </c>
      <c r="G76" s="30" t="s">
        <v>1091</v>
      </c>
      <c r="H76" s="30">
        <v>1130603</v>
      </c>
      <c r="I76" s="30"/>
      <c r="J76" s="19">
        <v>155871.22</v>
      </c>
      <c r="K76" s="21">
        <v>148180.84</v>
      </c>
      <c r="L76" s="17">
        <v>144850.35</v>
      </c>
      <c r="M76" s="17">
        <v>426260.19</v>
      </c>
      <c r="N76" s="17"/>
      <c r="O76" s="17"/>
      <c r="P76" s="17"/>
      <c r="Q76" s="17"/>
      <c r="R76" s="17"/>
      <c r="S76" s="17"/>
      <c r="T76" s="17"/>
      <c r="U76" s="17"/>
    </row>
    <row r="77" spans="1:21" x14ac:dyDescent="0.2">
      <c r="A77" s="16" t="s">
        <v>21</v>
      </c>
      <c r="B77" s="16" t="s">
        <v>30</v>
      </c>
      <c r="C77" s="16" t="s">
        <v>32</v>
      </c>
      <c r="D77" s="16" t="s">
        <v>426</v>
      </c>
      <c r="E77" s="16" t="str">
        <f>IF(VLOOKUP(Tabela5[[#This Row],[CÓDIGO]],Tabela9[],2,FALSE)=0,"",VLOOKUP(Tabela5[[#This Row],[CÓDIGO]],Tabela9[],2,FALSE))</f>
        <v>Reversao de provisoes no periodo</v>
      </c>
      <c r="F77" s="18">
        <v>3160405</v>
      </c>
      <c r="G77" s="30" t="s">
        <v>1092</v>
      </c>
      <c r="H77" s="30">
        <v>1130602</v>
      </c>
      <c r="I77" s="30"/>
      <c r="J77" s="19">
        <v>26485.7</v>
      </c>
      <c r="K77" s="21">
        <v>501641.03</v>
      </c>
      <c r="L77" s="17">
        <v>644521.43000000005</v>
      </c>
      <c r="M77" s="17">
        <v>1066390.3799999999</v>
      </c>
      <c r="N77" s="17"/>
      <c r="O77" s="17"/>
      <c r="P77" s="17"/>
      <c r="Q77" s="17"/>
      <c r="R77" s="17"/>
      <c r="S77" s="17"/>
      <c r="T77" s="17"/>
      <c r="U77" s="17"/>
    </row>
    <row r="78" spans="1:21" x14ac:dyDescent="0.2">
      <c r="A78" s="16" t="s">
        <v>21</v>
      </c>
      <c r="B78" s="16" t="s">
        <v>30</v>
      </c>
      <c r="C78" s="16" t="s">
        <v>32</v>
      </c>
      <c r="D78" s="16" t="s">
        <v>426</v>
      </c>
      <c r="E78" s="16" t="str">
        <f>IF(VLOOKUP(Tabela5[[#This Row],[CÓDIGO]],Tabela9[],2,FALSE)=0,"",VLOOKUP(Tabela5[[#This Row],[CÓDIGO]],Tabela9[],2,FALSE))</f>
        <v>Reversao de provisoes no periodo</v>
      </c>
      <c r="F78" s="18">
        <v>3211606</v>
      </c>
      <c r="G78" s="30" t="s">
        <v>1093</v>
      </c>
      <c r="H78" s="30">
        <v>2130307</v>
      </c>
      <c r="I78" s="30"/>
      <c r="J78" s="19"/>
      <c r="K78" s="17"/>
      <c r="L78" s="17">
        <v>628602.18999999994</v>
      </c>
      <c r="M78" s="17">
        <v>4025.51</v>
      </c>
      <c r="N78" s="17"/>
      <c r="O78" s="17"/>
      <c r="P78" s="17"/>
      <c r="Q78" s="17"/>
      <c r="R78" s="17"/>
      <c r="S78" s="17"/>
      <c r="T78" s="17"/>
      <c r="U78" s="17"/>
    </row>
    <row r="79" spans="1:21" x14ac:dyDescent="0.2">
      <c r="A79" s="16" t="s">
        <v>21</v>
      </c>
      <c r="B79" s="16" t="s">
        <v>30</v>
      </c>
      <c r="C79" s="16" t="s">
        <v>32</v>
      </c>
      <c r="D79" s="16" t="s">
        <v>426</v>
      </c>
      <c r="E79" s="16" t="str">
        <f>IF(VLOOKUP(Tabela5[[#This Row],[CÓDIGO]],Tabela9[],2,FALSE)=0,"",VLOOKUP(Tabela5[[#This Row],[CÓDIGO]],Tabela9[],2,FALSE))</f>
        <v>Reversao de provisoes no periodo</v>
      </c>
      <c r="F79" s="18">
        <v>3211607</v>
      </c>
      <c r="G79" s="30" t="s">
        <v>1094</v>
      </c>
      <c r="H79" s="30">
        <v>2130307</v>
      </c>
      <c r="I79" s="30"/>
      <c r="J79" s="19"/>
      <c r="K79" s="17"/>
      <c r="L79" s="17">
        <v>151934.1</v>
      </c>
      <c r="M79" s="17">
        <v>18957.46</v>
      </c>
      <c r="N79" s="17"/>
      <c r="O79" s="17"/>
      <c r="P79" s="17"/>
      <c r="Q79" s="17"/>
      <c r="R79" s="17"/>
      <c r="S79" s="17"/>
      <c r="T79" s="17"/>
      <c r="U79" s="17"/>
    </row>
    <row r="80" spans="1:21" x14ac:dyDescent="0.2">
      <c r="A80" s="16" t="s">
        <v>21</v>
      </c>
      <c r="B80" s="16" t="s">
        <v>30</v>
      </c>
      <c r="C80" s="16" t="s">
        <v>32</v>
      </c>
      <c r="D80" s="16" t="s">
        <v>426</v>
      </c>
      <c r="E80" s="16" t="str">
        <f>IF(VLOOKUP(Tabela5[[#This Row],[CÓDIGO]],Tabela9[],2,FALSE)=0,"",VLOOKUP(Tabela5[[#This Row],[CÓDIGO]],Tabela9[],2,FALSE))</f>
        <v>Reversao de provisoes no periodo</v>
      </c>
      <c r="F80" s="18">
        <v>3160408</v>
      </c>
      <c r="G80" s="30" t="s">
        <v>1088</v>
      </c>
      <c r="H80" s="30">
        <v>1130608</v>
      </c>
      <c r="I80" s="30"/>
      <c r="J80" s="19"/>
      <c r="K80" s="21">
        <v>102011.38</v>
      </c>
      <c r="L80" s="17">
        <v>225582.5</v>
      </c>
      <c r="M80" s="17">
        <v>373236.64</v>
      </c>
      <c r="N80" s="17"/>
      <c r="O80" s="17"/>
      <c r="P80" s="17"/>
      <c r="Q80" s="17"/>
      <c r="R80" s="17"/>
      <c r="S80" s="17"/>
      <c r="T80" s="17"/>
      <c r="U80" s="17"/>
    </row>
    <row r="81" spans="1:21" x14ac:dyDescent="0.2">
      <c r="A81" s="16" t="s">
        <v>21</v>
      </c>
      <c r="B81" s="16" t="s">
        <v>30</v>
      </c>
      <c r="C81" s="16" t="s">
        <v>31</v>
      </c>
      <c r="D81" s="16" t="s">
        <v>425</v>
      </c>
      <c r="E81" s="16" t="str">
        <f>IF(VLOOKUP(Tabela5[[#This Row],[CÓDIGO]],Tabela9[],2,FALSE)=0,"",VLOOKUP(Tabela5[[#This Row],[CÓDIGO]],Tabela9[],2,FALSE))</f>
        <v>Provisoes no período</v>
      </c>
      <c r="F81" s="16">
        <v>3160406</v>
      </c>
      <c r="G81" s="30" t="s">
        <v>1089</v>
      </c>
      <c r="H81" s="30">
        <v>1130609</v>
      </c>
      <c r="I81" s="30"/>
      <c r="J81" s="19"/>
      <c r="K81" s="21"/>
      <c r="L81" s="17">
        <v>3868.3999999999942</v>
      </c>
      <c r="M81" s="17"/>
      <c r="N81" s="17"/>
      <c r="O81" s="17"/>
      <c r="P81" s="17"/>
      <c r="Q81" s="17"/>
      <c r="R81" s="17"/>
      <c r="S81" s="17"/>
      <c r="T81" s="17"/>
      <c r="U81" s="17"/>
    </row>
    <row r="82" spans="1:21" x14ac:dyDescent="0.2">
      <c r="A82" s="16" t="s">
        <v>21</v>
      </c>
      <c r="B82" s="16" t="s">
        <v>30</v>
      </c>
      <c r="C82" s="16" t="s">
        <v>32</v>
      </c>
      <c r="D82" s="16" t="s">
        <v>426</v>
      </c>
      <c r="E82" s="16" t="str">
        <f>IF(VLOOKUP(Tabela5[[#This Row],[CÓDIGO]],Tabela9[],2,FALSE)=0,"",VLOOKUP(Tabela5[[#This Row],[CÓDIGO]],Tabela9[],2,FALSE))</f>
        <v>Reversao de provisoes no periodo</v>
      </c>
      <c r="F82" s="18">
        <v>3220101</v>
      </c>
      <c r="G82" s="30" t="s">
        <v>1062</v>
      </c>
      <c r="H82" s="30">
        <v>1120201</v>
      </c>
      <c r="I82" s="30"/>
      <c r="J82" s="19"/>
      <c r="K82" s="21"/>
      <c r="L82" s="17">
        <v>140551.66</v>
      </c>
      <c r="M82" s="17">
        <v>347367.74</v>
      </c>
      <c r="N82" s="17"/>
      <c r="O82" s="17"/>
      <c r="P82" s="17"/>
      <c r="Q82" s="17"/>
      <c r="R82" s="17"/>
      <c r="S82" s="17"/>
      <c r="T82" s="17"/>
      <c r="U82" s="17"/>
    </row>
    <row r="83" spans="1:21" x14ac:dyDescent="0.2">
      <c r="A83" s="16" t="s">
        <v>21</v>
      </c>
      <c r="B83" s="16" t="s">
        <v>30</v>
      </c>
      <c r="C83" s="16" t="s">
        <v>32</v>
      </c>
      <c r="D83" s="16" t="s">
        <v>426</v>
      </c>
      <c r="E83" s="16" t="str">
        <f>IF(VLOOKUP(Tabela5[[#This Row],[CÓDIGO]],Tabela9[],2,FALSE)=0,"",VLOOKUP(Tabela5[[#This Row],[CÓDIGO]],Tabela9[],2,FALSE))</f>
        <v>Reversao de provisoes no periodo</v>
      </c>
      <c r="F83" s="18">
        <v>3211603</v>
      </c>
      <c r="G83" s="30" t="s">
        <v>1063</v>
      </c>
      <c r="H83" s="30">
        <v>2130307</v>
      </c>
      <c r="I83" s="30"/>
      <c r="J83" s="19">
        <v>2405053.0499999998</v>
      </c>
      <c r="K83" s="21">
        <v>1544852.63</v>
      </c>
      <c r="L83" s="17">
        <v>953179.63</v>
      </c>
      <c r="M83" s="17"/>
      <c r="N83" s="17"/>
      <c r="O83" s="17"/>
      <c r="P83" s="17"/>
      <c r="Q83" s="17"/>
      <c r="R83" s="17"/>
      <c r="S83" s="17"/>
      <c r="T83" s="17"/>
      <c r="U83" s="17"/>
    </row>
    <row r="84" spans="1:21" x14ac:dyDescent="0.2">
      <c r="A84" s="16" t="s">
        <v>21</v>
      </c>
      <c r="B84" s="16" t="s">
        <v>30</v>
      </c>
      <c r="C84" s="16" t="s">
        <v>31</v>
      </c>
      <c r="D84" s="16" t="s">
        <v>425</v>
      </c>
      <c r="E84" s="16" t="str">
        <f>IF(VLOOKUP(Tabela5[[#This Row],[CÓDIGO]],Tabela9[],2,FALSE)=0,"",VLOOKUP(Tabela5[[#This Row],[CÓDIGO]],Tabela9[],2,FALSE))</f>
        <v>Provisoes no período</v>
      </c>
      <c r="F84" s="16">
        <v>3211603</v>
      </c>
      <c r="G84" s="30" t="s">
        <v>1063</v>
      </c>
      <c r="H84" s="30">
        <v>2130307</v>
      </c>
      <c r="I84" s="30"/>
      <c r="J84" s="19"/>
      <c r="K84" s="17"/>
      <c r="L84" s="17"/>
      <c r="M84" s="17">
        <v>2283248.67</v>
      </c>
      <c r="N84" s="17"/>
      <c r="O84" s="17"/>
      <c r="P84" s="17"/>
      <c r="Q84" s="17"/>
      <c r="R84" s="17"/>
      <c r="S84" s="17"/>
      <c r="T84" s="17"/>
      <c r="U84" s="17"/>
    </row>
  </sheetData>
  <dataValidations count="3">
    <dataValidation type="list" allowBlank="1" showInputMessage="1" showErrorMessage="1" sqref="A2:A84" xr:uid="{C7A9FA51-B0DB-402D-9876-CFF77F3927B0}">
      <formula1>$Z$5:$Z$6</formula1>
    </dataValidation>
    <dataValidation type="list" allowBlank="1" showInputMessage="1" showErrorMessage="1" sqref="B2:B84" xr:uid="{9022FA9E-9E13-4EE7-AEAA-CBB7784D5FD6}">
      <formula1>$AB$5:$AB$8</formula1>
    </dataValidation>
    <dataValidation type="list" allowBlank="1" showInputMessage="1" showErrorMessage="1" sqref="D2:D84" xr:uid="{FF0A5D40-1518-488A-A105-3388CB17AA0A}">
      <formula1>$AD$5:$AD$8</formula1>
    </dataValidation>
  </dataValidations>
  <pageMargins left="0" right="0" top="0" bottom="0" header="0.51181102362204722" footer="0.51181102362204722"/>
  <pageSetup scale="45" orientation="landscape" r:id="rId1"/>
  <headerFooter alignWithMargins="0"/>
  <ignoredErrors>
    <ignoredError sqref="H45" numberStoredAsText="1"/>
  </ignoredErrors>
  <legacy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8A0B3E-38C4-4914-B23B-D46A614FF322}">
          <x14:formula1>
            <xm:f>'Código - Histórico'!$A$1:$A$4953</xm:f>
          </x14:formula1>
          <xm:sqref>C2:C84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0DBE6-179B-42EE-A751-4398E602D36D}">
  <sheetPr codeName="Planilha10">
    <tabColor rgb="FF00B050"/>
  </sheetPr>
  <dimension ref="A1"/>
  <sheetViews>
    <sheetView showGridLines="0" workbookViewId="0">
      <selection activeCell="I4" sqref="I4"/>
    </sheetView>
  </sheetViews>
  <sheetFormatPr defaultRowHeight="15" x14ac:dyDescent="0.25"/>
  <cols>
    <col min="9" max="9" width="6.42578125" customWidth="1"/>
  </cols>
  <sheetData/>
  <sheetProtection algorithmName="SHA-512" hashValue="GWNir//QGUvHfVKBGvGX9Mr9t/IAXyxtfoR+StMo1d1VC9V3ZtbZJce4f4nwo4mPkE4Z2hbh15UvOrkG/gQROg==" saltValue="P561iQHUCnKVQcSgFePaWA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A8BF5-F779-4B88-B9FC-5683C7E4CB47}">
  <sheetPr codeName="Planilha5">
    <tabColor rgb="FFFFFF00"/>
  </sheetPr>
  <dimension ref="A1:Q397"/>
  <sheetViews>
    <sheetView showGridLines="0" topLeftCell="A55" zoomScale="80" zoomScaleNormal="80" workbookViewId="0">
      <selection activeCell="B78" sqref="B78"/>
    </sheetView>
  </sheetViews>
  <sheetFormatPr defaultRowHeight="15" x14ac:dyDescent="0.25"/>
  <cols>
    <col min="1" max="1" width="17.85546875" customWidth="1"/>
    <col min="2" max="2" width="29.28515625" customWidth="1"/>
    <col min="3" max="3" width="65.28515625" bestFit="1" customWidth="1"/>
    <col min="5" max="5" width="26.7109375" bestFit="1" customWidth="1"/>
    <col min="6" max="6" width="10.28515625" customWidth="1"/>
    <col min="7" max="7" width="52.140625" bestFit="1" customWidth="1"/>
    <col min="8" max="8" width="17.28515625" bestFit="1" customWidth="1"/>
    <col min="9" max="9" width="27.42578125" customWidth="1"/>
    <col min="10" max="10" width="11.5703125" bestFit="1" customWidth="1"/>
    <col min="12" max="12" width="20.7109375" customWidth="1"/>
    <col min="13" max="13" width="23.42578125" customWidth="1"/>
    <col min="14" max="14" width="39.28515625" bestFit="1" customWidth="1"/>
    <col min="15" max="15" width="33.5703125" customWidth="1"/>
    <col min="16" max="16" width="31.85546875" customWidth="1"/>
    <col min="17" max="17" width="127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33</v>
      </c>
      <c r="K1" t="s">
        <v>34</v>
      </c>
      <c r="L1" t="s">
        <v>489</v>
      </c>
      <c r="M1" t="s">
        <v>490</v>
      </c>
      <c r="N1" t="s">
        <v>487</v>
      </c>
      <c r="O1" t="s">
        <v>488</v>
      </c>
      <c r="P1" t="s">
        <v>485</v>
      </c>
      <c r="Q1" t="s">
        <v>486</v>
      </c>
    </row>
    <row r="2" spans="1:17" x14ac:dyDescent="0.25">
      <c r="A2" t="s">
        <v>21</v>
      </c>
      <c r="B2" t="s">
        <v>30</v>
      </c>
      <c r="C2" t="s">
        <v>291</v>
      </c>
      <c r="D2" t="s">
        <v>426</v>
      </c>
      <c r="E2" t="s">
        <v>1003</v>
      </c>
      <c r="F2">
        <v>3260308</v>
      </c>
      <c r="G2" t="s">
        <v>1041</v>
      </c>
      <c r="H2" t="s">
        <v>1044</v>
      </c>
      <c r="J2" s="11">
        <v>45322</v>
      </c>
      <c r="K2">
        <v>145458.56</v>
      </c>
      <c r="L2" t="str">
        <f>IF(A2="IRPJ",IF(LEFT(B2,1)="1","|M305|",IF(LEFT(B2,1)="2","|M310|",IF(AND(LEFT(B2,1)="3",Tabela_BaseM[[#This Row],[CONTA PARTE B]]&lt;&gt;""),"|M305|",IF(LEFT(B2,1)="4","|M312|","")))),      IF(LEFT(B2,1)="1","|M355|",IF(LEFT(B2,1)="2","|M360|",IF(AND(LEFT(B2,1)="3",Tabela_BaseM[[#This Row],[CONTA PARTE B]]&lt;&gt;""),"|M355|",IF(LEFT(B2,1)="4","|M362|","")))))</f>
        <v>|M305|</v>
      </c>
      <c r="M2" t="str">
        <f>IF(LEFT(Tabela_BaseM[[#This Row],[TIPO RELACIONAMENTO]],1)="3",(IF(A2="IRPJ",IF(LEFT(B2,1)="1","|M305|",IF(LEFT(B2,1)="2","|M310|",IF(LEFT(B2,1)="3","|M310|",IF(LEFT(B2,1)="4","|M312|","")))),IF(LEFT(B2,1)="1","|M355|",IF(LEFT(B2,1)="2","|M360|",IF(LEFT(B2,1)="3","|M360|",IF(LEFT(B2,1)="4","|M362|","")))))),"")</f>
        <v>|M310|</v>
      </c>
      <c r="N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CAMBIAL|145458,56|C|</v>
      </c>
      <c r="O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|M310|3260308||145458,56|C|</v>
      </c>
      <c r="P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" t="str">
        <f>IF(A2="IRPJ",("|M300|"&amp;LEFT(C2,FIND("-",C2)-1)&amp;"|"&amp;RIGHT(C2,LEN(C2)-FIND("-",C2))&amp;"|"&amp;LEFT(D2,1)&amp;"|"&amp;LEFT(B2,1)&amp;"|"&amp;Tabela_BaseM[[#This Row],[Valor]]&amp;"|"&amp;Tabela_BaseM[[#This Row],[HISTÓRICO]]&amp;"|"),("|M350|"&amp;LEFT(C2,FIND("-",C2)-1)&amp;"|"&amp;RIGHT(C2,LEN(C2)-FIND("-",C2))&amp;"|"&amp;LEFT(D2,1)&amp;"|"&amp;LEFT(B2,1)&amp;"|"&amp;Tabela_BaseM[[#This Row],[Valor]]&amp;"|"&amp;Tabela_BaseM[[#This Row],[HISTÓRICO]]&amp;"|"))</f>
        <v>|M300|101|(-) Varia  o cambial ativa - regra geral|E|3|145458,56|Variacao cambial ativa nao realizada no periodo|</v>
      </c>
    </row>
    <row r="3" spans="1:17" x14ac:dyDescent="0.25">
      <c r="A3" t="s">
        <v>21</v>
      </c>
      <c r="B3" t="s">
        <v>30</v>
      </c>
      <c r="C3" t="s">
        <v>291</v>
      </c>
      <c r="D3" t="s">
        <v>426</v>
      </c>
      <c r="E3" t="s">
        <v>1003</v>
      </c>
      <c r="F3">
        <v>3260301</v>
      </c>
      <c r="G3" t="s">
        <v>1040</v>
      </c>
      <c r="H3" t="s">
        <v>1044</v>
      </c>
      <c r="J3" s="11">
        <v>45322</v>
      </c>
      <c r="K3">
        <v>66960.320000000007</v>
      </c>
      <c r="L3" t="str">
        <f>IF(A3="IRPJ",IF(LEFT(B3,1)="1","|M305|",IF(LEFT(B3,1)="2","|M310|",IF(AND(LEFT(B3,1)="3",Tabela_BaseM[[#This Row],[CONTA PARTE B]]&lt;&gt;""),"|M305|",IF(LEFT(B3,1)="4","|M312|","")))),      IF(LEFT(B3,1)="1","|M355|",IF(LEFT(B3,1)="2","|M360|",IF(AND(LEFT(B3,1)="3",Tabela_BaseM[[#This Row],[CONTA PARTE B]]&lt;&gt;""),"|M355|",IF(LEFT(B3,1)="4","|M362|","")))))</f>
        <v>|M305|</v>
      </c>
      <c r="M3" t="str">
        <f>IF(LEFT(Tabela_BaseM[[#This Row],[TIPO RELACIONAMENTO]],1)="3",(IF(A3="IRPJ",IF(LEFT(B3,1)="1","|M305|",IF(LEFT(B3,1)="2","|M310|",IF(LEFT(B3,1)="3","|M310|",IF(LEFT(B3,1)="4","|M312|","")))),IF(LEFT(B3,1)="1","|M355|",IF(LEFT(B3,1)="2","|M360|",IF(LEFT(B3,1)="3","|M360|",IF(LEFT(B3,1)="4","|M362|","")))))),"")</f>
        <v>|M310|</v>
      </c>
      <c r="N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CAMBIAL|66960,32|C|</v>
      </c>
      <c r="O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|M310|3260301||66960,32|C|</v>
      </c>
      <c r="P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" t="str">
        <f>IF(A3="IRPJ",("|M300|"&amp;LEFT(C3,FIND("-",C3)-1)&amp;"|"&amp;RIGHT(C3,LEN(C3)-FIND("-",C3))&amp;"|"&amp;LEFT(D3,1)&amp;"|"&amp;LEFT(B3,1)&amp;"|"&amp;Tabela_BaseM[[#This Row],[Valor]]&amp;"|"&amp;Tabela_BaseM[[#This Row],[HISTÓRICO]]&amp;"|"),("|M350|"&amp;LEFT(C3,FIND("-",C3)-1)&amp;"|"&amp;RIGHT(C3,LEN(C3)-FIND("-",C3))&amp;"|"&amp;LEFT(D3,1)&amp;"|"&amp;LEFT(B3,1)&amp;"|"&amp;Tabela_BaseM[[#This Row],[Valor]]&amp;"|"&amp;Tabela_BaseM[[#This Row],[HISTÓRICO]]&amp;"|"))</f>
        <v>|M300|101|(-) Varia  o cambial ativa - regra geral|E|3|66960,32|Variacao cambial ativa nao realizada no periodo|</v>
      </c>
    </row>
    <row r="4" spans="1:17" x14ac:dyDescent="0.25">
      <c r="A4" t="s">
        <v>21</v>
      </c>
      <c r="B4" t="s">
        <v>30</v>
      </c>
      <c r="C4" t="s">
        <v>292</v>
      </c>
      <c r="D4" t="s">
        <v>426</v>
      </c>
      <c r="E4" t="s">
        <v>1005</v>
      </c>
      <c r="F4">
        <v>3260401</v>
      </c>
      <c r="G4" t="s">
        <v>1042</v>
      </c>
      <c r="H4" t="s">
        <v>1044</v>
      </c>
      <c r="J4" s="11">
        <v>45322</v>
      </c>
      <c r="K4">
        <v>40702.46</v>
      </c>
      <c r="L4" t="str">
        <f>IF(A4="IRPJ",IF(LEFT(B4,1)="1","|M305|",IF(LEFT(B4,1)="2","|M310|",IF(AND(LEFT(B4,1)="3",Tabela_BaseM[[#This Row],[CONTA PARTE B]]&lt;&gt;""),"|M305|",IF(LEFT(B4,1)="4","|M312|","")))),      IF(LEFT(B4,1)="1","|M355|",IF(LEFT(B4,1)="2","|M360|",IF(AND(LEFT(B4,1)="3",Tabela_BaseM[[#This Row],[CONTA PARTE B]]&lt;&gt;""),"|M355|",IF(LEFT(B4,1)="4","|M362|","")))))</f>
        <v>|M305|</v>
      </c>
      <c r="M4" t="str">
        <f>IF(LEFT(Tabela_BaseM[[#This Row],[TIPO RELACIONAMENTO]],1)="3",(IF(A4="IRPJ",IF(LEFT(B4,1)="1","|M305|",IF(LEFT(B4,1)="2","|M310|",IF(LEFT(B4,1)="3","|M310|",IF(LEFT(B4,1)="4","|M312|","")))),IF(LEFT(B4,1)="1","|M355|",IF(LEFT(B4,1)="2","|M360|",IF(LEFT(B4,1)="3","|M360|",IF(LEFT(B4,1)="4","|M362|","")))))),"")</f>
        <v>|M310|</v>
      </c>
      <c r="N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CAMBIAL|40702,46|C|</v>
      </c>
      <c r="O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|M310|3260401||40702,46|C|</v>
      </c>
      <c r="P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4" t="str">
        <f>IF(A4="IRPJ",("|M300|"&amp;LEFT(C4,FIND("-",C4)-1)&amp;"|"&amp;RIGHT(C4,LEN(C4)-FIND("-",C4))&amp;"|"&amp;LEFT(D4,1)&amp;"|"&amp;LEFT(B4,1)&amp;"|"&amp;Tabela_BaseM[[#This Row],[Valor]]&amp;"|"&amp;Tabela_BaseM[[#This Row],[HISTÓRICO]]&amp;"|"),("|M350|"&amp;LEFT(C4,FIND("-",C4)-1)&amp;"|"&amp;RIGHT(C4,LEN(C4)-FIND("-",C4))&amp;"|"&amp;LEFT(D4,1)&amp;"|"&amp;LEFT(B4,1)&amp;"|"&amp;Tabela_BaseM[[#This Row],[Valor]]&amp;"|"&amp;Tabela_BaseM[[#This Row],[HISTÓRICO]]&amp;"|"))</f>
        <v>|M300|102|(-) Varia  o cambial passiva - regra geral|E|3|40702,46|Variacao cambial passiva realizada no periodo|</v>
      </c>
    </row>
    <row r="5" spans="1:17" x14ac:dyDescent="0.25">
      <c r="A5" t="s">
        <v>21</v>
      </c>
      <c r="B5" t="s">
        <v>22</v>
      </c>
      <c r="C5" t="s">
        <v>344</v>
      </c>
      <c r="D5" t="s">
        <v>426</v>
      </c>
      <c r="E5" t="s">
        <v>1006</v>
      </c>
      <c r="F5">
        <v>3210704</v>
      </c>
      <c r="G5" t="s">
        <v>1072</v>
      </c>
      <c r="J5" s="11">
        <v>45322</v>
      </c>
      <c r="K5">
        <v>3829.47</v>
      </c>
      <c r="L5" t="str">
        <f>IF(A5="IRPJ",IF(LEFT(B5,1)="1","|M305|",IF(LEFT(B5,1)="2","|M310|",IF(AND(LEFT(B5,1)="3",Tabela_BaseM[[#This Row],[CONTA PARTE B]]&lt;&gt;""),"|M305|",IF(LEFT(B5,1)="4","|M312|","")))),      IF(LEFT(B5,1)="1","|M355|",IF(LEFT(B5,1)="2","|M360|",IF(AND(LEFT(B5,1)="3",Tabela_BaseM[[#This Row],[CONTA PARTE B]]&lt;&gt;""),"|M355|",IF(LEFT(B5,1)="4","|M362|","")))))</f>
        <v>|M310|</v>
      </c>
      <c r="M5" t="str">
        <f>IF(LEFT(Tabela_BaseM[[#This Row],[TIPO RELACIONAMENTO]],1)="3",(IF(A5="IRPJ",IF(LEFT(B5,1)="1","|M305|",IF(LEFT(B5,1)="2","|M310|",IF(LEFT(B5,1)="3","|M310|",IF(LEFT(B5,1)="4","|M312|","")))),IF(LEFT(B5,1)="1","|M355|",IF(LEFT(B5,1)="2","|M360|",IF(LEFT(B5,1)="3","|M360|",IF(LEFT(B5,1)="4","|M362|","")))))),"")</f>
        <v/>
      </c>
      <c r="N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|M310|3210704||3829,47|C|</v>
      </c>
      <c r="O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5" t="str">
        <f>IF(A5="IRPJ",("|M300|"&amp;LEFT(C5,FIND("-",C5)-1)&amp;"|"&amp;RIGHT(C5,LEN(C5)-FIND("-",C5))&amp;"|"&amp;LEFT(D5,1)&amp;"|"&amp;LEFT(B5,1)&amp;"|"&amp;Tabela_BaseM[[#This Row],[Valor]]&amp;"|"&amp;Tabela_BaseM[[#This Row],[HISTÓRICO]]&amp;"|"),("|M350|"&amp;LEFT(C5,FIND("-",C5)-1)&amp;"|"&amp;RIGHT(C5,LEN(C5)-FIND("-",C5))&amp;"|"&amp;LEFT(D5,1)&amp;"|"&amp;LEFT(B5,1)&amp;"|"&amp;Tabela_BaseM[[#This Row],[Valor]]&amp;"|"&amp;Tabela_BaseM[[#This Row],[HISTÓRICO]]&amp;"|"))</f>
        <v>|M300|134.15|(-) Arrendamento mercantil - PJ arrendat ria - contrapresta  es pagas ou creditadas de contratos n o tipificados como arrendamento|E|2|3829,47|Contraprestacoes pagas de aluguel no periodo|</v>
      </c>
    </row>
    <row r="6" spans="1:17" x14ac:dyDescent="0.25">
      <c r="A6" t="s">
        <v>21</v>
      </c>
      <c r="B6" t="s">
        <v>30</v>
      </c>
      <c r="C6" t="s">
        <v>376</v>
      </c>
      <c r="D6" t="s">
        <v>426</v>
      </c>
      <c r="E6" t="s">
        <v>1067</v>
      </c>
      <c r="F6">
        <v>3110901</v>
      </c>
      <c r="G6" t="s">
        <v>1064</v>
      </c>
      <c r="H6">
        <v>1120195</v>
      </c>
      <c r="J6" s="11">
        <v>45322</v>
      </c>
      <c r="K6">
        <v>806843.4</v>
      </c>
      <c r="L6" t="str">
        <f>IF(A6="IRPJ",IF(LEFT(B6,1)="1","|M305|",IF(LEFT(B6,1)="2","|M310|",IF(AND(LEFT(B6,1)="3",Tabela_BaseM[[#This Row],[CONTA PARTE B]]&lt;&gt;""),"|M305|",IF(LEFT(B6,1)="4","|M312|","")))),      IF(LEFT(B6,1)="1","|M355|",IF(LEFT(B6,1)="2","|M360|",IF(AND(LEFT(B6,1)="3",Tabela_BaseM[[#This Row],[CONTA PARTE B]]&lt;&gt;""),"|M355|",IF(LEFT(B6,1)="4","|M362|","")))))</f>
        <v>|M305|</v>
      </c>
      <c r="M6" t="str">
        <f>IF(LEFT(Tabela_BaseM[[#This Row],[TIPO RELACIONAMENTO]],1)="3",(IF(A6="IRPJ",IF(LEFT(B6,1)="1","|M305|",IF(LEFT(B6,1)="2","|M310|",IF(LEFT(B6,1)="3","|M310|",IF(LEFT(B6,1)="4","|M312|","")))),IF(LEFT(B6,1)="1","|M355|",IF(LEFT(B6,1)="2","|M360|",IF(LEFT(B6,1)="3","|M360|",IF(LEFT(B6,1)="4","|M362|","")))))),"")</f>
        <v>|M310|</v>
      </c>
      <c r="N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|M305|1120195|806843,4|C|</v>
      </c>
      <c r="O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|M310|3110901||806843,4|C|</v>
      </c>
      <c r="P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6" t="str">
        <f>IF(A6="IRPJ",("|M300|"&amp;LEFT(C6,FIND("-",C6)-1)&amp;"|"&amp;RIGHT(C6,LEN(C6)-FIND("-",C6))&amp;"|"&amp;LEFT(D6,1)&amp;"|"&amp;LEFT(B6,1)&amp;"|"&amp;Tabela_BaseM[[#This Row],[Valor]]&amp;"|"&amp;Tabela_BaseM[[#This Row],[HISTÓRICO]]&amp;"|"),("|M350|"&amp;LEFT(C6,FIND("-",C6)-1)&amp;"|"&amp;RIGHT(C6,LEN(C6)-FIND("-",C6))&amp;"|"&amp;LEFT(D6,1)&amp;"|"&amp;LEFT(B6,1)&amp;"|"&amp;Tabela_BaseM[[#This Row],[Valor]]&amp;"|"&amp;Tabela_BaseM[[#This Row],[HISTÓRICO]]&amp;"|"))</f>
        <v>|M300|159|(-) CPC 47 - Ajustes de Receita Bruta|E|3|806843,4|Ajuste cut-off no periodo|</v>
      </c>
    </row>
    <row r="7" spans="1:17" x14ac:dyDescent="0.25">
      <c r="A7" t="s">
        <v>21</v>
      </c>
      <c r="B7" t="s">
        <v>22</v>
      </c>
      <c r="C7" t="s">
        <v>402</v>
      </c>
      <c r="D7" t="s">
        <v>426</v>
      </c>
      <c r="E7" t="s">
        <v>1079</v>
      </c>
      <c r="F7">
        <v>3260107</v>
      </c>
      <c r="G7" t="s">
        <v>1078</v>
      </c>
      <c r="J7" s="11">
        <v>45322</v>
      </c>
      <c r="K7">
        <v>34382124.899999999</v>
      </c>
      <c r="L7" t="str">
        <f>IF(A7="IRPJ",IF(LEFT(B7,1)="1","|M305|",IF(LEFT(B7,1)="2","|M310|",IF(AND(LEFT(B7,1)="3",Tabela_BaseM[[#This Row],[CONTA PARTE B]]&lt;&gt;""),"|M305|",IF(LEFT(B7,1)="4","|M312|","")))),      IF(LEFT(B7,1)="1","|M355|",IF(LEFT(B7,1)="2","|M360|",IF(AND(LEFT(B7,1)="3",Tabela_BaseM[[#This Row],[CONTA PARTE B]]&lt;&gt;""),"|M355|",IF(LEFT(B7,1)="4","|M362|","")))))</f>
        <v>|M310|</v>
      </c>
      <c r="M7" t="str">
        <f>IF(LEFT(Tabela_BaseM[[#This Row],[TIPO RELACIONAMENTO]],1)="3",(IF(A7="IRPJ",IF(LEFT(B7,1)="1","|M305|",IF(LEFT(B7,1)="2","|M310|",IF(LEFT(B7,1)="3","|M310|",IF(LEFT(B7,1)="4","|M312|","")))),IF(LEFT(B7,1)="1","|M355|",IF(LEFT(B7,1)="2","|M360|",IF(LEFT(B7,1)="3","|M360|",IF(LEFT(B7,1)="4","|M362|","")))))),"")</f>
        <v/>
      </c>
      <c r="N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|M310|3260107||34382124,9|C|</v>
      </c>
      <c r="O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7" t="str">
        <f>IF(A7="IRPJ",("|M300|"&amp;LEFT(C7,FIND("-",C7)-1)&amp;"|"&amp;RIGHT(C7,LEN(C7)-FIND("-",C7))&amp;"|"&amp;LEFT(D7,1)&amp;"|"&amp;LEFT(B7,1)&amp;"|"&amp;Tabela_BaseM[[#This Row],[Valor]]&amp;"|"&amp;Tabela_BaseM[[#This Row],[HISTÓRICO]]&amp;"|"),("|M350|"&amp;LEFT(C7,FIND("-",C7)-1)&amp;"|"&amp;RIGHT(C7,LEN(C7)-FIND("-",C7))&amp;"|"&amp;LEFT(D7,1)&amp;"|"&amp;LEFT(B7,1)&amp;"|"&amp;Tabela_BaseM[[#This Row],[Valor]]&amp;"|"&amp;Tabela_BaseM[[#This Row],[HISTÓRICO]]&amp;"|"))</f>
        <v>|M300|167.01|(-) Outras exclus es - qualquer indicador de relacionamento|E|2|34382124,9|Juros ativos de credito extemporaneo e despesas dedutiveis|</v>
      </c>
    </row>
    <row r="8" spans="1:17" x14ac:dyDescent="0.25">
      <c r="A8" t="s">
        <v>21</v>
      </c>
      <c r="B8" t="s">
        <v>30</v>
      </c>
      <c r="C8" t="s">
        <v>81</v>
      </c>
      <c r="D8" t="s">
        <v>425</v>
      </c>
      <c r="E8" t="s">
        <v>1038</v>
      </c>
      <c r="F8">
        <v>3260302</v>
      </c>
      <c r="G8" t="s">
        <v>1004</v>
      </c>
      <c r="H8" t="s">
        <v>1044</v>
      </c>
      <c r="J8" s="11">
        <v>45322</v>
      </c>
      <c r="K8">
        <v>6337.68</v>
      </c>
      <c r="L8" t="str">
        <f>IF(A8="IRPJ",IF(LEFT(B8,1)="1","|M305|",IF(LEFT(B8,1)="2","|M310|",IF(AND(LEFT(B8,1)="3",Tabela_BaseM[[#This Row],[CONTA PARTE B]]&lt;&gt;""),"|M305|",IF(LEFT(B8,1)="4","|M312|","")))),      IF(LEFT(B8,1)="1","|M355|",IF(LEFT(B8,1)="2","|M360|",IF(AND(LEFT(B8,1)="3",Tabela_BaseM[[#This Row],[CONTA PARTE B]]&lt;&gt;""),"|M355|",IF(LEFT(B8,1)="4","|M362|","")))))</f>
        <v>|M305|</v>
      </c>
      <c r="M8" t="str">
        <f>IF(LEFT(Tabela_BaseM[[#This Row],[TIPO RELACIONAMENTO]],1)="3",(IF(A8="IRPJ",IF(LEFT(B8,1)="1","|M305|",IF(LEFT(B8,1)="2","|M310|",IF(LEFT(B8,1)="3","|M310|",IF(LEFT(B8,1)="4","|M312|","")))),IF(LEFT(B8,1)="1","|M355|",IF(LEFT(B8,1)="2","|M360|",IF(LEFT(B8,1)="3","|M360|",IF(LEFT(B8,1)="4","|M362|","")))))),"")</f>
        <v>|M310|</v>
      </c>
      <c r="N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CAMBIAL|6337,68|D|</v>
      </c>
      <c r="O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|M310|3260302||6337,68|D|</v>
      </c>
      <c r="P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8" t="str">
        <f>IF(A8="IRPJ",("|M300|"&amp;LEFT(C8,FIND("-",C8)-1)&amp;"|"&amp;RIGHT(C8,LEN(C8)-FIND("-",C8))&amp;"|"&amp;LEFT(D8,1)&amp;"|"&amp;LEFT(B8,1)&amp;"|"&amp;Tabela_BaseM[[#This Row],[Valor]]&amp;"|"&amp;Tabela_BaseM[[#This Row],[HISTÓRICO]]&amp;"|"),("|M350|"&amp;LEFT(C8,FIND("-",C8)-1)&amp;"|"&amp;RIGHT(C8,LEN(C8)-FIND("-",C8))&amp;"|"&amp;LEFT(D8,1)&amp;"|"&amp;LEFT(B8,1)&amp;"|"&amp;Tabela_BaseM[[#This Row],[Valor]]&amp;"|"&amp;Tabela_BaseM[[#This Row],[HISTÓRICO]]&amp;"|"))</f>
        <v>|M300|16|Varia  o cambial passiva - regra geral - valor evidenciado no registro L300 de acordo com o regime de compet ncia|A|3|6337,68|Variacao cambial nao realizada no periodo|</v>
      </c>
    </row>
    <row r="9" spans="1:17" x14ac:dyDescent="0.25">
      <c r="A9" t="s">
        <v>21</v>
      </c>
      <c r="B9" t="s">
        <v>30</v>
      </c>
      <c r="C9" t="s">
        <v>81</v>
      </c>
      <c r="D9" t="s">
        <v>425</v>
      </c>
      <c r="E9" t="s">
        <v>1038</v>
      </c>
      <c r="F9">
        <v>3260403</v>
      </c>
      <c r="G9" t="s">
        <v>1043</v>
      </c>
      <c r="H9" t="s">
        <v>1044</v>
      </c>
      <c r="J9" s="11">
        <v>45322</v>
      </c>
      <c r="K9">
        <v>4068219.7</v>
      </c>
      <c r="L9" t="str">
        <f>IF(A9="IRPJ",IF(LEFT(B9,1)="1","|M305|",IF(LEFT(B9,1)="2","|M310|",IF(AND(LEFT(B9,1)="3",Tabela_BaseM[[#This Row],[CONTA PARTE B]]&lt;&gt;""),"|M305|",IF(LEFT(B9,1)="4","|M312|","")))),      IF(LEFT(B9,1)="1","|M355|",IF(LEFT(B9,1)="2","|M360|",IF(AND(LEFT(B9,1)="3",Tabela_BaseM[[#This Row],[CONTA PARTE B]]&lt;&gt;""),"|M355|",IF(LEFT(B9,1)="4","|M362|","")))))</f>
        <v>|M305|</v>
      </c>
      <c r="M9" t="str">
        <f>IF(LEFT(Tabela_BaseM[[#This Row],[TIPO RELACIONAMENTO]],1)="3",(IF(A9="IRPJ",IF(LEFT(B9,1)="1","|M305|",IF(LEFT(B9,1)="2","|M310|",IF(LEFT(B9,1)="3","|M310|",IF(LEFT(B9,1)="4","|M312|","")))),IF(LEFT(B9,1)="1","|M355|",IF(LEFT(B9,1)="2","|M360|",IF(LEFT(B9,1)="3","|M360|",IF(LEFT(B9,1)="4","|M362|","")))))),"")</f>
        <v>|M310|</v>
      </c>
      <c r="N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CAMBIAL|4068219,7|D|</v>
      </c>
      <c r="O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|M310|3260403||4068219,7|D|</v>
      </c>
      <c r="P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9" t="str">
        <f>IF(A9="IRPJ",("|M300|"&amp;LEFT(C9,FIND("-",C9)-1)&amp;"|"&amp;RIGHT(C9,LEN(C9)-FIND("-",C9))&amp;"|"&amp;LEFT(D9,1)&amp;"|"&amp;LEFT(B9,1)&amp;"|"&amp;Tabela_BaseM[[#This Row],[Valor]]&amp;"|"&amp;Tabela_BaseM[[#This Row],[HISTÓRICO]]&amp;"|"),("|M350|"&amp;LEFT(C9,FIND("-",C9)-1)&amp;"|"&amp;RIGHT(C9,LEN(C9)-FIND("-",C9))&amp;"|"&amp;LEFT(D9,1)&amp;"|"&amp;LEFT(B9,1)&amp;"|"&amp;Tabela_BaseM[[#This Row],[Valor]]&amp;"|"&amp;Tabela_BaseM[[#This Row],[HISTÓRICO]]&amp;"|"))</f>
        <v>|M300|16|Varia  o cambial passiva - regra geral - valor evidenciado no registro L300 de acordo com o regime de compet ncia|A|3|4068219,7|Variacao cambial nao realizada no periodo|</v>
      </c>
    </row>
    <row r="10" spans="1:17" x14ac:dyDescent="0.25">
      <c r="A10" t="s">
        <v>21</v>
      </c>
      <c r="B10" t="s">
        <v>30</v>
      </c>
      <c r="C10" t="s">
        <v>81</v>
      </c>
      <c r="D10" t="s">
        <v>425</v>
      </c>
      <c r="E10" t="s">
        <v>1038</v>
      </c>
      <c r="F10">
        <v>3260402</v>
      </c>
      <c r="G10" t="s">
        <v>1001</v>
      </c>
      <c r="H10" t="s">
        <v>1044</v>
      </c>
      <c r="J10" s="11">
        <v>45322</v>
      </c>
      <c r="K10">
        <v>51599.750000000007</v>
      </c>
      <c r="L10" t="str">
        <f>IF(A10="IRPJ",IF(LEFT(B10,1)="1","|M305|",IF(LEFT(B10,1)="2","|M310|",IF(AND(LEFT(B10,1)="3",Tabela_BaseM[[#This Row],[CONTA PARTE B]]&lt;&gt;""),"|M305|",IF(LEFT(B10,1)="4","|M312|","")))),      IF(LEFT(B10,1)="1","|M355|",IF(LEFT(B10,1)="2","|M360|",IF(AND(LEFT(B10,1)="3",Tabela_BaseM[[#This Row],[CONTA PARTE B]]&lt;&gt;""),"|M355|",IF(LEFT(B10,1)="4","|M362|","")))))</f>
        <v>|M305|</v>
      </c>
      <c r="M10" t="str">
        <f>IF(LEFT(Tabela_BaseM[[#This Row],[TIPO RELACIONAMENTO]],1)="3",(IF(A10="IRPJ",IF(LEFT(B10,1)="1","|M305|",IF(LEFT(B10,1)="2","|M310|",IF(LEFT(B10,1)="3","|M310|",IF(LEFT(B10,1)="4","|M312|","")))),IF(LEFT(B10,1)="1","|M355|",IF(LEFT(B10,1)="2","|M360|",IF(LEFT(B10,1)="3","|M360|",IF(LEFT(B10,1)="4","|M362|","")))))),"")</f>
        <v>|M310|</v>
      </c>
      <c r="N1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CAMBIAL|51599,75|D|</v>
      </c>
      <c r="O1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|M310|3260402||51599,75|D|</v>
      </c>
      <c r="P1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0" t="str">
        <f>IF(A10="IRPJ",("|M300|"&amp;LEFT(C10,FIND("-",C10)-1)&amp;"|"&amp;RIGHT(C10,LEN(C10)-FIND("-",C10))&amp;"|"&amp;LEFT(D10,1)&amp;"|"&amp;LEFT(B10,1)&amp;"|"&amp;Tabela_BaseM[[#This Row],[Valor]]&amp;"|"&amp;Tabela_BaseM[[#This Row],[HISTÓRICO]]&amp;"|"),("|M350|"&amp;LEFT(C10,FIND("-",C10)-1)&amp;"|"&amp;RIGHT(C10,LEN(C10)-FIND("-",C10))&amp;"|"&amp;LEFT(D10,1)&amp;"|"&amp;LEFT(B10,1)&amp;"|"&amp;Tabela_BaseM[[#This Row],[Valor]]&amp;"|"&amp;Tabela_BaseM[[#This Row],[HISTÓRICO]]&amp;"|"))</f>
        <v>|M300|16|Varia  o cambial passiva - regra geral - valor evidenciado no registro L300 de acordo com o regime de compet ncia|A|3|51599,75|Variacao cambial nao realizada no periodo|</v>
      </c>
    </row>
    <row r="11" spans="1:17" x14ac:dyDescent="0.25">
      <c r="A11" t="s">
        <v>21</v>
      </c>
      <c r="B11" t="s">
        <v>30</v>
      </c>
      <c r="C11" t="s">
        <v>81</v>
      </c>
      <c r="D11" t="s">
        <v>425</v>
      </c>
      <c r="E11" t="s">
        <v>1038</v>
      </c>
      <c r="F11">
        <v>3260401</v>
      </c>
      <c r="G11" t="s">
        <v>1042</v>
      </c>
      <c r="H11" t="s">
        <v>1044</v>
      </c>
      <c r="J11" s="11">
        <v>45322</v>
      </c>
      <c r="K11">
        <v>107662.78</v>
      </c>
      <c r="L11" t="str">
        <f>IF(A11="IRPJ",IF(LEFT(B11,1)="1","|M305|",IF(LEFT(B11,1)="2","|M310|",IF(AND(LEFT(B11,1)="3",Tabela_BaseM[[#This Row],[CONTA PARTE B]]&lt;&gt;""),"|M305|",IF(LEFT(B11,1)="4","|M312|","")))),      IF(LEFT(B11,1)="1","|M355|",IF(LEFT(B11,1)="2","|M360|",IF(AND(LEFT(B11,1)="3",Tabela_BaseM[[#This Row],[CONTA PARTE B]]&lt;&gt;""),"|M355|",IF(LEFT(B11,1)="4","|M362|","")))))</f>
        <v>|M305|</v>
      </c>
      <c r="M11" t="str">
        <f>IF(LEFT(Tabela_BaseM[[#This Row],[TIPO RELACIONAMENTO]],1)="3",(IF(A11="IRPJ",IF(LEFT(B11,1)="1","|M305|",IF(LEFT(B11,1)="2","|M310|",IF(LEFT(B11,1)="3","|M310|",IF(LEFT(B11,1)="4","|M312|","")))),IF(LEFT(B11,1)="1","|M355|",IF(LEFT(B11,1)="2","|M360|",IF(LEFT(B11,1)="3","|M360|",IF(LEFT(B11,1)="4","|M362|","")))))),"")</f>
        <v>|M310|</v>
      </c>
      <c r="N1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CAMBIAL|107662,78|D|</v>
      </c>
      <c r="O1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|M310|3260401||107662,78|D|</v>
      </c>
      <c r="P1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1" t="str">
        <f>IF(A11="IRPJ",("|M300|"&amp;LEFT(C11,FIND("-",C11)-1)&amp;"|"&amp;RIGHT(C11,LEN(C11)-FIND("-",C11))&amp;"|"&amp;LEFT(D11,1)&amp;"|"&amp;LEFT(B11,1)&amp;"|"&amp;Tabela_BaseM[[#This Row],[Valor]]&amp;"|"&amp;Tabela_BaseM[[#This Row],[HISTÓRICO]]&amp;"|"),("|M350|"&amp;LEFT(C11,FIND("-",C11)-1)&amp;"|"&amp;RIGHT(C11,LEN(C11)-FIND("-",C11))&amp;"|"&amp;LEFT(D11,1)&amp;"|"&amp;LEFT(B11,1)&amp;"|"&amp;Tabela_BaseM[[#This Row],[Valor]]&amp;"|"&amp;Tabela_BaseM[[#This Row],[HISTÓRICO]]&amp;"|"))</f>
        <v>|M300|16|Varia  o cambial passiva - regra geral - valor evidenciado no registro L300 de acordo com o regime de compet ncia|A|3|107662,78|Variacao cambial nao realizada no periodo|</v>
      </c>
    </row>
    <row r="12" spans="1:17" x14ac:dyDescent="0.25">
      <c r="A12" t="s">
        <v>21</v>
      </c>
      <c r="B12" t="s">
        <v>30</v>
      </c>
      <c r="C12" t="s">
        <v>31</v>
      </c>
      <c r="D12" t="s">
        <v>425</v>
      </c>
      <c r="E12" t="s">
        <v>430</v>
      </c>
      <c r="F12">
        <v>3210205</v>
      </c>
      <c r="G12" t="s">
        <v>1085</v>
      </c>
      <c r="H12">
        <v>2130306</v>
      </c>
      <c r="J12" s="11">
        <v>45322</v>
      </c>
      <c r="K12">
        <v>11499.949999999999</v>
      </c>
      <c r="L12" t="str">
        <f>IF(A12="IRPJ",IF(LEFT(B12,1)="1","|M305|",IF(LEFT(B12,1)="2","|M310|",IF(AND(LEFT(B12,1)="3",Tabela_BaseM[[#This Row],[CONTA PARTE B]]&lt;&gt;""),"|M305|",IF(LEFT(B12,1)="4","|M312|","")))),      IF(LEFT(B12,1)="1","|M355|",IF(LEFT(B12,1)="2","|M360|",IF(AND(LEFT(B12,1)="3",Tabela_BaseM[[#This Row],[CONTA PARTE B]]&lt;&gt;""),"|M355|",IF(LEFT(B12,1)="4","|M362|","")))))</f>
        <v>|M305|</v>
      </c>
      <c r="M12" t="str">
        <f>IF(LEFT(Tabela_BaseM[[#This Row],[TIPO RELACIONAMENTO]],1)="3",(IF(A12="IRPJ",IF(LEFT(B12,1)="1","|M305|",IF(LEFT(B12,1)="2","|M310|",IF(LEFT(B12,1)="3","|M310|",IF(LEFT(B12,1)="4","|M312|","")))),IF(LEFT(B12,1)="1","|M355|",IF(LEFT(B12,1)="2","|M360|",IF(LEFT(B12,1)="3","|M360|",IF(LEFT(B12,1)="4","|M362|","")))))),"")</f>
        <v>|M310|</v>
      </c>
      <c r="N1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|M305|2130306|11499,95|D|</v>
      </c>
      <c r="O1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|M310|3210205||11499,95|D|</v>
      </c>
      <c r="P1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2" t="str">
        <f>IF(A12="IRPJ",("|M300|"&amp;LEFT(C12,FIND("-",C12)-1)&amp;"|"&amp;RIGHT(C12,LEN(C12)-FIND("-",C12))&amp;"|"&amp;LEFT(D12,1)&amp;"|"&amp;LEFT(B12,1)&amp;"|"&amp;Tabela_BaseM[[#This Row],[Valor]]&amp;"|"&amp;Tabela_BaseM[[#This Row],[HISTÓRICO]]&amp;"|"),("|M350|"&amp;LEFT(C12,FIND("-",C12)-1)&amp;"|"&amp;RIGHT(C12,LEN(C12)-FIND("-",C12))&amp;"|"&amp;LEFT(D12,1)&amp;"|"&amp;LEFT(B12,1)&amp;"|"&amp;Tabela_BaseM[[#This Row],[Valor]]&amp;"|"&amp;Tabela_BaseM[[#This Row],[HISTÓRICO]]&amp;"|"))</f>
        <v>|M300|6|Provis es ou perdas estimadas n o dedut veis|A|3|11499,95|Provisoes no período|</v>
      </c>
    </row>
    <row r="13" spans="1:17" x14ac:dyDescent="0.25">
      <c r="A13" t="s">
        <v>21</v>
      </c>
      <c r="B13" t="s">
        <v>30</v>
      </c>
      <c r="C13" t="s">
        <v>31</v>
      </c>
      <c r="D13" t="s">
        <v>425</v>
      </c>
      <c r="E13" t="s">
        <v>430</v>
      </c>
      <c r="F13">
        <v>3160408</v>
      </c>
      <c r="G13" t="s">
        <v>1088</v>
      </c>
      <c r="H13">
        <v>1130608</v>
      </c>
      <c r="J13" s="11">
        <v>45322</v>
      </c>
      <c r="K13">
        <v>141671.27000000002</v>
      </c>
      <c r="L13" t="str">
        <f>IF(A13="IRPJ",IF(LEFT(B13,1)="1","|M305|",IF(LEFT(B13,1)="2","|M310|",IF(AND(LEFT(B13,1)="3",Tabela_BaseM[[#This Row],[CONTA PARTE B]]&lt;&gt;""),"|M305|",IF(LEFT(B13,1)="4","|M312|","")))),      IF(LEFT(B13,1)="1","|M355|",IF(LEFT(B13,1)="2","|M360|",IF(AND(LEFT(B13,1)="3",Tabela_BaseM[[#This Row],[CONTA PARTE B]]&lt;&gt;""),"|M355|",IF(LEFT(B13,1)="4","|M362|","")))))</f>
        <v>|M305|</v>
      </c>
      <c r="M13" t="str">
        <f>IF(LEFT(Tabela_BaseM[[#This Row],[TIPO RELACIONAMENTO]],1)="3",(IF(A13="IRPJ",IF(LEFT(B13,1)="1","|M305|",IF(LEFT(B13,1)="2","|M310|",IF(LEFT(B13,1)="3","|M310|",IF(LEFT(B13,1)="4","|M312|","")))),IF(LEFT(B13,1)="1","|M355|",IF(LEFT(B13,1)="2","|M360|",IF(LEFT(B13,1)="3","|M360|",IF(LEFT(B13,1)="4","|M362|","")))))),"")</f>
        <v>|M310|</v>
      </c>
      <c r="N1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|M305|1130608|141671,27|D|</v>
      </c>
      <c r="O1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|M310|3160408||141671,27|D|</v>
      </c>
      <c r="P1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3" t="str">
        <f>IF(A13="IRPJ",("|M300|"&amp;LEFT(C13,FIND("-",C13)-1)&amp;"|"&amp;RIGHT(C13,LEN(C13)-FIND("-",C13))&amp;"|"&amp;LEFT(D13,1)&amp;"|"&amp;LEFT(B13,1)&amp;"|"&amp;Tabela_BaseM[[#This Row],[Valor]]&amp;"|"&amp;Tabela_BaseM[[#This Row],[HISTÓRICO]]&amp;"|"),("|M350|"&amp;LEFT(C13,FIND("-",C13)-1)&amp;"|"&amp;RIGHT(C13,LEN(C13)-FIND("-",C13))&amp;"|"&amp;LEFT(D13,1)&amp;"|"&amp;LEFT(B13,1)&amp;"|"&amp;Tabela_BaseM[[#This Row],[Valor]]&amp;"|"&amp;Tabela_BaseM[[#This Row],[HISTÓRICO]]&amp;"|"))</f>
        <v>|M300|6|Provis es ou perdas estimadas n o dedut veis|A|3|141671,27|Provisoes no período|</v>
      </c>
    </row>
    <row r="14" spans="1:17" x14ac:dyDescent="0.25">
      <c r="A14" t="s">
        <v>21</v>
      </c>
      <c r="B14" t="s">
        <v>30</v>
      </c>
      <c r="C14" t="s">
        <v>31</v>
      </c>
      <c r="D14" t="s">
        <v>425</v>
      </c>
      <c r="E14" t="s">
        <v>430</v>
      </c>
      <c r="F14">
        <v>3210206</v>
      </c>
      <c r="G14" t="s">
        <v>1086</v>
      </c>
      <c r="H14">
        <v>2130306</v>
      </c>
      <c r="J14" s="11">
        <v>45322</v>
      </c>
      <c r="K14">
        <v>32749.68</v>
      </c>
      <c r="L14" t="str">
        <f>IF(A14="IRPJ",IF(LEFT(B14,1)="1","|M305|",IF(LEFT(B14,1)="2","|M310|",IF(AND(LEFT(B14,1)="3",Tabela_BaseM[[#This Row],[CONTA PARTE B]]&lt;&gt;""),"|M305|",IF(LEFT(B14,1)="4","|M312|","")))),      IF(LEFT(B14,1)="1","|M355|",IF(LEFT(B14,1)="2","|M360|",IF(AND(LEFT(B14,1)="3",Tabela_BaseM[[#This Row],[CONTA PARTE B]]&lt;&gt;""),"|M355|",IF(LEFT(B14,1)="4","|M362|","")))))</f>
        <v>|M305|</v>
      </c>
      <c r="M14" t="str">
        <f>IF(LEFT(Tabela_BaseM[[#This Row],[TIPO RELACIONAMENTO]],1)="3",(IF(A14="IRPJ",IF(LEFT(B14,1)="1","|M305|",IF(LEFT(B14,1)="2","|M310|",IF(LEFT(B14,1)="3","|M310|",IF(LEFT(B14,1)="4","|M312|","")))),IF(LEFT(B14,1)="1","|M355|",IF(LEFT(B14,1)="2","|M360|",IF(LEFT(B14,1)="3","|M360|",IF(LEFT(B14,1)="4","|M362|","")))))),"")</f>
        <v>|M310|</v>
      </c>
      <c r="N1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|M305|2130306|32749,68|D|</v>
      </c>
      <c r="O1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|M310|3210206||32749,68|D|</v>
      </c>
      <c r="P1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4" t="str">
        <f>IF(A14="IRPJ",("|M300|"&amp;LEFT(C14,FIND("-",C14)-1)&amp;"|"&amp;RIGHT(C14,LEN(C14)-FIND("-",C14))&amp;"|"&amp;LEFT(D14,1)&amp;"|"&amp;LEFT(B14,1)&amp;"|"&amp;Tabela_BaseM[[#This Row],[Valor]]&amp;"|"&amp;Tabela_BaseM[[#This Row],[HISTÓRICO]]&amp;"|"),("|M350|"&amp;LEFT(C14,FIND("-",C14)-1)&amp;"|"&amp;RIGHT(C14,LEN(C14)-FIND("-",C14))&amp;"|"&amp;LEFT(D14,1)&amp;"|"&amp;LEFT(B14,1)&amp;"|"&amp;Tabela_BaseM[[#This Row],[Valor]]&amp;"|"&amp;Tabela_BaseM[[#This Row],[HISTÓRICO]]&amp;"|"))</f>
        <v>|M300|6|Provis es ou perdas estimadas n o dedut veis|A|3|32749,68|Provisoes no período|</v>
      </c>
    </row>
    <row r="15" spans="1:17" x14ac:dyDescent="0.25">
      <c r="A15" t="s">
        <v>21</v>
      </c>
      <c r="B15" t="s">
        <v>30</v>
      </c>
      <c r="C15" t="s">
        <v>31</v>
      </c>
      <c r="D15" t="s">
        <v>425</v>
      </c>
      <c r="E15" t="s">
        <v>430</v>
      </c>
      <c r="F15">
        <v>3211602</v>
      </c>
      <c r="G15" t="s">
        <v>1027</v>
      </c>
      <c r="H15">
        <v>2130304</v>
      </c>
      <c r="J15" s="11">
        <v>45322</v>
      </c>
      <c r="K15">
        <v>35025.590000000004</v>
      </c>
      <c r="L15" t="str">
        <f>IF(A15="IRPJ",IF(LEFT(B15,1)="1","|M305|",IF(LEFT(B15,1)="2","|M310|",IF(AND(LEFT(B15,1)="3",Tabela_BaseM[[#This Row],[CONTA PARTE B]]&lt;&gt;""),"|M305|",IF(LEFT(B15,1)="4","|M312|","")))),      IF(LEFT(B15,1)="1","|M355|",IF(LEFT(B15,1)="2","|M360|",IF(AND(LEFT(B15,1)="3",Tabela_BaseM[[#This Row],[CONTA PARTE B]]&lt;&gt;""),"|M355|",IF(LEFT(B15,1)="4","|M362|","")))))</f>
        <v>|M305|</v>
      </c>
      <c r="M15" t="str">
        <f>IF(LEFT(Tabela_BaseM[[#This Row],[TIPO RELACIONAMENTO]],1)="3",(IF(A15="IRPJ",IF(LEFT(B15,1)="1","|M305|",IF(LEFT(B15,1)="2","|M310|",IF(LEFT(B15,1)="3","|M310|",IF(LEFT(B15,1)="4","|M312|","")))),IF(LEFT(B15,1)="1","|M355|",IF(LEFT(B15,1)="2","|M360|",IF(LEFT(B15,1)="3","|M360|",IF(LEFT(B15,1)="4","|M362|","")))))),"")</f>
        <v>|M310|</v>
      </c>
      <c r="N1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|M305|2130304|35025,59|D|</v>
      </c>
      <c r="O1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|M310|3211602||35025,59|D|</v>
      </c>
      <c r="P1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5" t="str">
        <f>IF(A15="IRPJ",("|M300|"&amp;LEFT(C15,FIND("-",C15)-1)&amp;"|"&amp;RIGHT(C15,LEN(C15)-FIND("-",C15))&amp;"|"&amp;LEFT(D15,1)&amp;"|"&amp;LEFT(B15,1)&amp;"|"&amp;Tabela_BaseM[[#This Row],[Valor]]&amp;"|"&amp;Tabela_BaseM[[#This Row],[HISTÓRICO]]&amp;"|"),("|M350|"&amp;LEFT(C15,FIND("-",C15)-1)&amp;"|"&amp;RIGHT(C15,LEN(C15)-FIND("-",C15))&amp;"|"&amp;LEFT(D15,1)&amp;"|"&amp;LEFT(B15,1)&amp;"|"&amp;Tabela_BaseM[[#This Row],[Valor]]&amp;"|"&amp;Tabela_BaseM[[#This Row],[HISTÓRICO]]&amp;"|"))</f>
        <v>|M300|6|Provis es ou perdas estimadas n o dedut veis|A|3|35025,59|Provisoes no período|</v>
      </c>
    </row>
    <row r="16" spans="1:17" x14ac:dyDescent="0.25">
      <c r="A16" t="s">
        <v>21</v>
      </c>
      <c r="B16" t="s">
        <v>30</v>
      </c>
      <c r="C16" t="s">
        <v>31</v>
      </c>
      <c r="D16" t="s">
        <v>425</v>
      </c>
      <c r="E16" t="s">
        <v>430</v>
      </c>
      <c r="F16">
        <v>3210201</v>
      </c>
      <c r="G16" t="s">
        <v>1058</v>
      </c>
      <c r="H16">
        <v>2130301</v>
      </c>
      <c r="J16" s="11">
        <v>45322</v>
      </c>
      <c r="K16">
        <v>341253</v>
      </c>
      <c r="L16" t="str">
        <f>IF(A16="IRPJ",IF(LEFT(B16,1)="1","|M305|",IF(LEFT(B16,1)="2","|M310|",IF(AND(LEFT(B16,1)="3",Tabela_BaseM[[#This Row],[CONTA PARTE B]]&lt;&gt;""),"|M305|",IF(LEFT(B16,1)="4","|M312|","")))),      IF(LEFT(B16,1)="1","|M355|",IF(LEFT(B16,1)="2","|M360|",IF(AND(LEFT(B16,1)="3",Tabela_BaseM[[#This Row],[CONTA PARTE B]]&lt;&gt;""),"|M355|",IF(LEFT(B16,1)="4","|M362|","")))))</f>
        <v>|M305|</v>
      </c>
      <c r="M16" t="str">
        <f>IF(LEFT(Tabela_BaseM[[#This Row],[TIPO RELACIONAMENTO]],1)="3",(IF(A16="IRPJ",IF(LEFT(B16,1)="1","|M305|",IF(LEFT(B16,1)="2","|M310|",IF(LEFT(B16,1)="3","|M310|",IF(LEFT(B16,1)="4","|M312|","")))),IF(LEFT(B16,1)="1","|M355|",IF(LEFT(B16,1)="2","|M360|",IF(LEFT(B16,1)="3","|M360|",IF(LEFT(B16,1)="4","|M362|","")))))),"")</f>
        <v>|M310|</v>
      </c>
      <c r="N1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|M305|2130301|341253|D|</v>
      </c>
      <c r="O1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|M310|3210201||341253|D|</v>
      </c>
      <c r="P1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6" t="str">
        <f>IF(A16="IRPJ",("|M300|"&amp;LEFT(C16,FIND("-",C16)-1)&amp;"|"&amp;RIGHT(C16,LEN(C16)-FIND("-",C16))&amp;"|"&amp;LEFT(D16,1)&amp;"|"&amp;LEFT(B16,1)&amp;"|"&amp;Tabela_BaseM[[#This Row],[Valor]]&amp;"|"&amp;Tabela_BaseM[[#This Row],[HISTÓRICO]]&amp;"|"),("|M350|"&amp;LEFT(C16,FIND("-",C16)-1)&amp;"|"&amp;RIGHT(C16,LEN(C16)-FIND("-",C16))&amp;"|"&amp;LEFT(D16,1)&amp;"|"&amp;LEFT(B16,1)&amp;"|"&amp;Tabela_BaseM[[#This Row],[Valor]]&amp;"|"&amp;Tabela_BaseM[[#This Row],[HISTÓRICO]]&amp;"|"))</f>
        <v>|M300|6|Provis es ou perdas estimadas n o dedut veis|A|3|341253|Provisoes no período|</v>
      </c>
    </row>
    <row r="17" spans="1:17" x14ac:dyDescent="0.25">
      <c r="A17" t="s">
        <v>21</v>
      </c>
      <c r="B17" t="s">
        <v>30</v>
      </c>
      <c r="C17" t="s">
        <v>31</v>
      </c>
      <c r="D17" t="s">
        <v>425</v>
      </c>
      <c r="E17" t="s">
        <v>430</v>
      </c>
      <c r="F17">
        <v>3230307</v>
      </c>
      <c r="G17" t="s">
        <v>1057</v>
      </c>
      <c r="H17">
        <v>21405</v>
      </c>
      <c r="J17" s="11">
        <v>45322</v>
      </c>
      <c r="K17">
        <v>6.12</v>
      </c>
      <c r="L17" t="str">
        <f>IF(A17="IRPJ",IF(LEFT(B17,1)="1","|M305|",IF(LEFT(B17,1)="2","|M310|",IF(AND(LEFT(B17,1)="3",Tabela_BaseM[[#This Row],[CONTA PARTE B]]&lt;&gt;""),"|M305|",IF(LEFT(B17,1)="4","|M312|","")))),      IF(LEFT(B17,1)="1","|M355|",IF(LEFT(B17,1)="2","|M360|",IF(AND(LEFT(B17,1)="3",Tabela_BaseM[[#This Row],[CONTA PARTE B]]&lt;&gt;""),"|M355|",IF(LEFT(B17,1)="4","|M362|","")))))</f>
        <v>|M305|</v>
      </c>
      <c r="M17" t="str">
        <f>IF(LEFT(Tabela_BaseM[[#This Row],[TIPO RELACIONAMENTO]],1)="3",(IF(A17="IRPJ",IF(LEFT(B17,1)="1","|M305|",IF(LEFT(B17,1)="2","|M310|",IF(LEFT(B17,1)="3","|M310|",IF(LEFT(B17,1)="4","|M312|","")))),IF(LEFT(B17,1)="1","|M355|",IF(LEFT(B17,1)="2","|M360|",IF(LEFT(B17,1)="3","|M360|",IF(LEFT(B17,1)="4","|M362|","")))))),"")</f>
        <v>|M310|</v>
      </c>
      <c r="N1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|M305|21405|6,12|D|</v>
      </c>
      <c r="O1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|M310|3230307||6,12|D|</v>
      </c>
      <c r="P1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7" t="str">
        <f>IF(A17="IRPJ",("|M300|"&amp;LEFT(C17,FIND("-",C17)-1)&amp;"|"&amp;RIGHT(C17,LEN(C17)-FIND("-",C17))&amp;"|"&amp;LEFT(D17,1)&amp;"|"&amp;LEFT(B17,1)&amp;"|"&amp;Tabela_BaseM[[#This Row],[Valor]]&amp;"|"&amp;Tabela_BaseM[[#This Row],[HISTÓRICO]]&amp;"|"),("|M350|"&amp;LEFT(C17,FIND("-",C17)-1)&amp;"|"&amp;RIGHT(C17,LEN(C17)-FIND("-",C17))&amp;"|"&amp;LEFT(D17,1)&amp;"|"&amp;LEFT(B17,1)&amp;"|"&amp;Tabela_BaseM[[#This Row],[Valor]]&amp;"|"&amp;Tabela_BaseM[[#This Row],[HISTÓRICO]]&amp;"|"))</f>
        <v>|M300|6|Provis es ou perdas estimadas n o dedut veis|A|3|6,12|Provisoes no período|</v>
      </c>
    </row>
    <row r="18" spans="1:17" x14ac:dyDescent="0.25">
      <c r="A18" t="s">
        <v>21</v>
      </c>
      <c r="B18" t="s">
        <v>30</v>
      </c>
      <c r="C18" t="s">
        <v>31</v>
      </c>
      <c r="D18" t="s">
        <v>425</v>
      </c>
      <c r="E18" t="s">
        <v>430</v>
      </c>
      <c r="F18">
        <v>3230305</v>
      </c>
      <c r="G18" t="s">
        <v>1056</v>
      </c>
      <c r="H18">
        <v>21405</v>
      </c>
      <c r="J18" s="11">
        <v>45322</v>
      </c>
      <c r="K18">
        <v>26780.329999999994</v>
      </c>
      <c r="L18" t="str">
        <f>IF(A18="IRPJ",IF(LEFT(B18,1)="1","|M305|",IF(LEFT(B18,1)="2","|M310|",IF(AND(LEFT(B18,1)="3",Tabela_BaseM[[#This Row],[CONTA PARTE B]]&lt;&gt;""),"|M305|",IF(LEFT(B18,1)="4","|M312|","")))),      IF(LEFT(B18,1)="1","|M355|",IF(LEFT(B18,1)="2","|M360|",IF(AND(LEFT(B18,1)="3",Tabela_BaseM[[#This Row],[CONTA PARTE B]]&lt;&gt;""),"|M355|",IF(LEFT(B18,1)="4","|M362|","")))))</f>
        <v>|M305|</v>
      </c>
      <c r="M18" t="str">
        <f>IF(LEFT(Tabela_BaseM[[#This Row],[TIPO RELACIONAMENTO]],1)="3",(IF(A18="IRPJ",IF(LEFT(B18,1)="1","|M305|",IF(LEFT(B18,1)="2","|M310|",IF(LEFT(B18,1)="3","|M310|",IF(LEFT(B18,1)="4","|M312|","")))),IF(LEFT(B18,1)="1","|M355|",IF(LEFT(B18,1)="2","|M360|",IF(LEFT(B18,1)="3","|M360|",IF(LEFT(B18,1)="4","|M362|","")))))),"")</f>
        <v>|M310|</v>
      </c>
      <c r="N1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|M305|21405|26780,33|D|</v>
      </c>
      <c r="O1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|M310|3230305||26780,33|D|</v>
      </c>
      <c r="P1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8" t="str">
        <f>IF(A18="IRPJ",("|M300|"&amp;LEFT(C18,FIND("-",C18)-1)&amp;"|"&amp;RIGHT(C18,LEN(C18)-FIND("-",C18))&amp;"|"&amp;LEFT(D18,1)&amp;"|"&amp;LEFT(B18,1)&amp;"|"&amp;Tabela_BaseM[[#This Row],[Valor]]&amp;"|"&amp;Tabela_BaseM[[#This Row],[HISTÓRICO]]&amp;"|"),("|M350|"&amp;LEFT(C18,FIND("-",C18)-1)&amp;"|"&amp;RIGHT(C18,LEN(C18)-FIND("-",C18))&amp;"|"&amp;LEFT(D18,1)&amp;"|"&amp;LEFT(B18,1)&amp;"|"&amp;Tabela_BaseM[[#This Row],[Valor]]&amp;"|"&amp;Tabela_BaseM[[#This Row],[HISTÓRICO]]&amp;"|"))</f>
        <v>|M300|6|Provis es ou perdas estimadas n o dedut veis|A|3|26780,33|Provisoes no período|</v>
      </c>
    </row>
    <row r="19" spans="1:17" x14ac:dyDescent="0.25">
      <c r="A19" t="s">
        <v>21</v>
      </c>
      <c r="B19" t="s">
        <v>30</v>
      </c>
      <c r="C19" t="s">
        <v>31</v>
      </c>
      <c r="D19" t="s">
        <v>425</v>
      </c>
      <c r="E19" t="s">
        <v>430</v>
      </c>
      <c r="F19">
        <v>3230306</v>
      </c>
      <c r="G19" t="s">
        <v>1056</v>
      </c>
      <c r="H19">
        <v>21405</v>
      </c>
      <c r="J19" s="11">
        <v>45322</v>
      </c>
      <c r="K19">
        <v>115841.50000000001</v>
      </c>
      <c r="L19" t="str">
        <f>IF(A19="IRPJ",IF(LEFT(B19,1)="1","|M305|",IF(LEFT(B19,1)="2","|M310|",IF(AND(LEFT(B19,1)="3",Tabela_BaseM[[#This Row],[CONTA PARTE B]]&lt;&gt;""),"|M305|",IF(LEFT(B19,1)="4","|M312|","")))),      IF(LEFT(B19,1)="1","|M355|",IF(LEFT(B19,1)="2","|M360|",IF(AND(LEFT(B19,1)="3",Tabela_BaseM[[#This Row],[CONTA PARTE B]]&lt;&gt;""),"|M355|",IF(LEFT(B19,1)="4","|M362|","")))))</f>
        <v>|M305|</v>
      </c>
      <c r="M19" t="str">
        <f>IF(LEFT(Tabela_BaseM[[#This Row],[TIPO RELACIONAMENTO]],1)="3",(IF(A19="IRPJ",IF(LEFT(B19,1)="1","|M305|",IF(LEFT(B19,1)="2","|M310|",IF(LEFT(B19,1)="3","|M310|",IF(LEFT(B19,1)="4","|M312|","")))),IF(LEFT(B19,1)="1","|M355|",IF(LEFT(B19,1)="2","|M360|",IF(LEFT(B19,1)="3","|M360|",IF(LEFT(B19,1)="4","|M362|","")))))),"")</f>
        <v>|M310|</v>
      </c>
      <c r="N1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|M305|21405|115841,5|D|</v>
      </c>
      <c r="O1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|M310|3230306||115841,5|D|</v>
      </c>
      <c r="P1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19" t="str">
        <f>IF(A19="IRPJ",("|M300|"&amp;LEFT(C19,FIND("-",C19)-1)&amp;"|"&amp;RIGHT(C19,LEN(C19)-FIND("-",C19))&amp;"|"&amp;LEFT(D19,1)&amp;"|"&amp;LEFT(B19,1)&amp;"|"&amp;Tabela_BaseM[[#This Row],[Valor]]&amp;"|"&amp;Tabela_BaseM[[#This Row],[HISTÓRICO]]&amp;"|"),("|M350|"&amp;LEFT(C19,FIND("-",C19)-1)&amp;"|"&amp;RIGHT(C19,LEN(C19)-FIND("-",C19))&amp;"|"&amp;LEFT(D19,1)&amp;"|"&amp;LEFT(B19,1)&amp;"|"&amp;Tabela_BaseM[[#This Row],[Valor]]&amp;"|"&amp;Tabela_BaseM[[#This Row],[HISTÓRICO]]&amp;"|"))</f>
        <v>|M300|6|Provis es ou perdas estimadas n o dedut veis|A|3|115841,5|Provisoes no período|</v>
      </c>
    </row>
    <row r="20" spans="1:17" x14ac:dyDescent="0.25">
      <c r="A20" t="s">
        <v>21</v>
      </c>
      <c r="B20" t="s">
        <v>30</v>
      </c>
      <c r="C20" t="s">
        <v>31</v>
      </c>
      <c r="D20" t="s">
        <v>425</v>
      </c>
      <c r="E20" t="s">
        <v>430</v>
      </c>
      <c r="F20">
        <v>3220101</v>
      </c>
      <c r="G20" t="s">
        <v>1062</v>
      </c>
      <c r="H20">
        <v>1120201</v>
      </c>
      <c r="J20" s="11">
        <v>45322</v>
      </c>
      <c r="K20">
        <v>202076.83000000002</v>
      </c>
      <c r="L20" t="str">
        <f>IF(A20="IRPJ",IF(LEFT(B20,1)="1","|M305|",IF(LEFT(B20,1)="2","|M310|",IF(AND(LEFT(B20,1)="3",Tabela_BaseM[[#This Row],[CONTA PARTE B]]&lt;&gt;""),"|M305|",IF(LEFT(B20,1)="4","|M312|","")))),      IF(LEFT(B20,1)="1","|M355|",IF(LEFT(B20,1)="2","|M360|",IF(AND(LEFT(B20,1)="3",Tabela_BaseM[[#This Row],[CONTA PARTE B]]&lt;&gt;""),"|M355|",IF(LEFT(B20,1)="4","|M362|","")))))</f>
        <v>|M305|</v>
      </c>
      <c r="M20" t="str">
        <f>IF(LEFT(Tabela_BaseM[[#This Row],[TIPO RELACIONAMENTO]],1)="3",(IF(A20="IRPJ",IF(LEFT(B20,1)="1","|M305|",IF(LEFT(B20,1)="2","|M310|",IF(LEFT(B20,1)="3","|M310|",IF(LEFT(B20,1)="4","|M312|","")))),IF(LEFT(B20,1)="1","|M355|",IF(LEFT(B20,1)="2","|M360|",IF(LEFT(B20,1)="3","|M360|",IF(LEFT(B20,1)="4","|M362|","")))))),"")</f>
        <v>|M310|</v>
      </c>
      <c r="N2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|M305|1120201|202076,83|D|</v>
      </c>
      <c r="O2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|M310|3220101||202076,83|D|</v>
      </c>
      <c r="P2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0" t="str">
        <f>IF(A20="IRPJ",("|M300|"&amp;LEFT(C20,FIND("-",C20)-1)&amp;"|"&amp;RIGHT(C20,LEN(C20)-FIND("-",C20))&amp;"|"&amp;LEFT(D20,1)&amp;"|"&amp;LEFT(B20,1)&amp;"|"&amp;Tabela_BaseM[[#This Row],[Valor]]&amp;"|"&amp;Tabela_BaseM[[#This Row],[HISTÓRICO]]&amp;"|"),("|M350|"&amp;LEFT(C20,FIND("-",C20)-1)&amp;"|"&amp;RIGHT(C20,LEN(C20)-FIND("-",C20))&amp;"|"&amp;LEFT(D20,1)&amp;"|"&amp;LEFT(B20,1)&amp;"|"&amp;Tabela_BaseM[[#This Row],[Valor]]&amp;"|"&amp;Tabela_BaseM[[#This Row],[HISTÓRICO]]&amp;"|"))</f>
        <v>|M300|6|Provis es ou perdas estimadas n o dedut veis|A|3|202076,83|Provisoes no período|</v>
      </c>
    </row>
    <row r="21" spans="1:17" x14ac:dyDescent="0.25">
      <c r="A21" t="s">
        <v>21</v>
      </c>
      <c r="B21" t="s">
        <v>22</v>
      </c>
      <c r="C21" t="s">
        <v>44</v>
      </c>
      <c r="D21" t="s">
        <v>425</v>
      </c>
      <c r="E21" t="s">
        <v>1095</v>
      </c>
      <c r="F21">
        <v>3211305</v>
      </c>
      <c r="G21" t="s">
        <v>1011</v>
      </c>
      <c r="J21" s="11">
        <v>45322</v>
      </c>
      <c r="K21">
        <v>8751.07</v>
      </c>
      <c r="L21" t="str">
        <f>IF(A21="IRPJ",IF(LEFT(B21,1)="1","|M305|",IF(LEFT(B21,1)="2","|M310|",IF(AND(LEFT(B21,1)="3",Tabela_BaseM[[#This Row],[CONTA PARTE B]]&lt;&gt;""),"|M305|",IF(LEFT(B21,1)="4","|M312|","")))),      IF(LEFT(B21,1)="1","|M355|",IF(LEFT(B21,1)="2","|M360|",IF(AND(LEFT(B21,1)="3",Tabela_BaseM[[#This Row],[CONTA PARTE B]]&lt;&gt;""),"|M355|",IF(LEFT(B21,1)="4","|M362|","")))))</f>
        <v>|M310|</v>
      </c>
      <c r="M21" t="str">
        <f>IF(LEFT(Tabela_BaseM[[#This Row],[TIPO RELACIONAMENTO]],1)="3",(IF(A21="IRPJ",IF(LEFT(B21,1)="1","|M305|",IF(LEFT(B21,1)="2","|M310|",IF(LEFT(B21,1)="3","|M310|",IF(LEFT(B21,1)="4","|M312|","")))),IF(LEFT(B21,1)="1","|M355|",IF(LEFT(B21,1)="2","|M360|",IF(LEFT(B21,1)="3","|M360|",IF(LEFT(B21,1)="4","|M362|","")))))),"")</f>
        <v/>
      </c>
      <c r="N2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|M310|3211305||8751,07|D|</v>
      </c>
      <c r="O2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1" t="str">
        <f>IF(A21="IRPJ",("|M300|"&amp;LEFT(C21,FIND("-",C21)-1)&amp;"|"&amp;RIGHT(C21,LEN(C21)-FIND("-",C21))&amp;"|"&amp;LEFT(D21,1)&amp;"|"&amp;LEFT(B21,1)&amp;"|"&amp;Tabela_BaseM[[#This Row],[Valor]]&amp;"|"&amp;Tabela_BaseM[[#This Row],[HISTÓRICO]]&amp;"|"),("|M350|"&amp;LEFT(C21,FIND("-",C21)-1)&amp;"|"&amp;RIGHT(C21,LEN(C21)-FIND("-",C21))&amp;"|"&amp;LEFT(D21,1)&amp;"|"&amp;LEFT(B21,1)&amp;"|"&amp;Tabela_BaseM[[#This Row],[Valor]]&amp;"|"&amp;Tabela_BaseM[[#This Row],[HISTÓRICO]]&amp;"|"))</f>
        <v>|M300|8.13|Doa  es a entidades civis - parcelas n o dedut veis|A|2|8751,07|Contribuicoes a associacoes no periodo|</v>
      </c>
    </row>
    <row r="22" spans="1:17" x14ac:dyDescent="0.25">
      <c r="A22" t="s">
        <v>21</v>
      </c>
      <c r="B22" t="s">
        <v>22</v>
      </c>
      <c r="C22" t="s">
        <v>44</v>
      </c>
      <c r="D22" t="s">
        <v>425</v>
      </c>
      <c r="E22" t="s">
        <v>1095</v>
      </c>
      <c r="F22">
        <v>3211304</v>
      </c>
      <c r="G22" t="s">
        <v>1009</v>
      </c>
      <c r="J22" s="11">
        <v>45322</v>
      </c>
      <c r="K22">
        <v>1034.46</v>
      </c>
      <c r="L22" t="str">
        <f>IF(A22="IRPJ",IF(LEFT(B22,1)="1","|M305|",IF(LEFT(B22,1)="2","|M310|",IF(AND(LEFT(B22,1)="3",Tabela_BaseM[[#This Row],[CONTA PARTE B]]&lt;&gt;""),"|M305|",IF(LEFT(B22,1)="4","|M312|","")))),      IF(LEFT(B22,1)="1","|M355|",IF(LEFT(B22,1)="2","|M360|",IF(AND(LEFT(B22,1)="3",Tabela_BaseM[[#This Row],[CONTA PARTE B]]&lt;&gt;""),"|M355|",IF(LEFT(B22,1)="4","|M362|","")))))</f>
        <v>|M310|</v>
      </c>
      <c r="M22" t="str">
        <f>IF(LEFT(Tabela_BaseM[[#This Row],[TIPO RELACIONAMENTO]],1)="3",(IF(A22="IRPJ",IF(LEFT(B22,1)="1","|M305|",IF(LEFT(B22,1)="2","|M310|",IF(LEFT(B22,1)="3","|M310|",IF(LEFT(B22,1)="4","|M312|","")))),IF(LEFT(B22,1)="1","|M355|",IF(LEFT(B22,1)="2","|M360|",IF(LEFT(B22,1)="3","|M360|",IF(LEFT(B22,1)="4","|M362|","")))))),"")</f>
        <v/>
      </c>
      <c r="N2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|M310|3211304||1034,46|D|</v>
      </c>
      <c r="O2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2" t="str">
        <f>IF(A22="IRPJ",("|M300|"&amp;LEFT(C22,FIND("-",C22)-1)&amp;"|"&amp;RIGHT(C22,LEN(C22)-FIND("-",C22))&amp;"|"&amp;LEFT(D22,1)&amp;"|"&amp;LEFT(B22,1)&amp;"|"&amp;Tabela_BaseM[[#This Row],[Valor]]&amp;"|"&amp;Tabela_BaseM[[#This Row],[HISTÓRICO]]&amp;"|"),("|M350|"&amp;LEFT(C22,FIND("-",C22)-1)&amp;"|"&amp;RIGHT(C22,LEN(C22)-FIND("-",C22))&amp;"|"&amp;LEFT(D22,1)&amp;"|"&amp;LEFT(B22,1)&amp;"|"&amp;Tabela_BaseM[[#This Row],[Valor]]&amp;"|"&amp;Tabela_BaseM[[#This Row],[HISTÓRICO]]&amp;"|"))</f>
        <v>|M300|8.13|Doa  es a entidades civis - parcelas n o dedut veis|A|2|1034,46|Contribuicoes a associacoes no periodo|</v>
      </c>
    </row>
    <row r="23" spans="1:17" x14ac:dyDescent="0.25">
      <c r="A23" t="s">
        <v>21</v>
      </c>
      <c r="B23" t="s">
        <v>22</v>
      </c>
      <c r="C23" t="s">
        <v>27</v>
      </c>
      <c r="D23" t="s">
        <v>425</v>
      </c>
      <c r="E23" t="s">
        <v>526</v>
      </c>
      <c r="F23">
        <v>3211505</v>
      </c>
      <c r="G23" t="s">
        <v>1024</v>
      </c>
      <c r="J23" s="11">
        <v>45322</v>
      </c>
      <c r="K23">
        <v>38449.72</v>
      </c>
      <c r="L23" t="str">
        <f>IF(A23="IRPJ",IF(LEFT(B23,1)="1","|M305|",IF(LEFT(B23,1)="2","|M310|",IF(AND(LEFT(B23,1)="3",Tabela_BaseM[[#This Row],[CONTA PARTE B]]&lt;&gt;""),"|M305|",IF(LEFT(B23,1)="4","|M312|","")))),      IF(LEFT(B23,1)="1","|M355|",IF(LEFT(B23,1)="2","|M360|",IF(AND(LEFT(B23,1)="3",Tabela_BaseM[[#This Row],[CONTA PARTE B]]&lt;&gt;""),"|M355|",IF(LEFT(B23,1)="4","|M362|","")))))</f>
        <v>|M310|</v>
      </c>
      <c r="M23" t="str">
        <f>IF(LEFT(Tabela_BaseM[[#This Row],[TIPO RELACIONAMENTO]],1)="3",(IF(A23="IRPJ",IF(LEFT(B23,1)="1","|M305|",IF(LEFT(B23,1)="2","|M310|",IF(LEFT(B23,1)="3","|M310|",IF(LEFT(B23,1)="4","|M312|","")))),IF(LEFT(B23,1)="1","|M355|",IF(LEFT(B23,1)="2","|M360|",IF(LEFT(B23,1)="3","|M360|",IF(LEFT(B23,1)="4","|M362|","")))))),"")</f>
        <v/>
      </c>
      <c r="N2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|M310|3211505||38449,72|D|</v>
      </c>
      <c r="O2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3" t="str">
        <f>IF(A23="IRPJ",("|M300|"&amp;LEFT(C23,FIND("-",C23)-1)&amp;"|"&amp;RIGHT(C23,LEN(C23)-FIND("-",C23))&amp;"|"&amp;LEFT(D23,1)&amp;"|"&amp;LEFT(B23,1)&amp;"|"&amp;Tabela_BaseM[[#This Row],[Valor]]&amp;"|"&amp;Tabela_BaseM[[#This Row],[HISTÓRICO]]&amp;"|"),("|M350|"&amp;LEFT(C23,FIND("-",C23)-1)&amp;"|"&amp;RIGHT(C23,LEN(C23)-FIND("-",C23))&amp;"|"&amp;LEFT(D23,1)&amp;"|"&amp;LEFT(B23,1)&amp;"|"&amp;Tabela_BaseM[[#This Row],[Valor]]&amp;"|"&amp;Tabela_BaseM[[#This Row],[HISTÓRICO]]&amp;"|"))</f>
        <v>|M300|8.75|Remunera  o de s cios|A|2|38449,72|Remuneracoes a socios|</v>
      </c>
    </row>
    <row r="24" spans="1:17" x14ac:dyDescent="0.25">
      <c r="A24" t="s">
        <v>21</v>
      </c>
      <c r="B24" t="s">
        <v>30</v>
      </c>
      <c r="C24" t="s">
        <v>224</v>
      </c>
      <c r="D24" t="s">
        <v>425</v>
      </c>
      <c r="E24" t="s">
        <v>1067</v>
      </c>
      <c r="F24">
        <v>3160303</v>
      </c>
      <c r="G24" t="s">
        <v>1066</v>
      </c>
      <c r="H24">
        <v>1130306</v>
      </c>
      <c r="J24" s="11">
        <v>45322</v>
      </c>
      <c r="K24">
        <v>256611.63</v>
      </c>
      <c r="L24" t="str">
        <f>IF(A24="IRPJ",IF(LEFT(B24,1)="1","|M305|",IF(LEFT(B24,1)="2","|M310|",IF(AND(LEFT(B24,1)="3",Tabela_BaseM[[#This Row],[CONTA PARTE B]]&lt;&gt;""),"|M305|",IF(LEFT(B24,1)="4","|M312|","")))),      IF(LEFT(B24,1)="1","|M355|",IF(LEFT(B24,1)="2","|M360|",IF(AND(LEFT(B24,1)="3",Tabela_BaseM[[#This Row],[CONTA PARTE B]]&lt;&gt;""),"|M355|",IF(LEFT(B24,1)="4","|M362|","")))))</f>
        <v>|M305|</v>
      </c>
      <c r="M24" t="str">
        <f>IF(LEFT(Tabela_BaseM[[#This Row],[TIPO RELACIONAMENTO]],1)="3",(IF(A24="IRPJ",IF(LEFT(B24,1)="1","|M305|",IF(LEFT(B24,1)="2","|M310|",IF(LEFT(B24,1)="3","|M310|",IF(LEFT(B24,1)="4","|M312|","")))),IF(LEFT(B24,1)="1","|M355|",IF(LEFT(B24,1)="2","|M360|",IF(LEFT(B24,1)="3","|M360|",IF(LEFT(B24,1)="4","|M362|","")))))),"")</f>
        <v>|M310|</v>
      </c>
      <c r="N2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|M305|1130306|256611,63|D|</v>
      </c>
      <c r="O2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|M310|3160303||256611,63|D|</v>
      </c>
      <c r="P2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4" t="str">
        <f>IF(A24="IRPJ",("|M300|"&amp;LEFT(C24,FIND("-",C24)-1)&amp;"|"&amp;RIGHT(C24,LEN(C24)-FIND("-",C24))&amp;"|"&amp;LEFT(D24,1)&amp;"|"&amp;LEFT(B24,1)&amp;"|"&amp;Tabela_BaseM[[#This Row],[Valor]]&amp;"|"&amp;Tabela_BaseM[[#This Row],[HISTÓRICO]]&amp;"|"),("|M350|"&amp;LEFT(C24,FIND("-",C24)-1)&amp;"|"&amp;RIGHT(C24,LEN(C24)-FIND("-",C24))&amp;"|"&amp;LEFT(D24,1)&amp;"|"&amp;LEFT(B24,1)&amp;"|"&amp;Tabela_BaseM[[#This Row],[Valor]]&amp;"|"&amp;Tabela_BaseM[[#This Row],[HISTÓRICO]]&amp;"|"))</f>
        <v>|M300|84|CPC 47 - Ajustes de Receita Bruta|A|3|256611,63|Ajuste cut-off no periodo|</v>
      </c>
    </row>
    <row r="25" spans="1:17" x14ac:dyDescent="0.25">
      <c r="A25" t="s">
        <v>21</v>
      </c>
      <c r="B25" t="s">
        <v>30</v>
      </c>
      <c r="C25" t="s">
        <v>224</v>
      </c>
      <c r="D25" t="s">
        <v>425</v>
      </c>
      <c r="E25" t="s">
        <v>1067</v>
      </c>
      <c r="F25">
        <v>3120901</v>
      </c>
      <c r="G25" t="s">
        <v>1065</v>
      </c>
      <c r="H25">
        <v>1140301</v>
      </c>
      <c r="J25" s="11">
        <v>45322</v>
      </c>
      <c r="K25">
        <v>171284.04</v>
      </c>
      <c r="L25" t="str">
        <f>IF(A25="IRPJ",IF(LEFT(B25,1)="1","|M305|",IF(LEFT(B25,1)="2","|M310|",IF(AND(LEFT(B25,1)="3",Tabela_BaseM[[#This Row],[CONTA PARTE B]]&lt;&gt;""),"|M305|",IF(LEFT(B25,1)="4","|M312|","")))),      IF(LEFT(B25,1)="1","|M355|",IF(LEFT(B25,1)="2","|M360|",IF(AND(LEFT(B25,1)="3",Tabela_BaseM[[#This Row],[CONTA PARTE B]]&lt;&gt;""),"|M355|",IF(LEFT(B25,1)="4","|M362|","")))))</f>
        <v>|M305|</v>
      </c>
      <c r="M25" t="str">
        <f>IF(LEFT(Tabela_BaseM[[#This Row],[TIPO RELACIONAMENTO]],1)="3",(IF(A25="IRPJ",IF(LEFT(B25,1)="1","|M305|",IF(LEFT(B25,1)="2","|M310|",IF(LEFT(B25,1)="3","|M310|",IF(LEFT(B25,1)="4","|M312|","")))),IF(LEFT(B25,1)="1","|M355|",IF(LEFT(B25,1)="2","|M360|",IF(LEFT(B25,1)="3","|M360|",IF(LEFT(B25,1)="4","|M362|","")))))),"")</f>
        <v>|M310|</v>
      </c>
      <c r="N2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|M305|1140301|171284,04|D|</v>
      </c>
      <c r="O2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|M310|3120901||171284,04|D|</v>
      </c>
      <c r="P2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5" t="str">
        <f>IF(A25="IRPJ",("|M300|"&amp;LEFT(C25,FIND("-",C25)-1)&amp;"|"&amp;RIGHT(C25,LEN(C25)-FIND("-",C25))&amp;"|"&amp;LEFT(D25,1)&amp;"|"&amp;LEFT(B25,1)&amp;"|"&amp;Tabela_BaseM[[#This Row],[Valor]]&amp;"|"&amp;Tabela_BaseM[[#This Row],[HISTÓRICO]]&amp;"|"),("|M350|"&amp;LEFT(C25,FIND("-",C25)-1)&amp;"|"&amp;RIGHT(C25,LEN(C25)-FIND("-",C25))&amp;"|"&amp;LEFT(D25,1)&amp;"|"&amp;LEFT(B25,1)&amp;"|"&amp;Tabela_BaseM[[#This Row],[Valor]]&amp;"|"&amp;Tabela_BaseM[[#This Row],[HISTÓRICO]]&amp;"|"))</f>
        <v>|M300|84|CPC 47 - Ajustes de Receita Bruta|A|3|171284,04|Ajuste cut-off no periodo|</v>
      </c>
    </row>
    <row r="26" spans="1:17" x14ac:dyDescent="0.25">
      <c r="A26" t="s">
        <v>21</v>
      </c>
      <c r="B26" t="s">
        <v>22</v>
      </c>
      <c r="C26" t="s">
        <v>23</v>
      </c>
      <c r="D26" t="s">
        <v>425</v>
      </c>
      <c r="E26" t="s">
        <v>527</v>
      </c>
      <c r="F26">
        <v>3211005</v>
      </c>
      <c r="G26" t="s">
        <v>24</v>
      </c>
      <c r="J26" s="11">
        <v>45322</v>
      </c>
      <c r="K26">
        <v>5544.08</v>
      </c>
      <c r="L26" t="str">
        <f>IF(A26="IRPJ",IF(LEFT(B26,1)="1","|M305|",IF(LEFT(B26,1)="2","|M310|",IF(AND(LEFT(B26,1)="3",Tabela_BaseM[[#This Row],[CONTA PARTE B]]&lt;&gt;""),"|M305|",IF(LEFT(B26,1)="4","|M312|","")))),      IF(LEFT(B26,1)="1","|M355|",IF(LEFT(B26,1)="2","|M360|",IF(AND(LEFT(B26,1)="3",Tabela_BaseM[[#This Row],[CONTA PARTE B]]&lt;&gt;""),"|M355|",IF(LEFT(B26,1)="4","|M362|","")))))</f>
        <v>|M310|</v>
      </c>
      <c r="M26" t="str">
        <f>IF(LEFT(Tabela_BaseM[[#This Row],[TIPO RELACIONAMENTO]],1)="3",(IF(A26="IRPJ",IF(LEFT(B26,1)="1","|M305|",IF(LEFT(B26,1)="2","|M310|",IF(LEFT(B26,1)="3","|M310|",IF(LEFT(B26,1)="4","|M312|","")))),IF(LEFT(B26,1)="1","|M355|",IF(LEFT(B26,1)="2","|M360|",IF(LEFT(B26,1)="3","|M360|",IF(LEFT(B26,1)="4","|M362|","")))))),"")</f>
        <v/>
      </c>
      <c r="N2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|M310|3211005||5544,08|D|</v>
      </c>
      <c r="O2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6" t="str">
        <f>IF(A26="IRPJ",("|M300|"&amp;LEFT(C26,FIND("-",C26)-1)&amp;"|"&amp;RIGHT(C26,LEN(C26)-FIND("-",C26))&amp;"|"&amp;LEFT(D26,1)&amp;"|"&amp;LEFT(B26,1)&amp;"|"&amp;Tabela_BaseM[[#This Row],[Valor]]&amp;"|"&amp;Tabela_BaseM[[#This Row],[HISTÓRICO]]&amp;"|"),("|M350|"&amp;LEFT(C26,FIND("-",C26)-1)&amp;"|"&amp;RIGHT(C26,LEN(C26)-FIND("-",C26))&amp;"|"&amp;LEFT(D26,1)&amp;"|"&amp;LEFT(B26,1)&amp;"|"&amp;Tabela_BaseM[[#This Row],[Valor]]&amp;"|"&amp;Tabela_BaseM[[#This Row],[HISTÓRICO]]&amp;"|"))</f>
        <v>|M300|8|Despesas n o necess rias|A|2|5544,08|Despesas nao dedutiveis no periodo|</v>
      </c>
    </row>
    <row r="27" spans="1:17" x14ac:dyDescent="0.25">
      <c r="A27" t="s">
        <v>21</v>
      </c>
      <c r="B27" t="s">
        <v>22</v>
      </c>
      <c r="C27" t="s">
        <v>23</v>
      </c>
      <c r="D27" t="s">
        <v>425</v>
      </c>
      <c r="E27" t="s">
        <v>527</v>
      </c>
      <c r="F27">
        <v>3150106</v>
      </c>
      <c r="G27" t="s">
        <v>1015</v>
      </c>
      <c r="J27" s="11">
        <v>45322</v>
      </c>
      <c r="K27">
        <v>25070.600000000002</v>
      </c>
      <c r="L27" t="str">
        <f>IF(A27="IRPJ",IF(LEFT(B27,1)="1","|M305|",IF(LEFT(B27,1)="2","|M310|",IF(AND(LEFT(B27,1)="3",Tabela_BaseM[[#This Row],[CONTA PARTE B]]&lt;&gt;""),"|M305|",IF(LEFT(B27,1)="4","|M312|","")))),      IF(LEFT(B27,1)="1","|M355|",IF(LEFT(B27,1)="2","|M360|",IF(AND(LEFT(B27,1)="3",Tabela_BaseM[[#This Row],[CONTA PARTE B]]&lt;&gt;""),"|M355|",IF(LEFT(B27,1)="4","|M362|","")))))</f>
        <v>|M310|</v>
      </c>
      <c r="M27" t="str">
        <f>IF(LEFT(Tabela_BaseM[[#This Row],[TIPO RELACIONAMENTO]],1)="3",(IF(A27="IRPJ",IF(LEFT(B27,1)="1","|M305|",IF(LEFT(B27,1)="2","|M310|",IF(LEFT(B27,1)="3","|M310|",IF(LEFT(B27,1)="4","|M312|","")))),IF(LEFT(B27,1)="1","|M355|",IF(LEFT(B27,1)="2","|M360|",IF(LEFT(B27,1)="3","|M360|",IF(LEFT(B27,1)="4","|M362|","")))))),"")</f>
        <v/>
      </c>
      <c r="N2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|M310|3150106||25070,6|D|</v>
      </c>
      <c r="O2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7" t="str">
        <f>IF(A27="IRPJ",("|M300|"&amp;LEFT(C27,FIND("-",C27)-1)&amp;"|"&amp;RIGHT(C27,LEN(C27)-FIND("-",C27))&amp;"|"&amp;LEFT(D27,1)&amp;"|"&amp;LEFT(B27,1)&amp;"|"&amp;Tabela_BaseM[[#This Row],[Valor]]&amp;"|"&amp;Tabela_BaseM[[#This Row],[HISTÓRICO]]&amp;"|"),("|M350|"&amp;LEFT(C27,FIND("-",C27)-1)&amp;"|"&amp;RIGHT(C27,LEN(C27)-FIND("-",C27))&amp;"|"&amp;LEFT(D27,1)&amp;"|"&amp;LEFT(B27,1)&amp;"|"&amp;Tabela_BaseM[[#This Row],[Valor]]&amp;"|"&amp;Tabela_BaseM[[#This Row],[HISTÓRICO]]&amp;"|"))</f>
        <v>|M300|8|Despesas n o necess rias|A|2|25070,6|Despesas nao dedutiveis no periodo|</v>
      </c>
    </row>
    <row r="28" spans="1:17" x14ac:dyDescent="0.25">
      <c r="A28" t="s">
        <v>21</v>
      </c>
      <c r="B28" t="s">
        <v>30</v>
      </c>
      <c r="C28" t="s">
        <v>32</v>
      </c>
      <c r="D28" t="s">
        <v>426</v>
      </c>
      <c r="E28" t="s">
        <v>998</v>
      </c>
      <c r="F28">
        <v>3160403</v>
      </c>
      <c r="G28" t="s">
        <v>1090</v>
      </c>
      <c r="H28">
        <v>1130604</v>
      </c>
      <c r="J28" s="11">
        <v>45322</v>
      </c>
      <c r="K28">
        <v>13720.19</v>
      </c>
      <c r="L28" t="str">
        <f>IF(A28="IRPJ",IF(LEFT(B28,1)="1","|M305|",IF(LEFT(B28,1)="2","|M310|",IF(AND(LEFT(B28,1)="3",Tabela_BaseM[[#This Row],[CONTA PARTE B]]&lt;&gt;""),"|M305|",IF(LEFT(B28,1)="4","|M312|","")))),      IF(LEFT(B28,1)="1","|M355|",IF(LEFT(B28,1)="2","|M360|",IF(AND(LEFT(B28,1)="3",Tabela_BaseM[[#This Row],[CONTA PARTE B]]&lt;&gt;""),"|M355|",IF(LEFT(B28,1)="4","|M362|","")))))</f>
        <v>|M305|</v>
      </c>
      <c r="M28" t="str">
        <f>IF(LEFT(Tabela_BaseM[[#This Row],[TIPO RELACIONAMENTO]],1)="3",(IF(A28="IRPJ",IF(LEFT(B28,1)="1","|M305|",IF(LEFT(B28,1)="2","|M310|",IF(LEFT(B28,1)="3","|M310|",IF(LEFT(B28,1)="4","|M312|","")))),IF(LEFT(B28,1)="1","|M355|",IF(LEFT(B28,1)="2","|M360|",IF(LEFT(B28,1)="3","|M360|",IF(LEFT(B28,1)="4","|M362|","")))))),"")</f>
        <v>|M310|</v>
      </c>
      <c r="N2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|M305|1130604|13720,19|C|</v>
      </c>
      <c r="O2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|M310|3160403||13720,19|C|</v>
      </c>
      <c r="P2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8" t="str">
        <f>IF(A28="IRPJ",("|M300|"&amp;LEFT(C28,FIND("-",C28)-1)&amp;"|"&amp;RIGHT(C28,LEN(C28)-FIND("-",C28))&amp;"|"&amp;LEFT(D28,1)&amp;"|"&amp;LEFT(B28,1)&amp;"|"&amp;Tabela_BaseM[[#This Row],[Valor]]&amp;"|"&amp;Tabela_BaseM[[#This Row],[HISTÓRICO]]&amp;"|"),("|M350|"&amp;LEFT(C28,FIND("-",C28)-1)&amp;"|"&amp;RIGHT(C28,LEN(C28)-FIND("-",C28))&amp;"|"&amp;LEFT(D28,1)&amp;"|"&amp;LEFT(B28,1)&amp;"|"&amp;Tabela_BaseM[[#This Row],[Valor]]&amp;"|"&amp;Tabela_BaseM[[#This Row],[HISTÓRICO]]&amp;"|"))</f>
        <v>|M300|95|(-) Revers o ou uso de provis es ou perdas estimadas n o dedut veis|E|3|13720,19|Reversao de provisoes no periodo|</v>
      </c>
    </row>
    <row r="29" spans="1:17" x14ac:dyDescent="0.25">
      <c r="A29" t="s">
        <v>21</v>
      </c>
      <c r="B29" t="s">
        <v>30</v>
      </c>
      <c r="C29" t="s">
        <v>32</v>
      </c>
      <c r="D29" t="s">
        <v>426</v>
      </c>
      <c r="E29" t="s">
        <v>998</v>
      </c>
      <c r="F29">
        <v>3150202</v>
      </c>
      <c r="G29" t="s">
        <v>1026</v>
      </c>
      <c r="H29">
        <v>2130304</v>
      </c>
      <c r="J29" s="11">
        <v>45322</v>
      </c>
      <c r="K29">
        <v>240194</v>
      </c>
      <c r="L29" t="str">
        <f>IF(A29="IRPJ",IF(LEFT(B29,1)="1","|M305|",IF(LEFT(B29,1)="2","|M310|",IF(AND(LEFT(B29,1)="3",Tabela_BaseM[[#This Row],[CONTA PARTE B]]&lt;&gt;""),"|M305|",IF(LEFT(B29,1)="4","|M312|","")))),      IF(LEFT(B29,1)="1","|M355|",IF(LEFT(B29,1)="2","|M360|",IF(AND(LEFT(B29,1)="3",Tabela_BaseM[[#This Row],[CONTA PARTE B]]&lt;&gt;""),"|M355|",IF(LEFT(B29,1)="4","|M362|","")))))</f>
        <v>|M305|</v>
      </c>
      <c r="M29" t="str">
        <f>IF(LEFT(Tabela_BaseM[[#This Row],[TIPO RELACIONAMENTO]],1)="3",(IF(A29="IRPJ",IF(LEFT(B29,1)="1","|M305|",IF(LEFT(B29,1)="2","|M310|",IF(LEFT(B29,1)="3","|M310|",IF(LEFT(B29,1)="4","|M312|","")))),IF(LEFT(B29,1)="1","|M355|",IF(LEFT(B29,1)="2","|M360|",IF(LEFT(B29,1)="3","|M360|",IF(LEFT(B29,1)="4","|M362|","")))))),"")</f>
        <v>|M310|</v>
      </c>
      <c r="N2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|M305|2130304|240194|C|</v>
      </c>
      <c r="O2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|M310|3150202||240194|C|</v>
      </c>
      <c r="P2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29" t="str">
        <f>IF(A29="IRPJ",("|M300|"&amp;LEFT(C29,FIND("-",C29)-1)&amp;"|"&amp;RIGHT(C29,LEN(C29)-FIND("-",C29))&amp;"|"&amp;LEFT(D29,1)&amp;"|"&amp;LEFT(B29,1)&amp;"|"&amp;Tabela_BaseM[[#This Row],[Valor]]&amp;"|"&amp;Tabela_BaseM[[#This Row],[HISTÓRICO]]&amp;"|"),("|M350|"&amp;LEFT(C29,FIND("-",C29)-1)&amp;"|"&amp;RIGHT(C29,LEN(C29)-FIND("-",C29))&amp;"|"&amp;LEFT(D29,1)&amp;"|"&amp;LEFT(B29,1)&amp;"|"&amp;Tabela_BaseM[[#This Row],[Valor]]&amp;"|"&amp;Tabela_BaseM[[#This Row],[HISTÓRICO]]&amp;"|"))</f>
        <v>|M300|95|(-) Revers o ou uso de provis es ou perdas estimadas n o dedut veis|E|3|240194|Reversao de provisoes no periodo|</v>
      </c>
    </row>
    <row r="30" spans="1:17" x14ac:dyDescent="0.25">
      <c r="A30" t="s">
        <v>21</v>
      </c>
      <c r="B30" t="s">
        <v>30</v>
      </c>
      <c r="C30" t="s">
        <v>32</v>
      </c>
      <c r="D30" t="s">
        <v>426</v>
      </c>
      <c r="E30" t="s">
        <v>998</v>
      </c>
      <c r="F30">
        <v>3150201</v>
      </c>
      <c r="G30" t="s">
        <v>1028</v>
      </c>
      <c r="H30">
        <v>2130308</v>
      </c>
      <c r="J30" s="11">
        <v>45322</v>
      </c>
      <c r="K30">
        <v>87791.17</v>
      </c>
      <c r="L30" t="str">
        <f>IF(A30="IRPJ",IF(LEFT(B30,1)="1","|M305|",IF(LEFT(B30,1)="2","|M310|",IF(AND(LEFT(B30,1)="3",Tabela_BaseM[[#This Row],[CONTA PARTE B]]&lt;&gt;""),"|M305|",IF(LEFT(B30,1)="4","|M312|","")))),      IF(LEFT(B30,1)="1","|M355|",IF(LEFT(B30,1)="2","|M360|",IF(AND(LEFT(B30,1)="3",Tabela_BaseM[[#This Row],[CONTA PARTE B]]&lt;&gt;""),"|M355|",IF(LEFT(B30,1)="4","|M362|","")))))</f>
        <v>|M305|</v>
      </c>
      <c r="M30" t="str">
        <f>IF(LEFT(Tabela_BaseM[[#This Row],[TIPO RELACIONAMENTO]],1)="3",(IF(A30="IRPJ",IF(LEFT(B30,1)="1","|M305|",IF(LEFT(B30,1)="2","|M310|",IF(LEFT(B30,1)="3","|M310|",IF(LEFT(B30,1)="4","|M312|","")))),IF(LEFT(B30,1)="1","|M355|",IF(LEFT(B30,1)="2","|M360|",IF(LEFT(B30,1)="3","|M360|",IF(LEFT(B30,1)="4","|M362|","")))))),"")</f>
        <v>|M310|</v>
      </c>
      <c r="N3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|M305|2130308|87791,17|C|</v>
      </c>
      <c r="O3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|M310|3150201||87791,17|C|</v>
      </c>
      <c r="P3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0" t="str">
        <f>IF(A30="IRPJ",("|M300|"&amp;LEFT(C30,FIND("-",C30)-1)&amp;"|"&amp;RIGHT(C30,LEN(C30)-FIND("-",C30))&amp;"|"&amp;LEFT(D30,1)&amp;"|"&amp;LEFT(B30,1)&amp;"|"&amp;Tabela_BaseM[[#This Row],[Valor]]&amp;"|"&amp;Tabela_BaseM[[#This Row],[HISTÓRICO]]&amp;"|"),("|M350|"&amp;LEFT(C30,FIND("-",C30)-1)&amp;"|"&amp;RIGHT(C30,LEN(C30)-FIND("-",C30))&amp;"|"&amp;LEFT(D30,1)&amp;"|"&amp;LEFT(B30,1)&amp;"|"&amp;Tabela_BaseM[[#This Row],[Valor]]&amp;"|"&amp;Tabela_BaseM[[#This Row],[HISTÓRICO]]&amp;"|"))</f>
        <v>|M300|95|(-) Revers o ou uso de provis es ou perdas estimadas n o dedut veis|E|3|87791,17|Reversao de provisoes no periodo|</v>
      </c>
    </row>
    <row r="31" spans="1:17" x14ac:dyDescent="0.25">
      <c r="A31" t="s">
        <v>21</v>
      </c>
      <c r="B31" t="s">
        <v>30</v>
      </c>
      <c r="C31" t="s">
        <v>32</v>
      </c>
      <c r="D31" t="s">
        <v>426</v>
      </c>
      <c r="E31" t="s">
        <v>998</v>
      </c>
      <c r="F31">
        <v>3160406</v>
      </c>
      <c r="G31" t="s">
        <v>1089</v>
      </c>
      <c r="H31">
        <v>1130609</v>
      </c>
      <c r="J31" s="11">
        <v>45322</v>
      </c>
      <c r="K31">
        <v>75621.88</v>
      </c>
      <c r="L31" t="str">
        <f>IF(A31="IRPJ",IF(LEFT(B31,1)="1","|M305|",IF(LEFT(B31,1)="2","|M310|",IF(AND(LEFT(B31,1)="3",Tabela_BaseM[[#This Row],[CONTA PARTE B]]&lt;&gt;""),"|M305|",IF(LEFT(B31,1)="4","|M312|","")))),      IF(LEFT(B31,1)="1","|M355|",IF(LEFT(B31,1)="2","|M360|",IF(AND(LEFT(B31,1)="3",Tabela_BaseM[[#This Row],[CONTA PARTE B]]&lt;&gt;""),"|M355|",IF(LEFT(B31,1)="4","|M362|","")))))</f>
        <v>|M305|</v>
      </c>
      <c r="M31" t="str">
        <f>IF(LEFT(Tabela_BaseM[[#This Row],[TIPO RELACIONAMENTO]],1)="3",(IF(A31="IRPJ",IF(LEFT(B31,1)="1","|M305|",IF(LEFT(B31,1)="2","|M310|",IF(LEFT(B31,1)="3","|M310|",IF(LEFT(B31,1)="4","|M312|","")))),IF(LEFT(B31,1)="1","|M355|",IF(LEFT(B31,1)="2","|M360|",IF(LEFT(B31,1)="3","|M360|",IF(LEFT(B31,1)="4","|M362|","")))))),"")</f>
        <v>|M310|</v>
      </c>
      <c r="N3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|M305|1130609|75621,88|C|</v>
      </c>
      <c r="O3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|M310|3160406||75621,88|C|</v>
      </c>
      <c r="P3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1" t="str">
        <f>IF(A31="IRPJ",("|M300|"&amp;LEFT(C31,FIND("-",C31)-1)&amp;"|"&amp;RIGHT(C31,LEN(C31)-FIND("-",C31))&amp;"|"&amp;LEFT(D31,1)&amp;"|"&amp;LEFT(B31,1)&amp;"|"&amp;Tabela_BaseM[[#This Row],[Valor]]&amp;"|"&amp;Tabela_BaseM[[#This Row],[HISTÓRICO]]&amp;"|"),("|M350|"&amp;LEFT(C31,FIND("-",C31)-1)&amp;"|"&amp;RIGHT(C31,LEN(C31)-FIND("-",C31))&amp;"|"&amp;LEFT(D31,1)&amp;"|"&amp;LEFT(B31,1)&amp;"|"&amp;Tabela_BaseM[[#This Row],[Valor]]&amp;"|"&amp;Tabela_BaseM[[#This Row],[HISTÓRICO]]&amp;"|"))</f>
        <v>|M300|95|(-) Revers o ou uso de provis es ou perdas estimadas n o dedut veis|E|3|75621,88|Reversao de provisoes no periodo|</v>
      </c>
    </row>
    <row r="32" spans="1:17" x14ac:dyDescent="0.25">
      <c r="A32" t="s">
        <v>21</v>
      </c>
      <c r="B32" t="s">
        <v>30</v>
      </c>
      <c r="C32" t="s">
        <v>32</v>
      </c>
      <c r="D32" t="s">
        <v>426</v>
      </c>
      <c r="E32" t="s">
        <v>998</v>
      </c>
      <c r="F32">
        <v>3160405</v>
      </c>
      <c r="G32" t="s">
        <v>1092</v>
      </c>
      <c r="H32">
        <v>1130602</v>
      </c>
      <c r="J32" s="11">
        <v>45322</v>
      </c>
      <c r="K32">
        <v>26485.7</v>
      </c>
      <c r="L32" t="str">
        <f>IF(A32="IRPJ",IF(LEFT(B32,1)="1","|M305|",IF(LEFT(B32,1)="2","|M310|",IF(AND(LEFT(B32,1)="3",Tabela_BaseM[[#This Row],[CONTA PARTE B]]&lt;&gt;""),"|M305|",IF(LEFT(B32,1)="4","|M312|","")))),      IF(LEFT(B32,1)="1","|M355|",IF(LEFT(B32,1)="2","|M360|",IF(AND(LEFT(B32,1)="3",Tabela_BaseM[[#This Row],[CONTA PARTE B]]&lt;&gt;""),"|M355|",IF(LEFT(B32,1)="4","|M362|","")))))</f>
        <v>|M305|</v>
      </c>
      <c r="M32" t="str">
        <f>IF(LEFT(Tabela_BaseM[[#This Row],[TIPO RELACIONAMENTO]],1)="3",(IF(A32="IRPJ",IF(LEFT(B32,1)="1","|M305|",IF(LEFT(B32,1)="2","|M310|",IF(LEFT(B32,1)="3","|M310|",IF(LEFT(B32,1)="4","|M312|","")))),IF(LEFT(B32,1)="1","|M355|",IF(LEFT(B32,1)="2","|M360|",IF(LEFT(B32,1)="3","|M360|",IF(LEFT(B32,1)="4","|M362|","")))))),"")</f>
        <v>|M310|</v>
      </c>
      <c r="N3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|M305|1130602|26485,7|C|</v>
      </c>
      <c r="O3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|M310|3160405||26485,7|C|</v>
      </c>
      <c r="P3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2" t="str">
        <f>IF(A32="IRPJ",("|M300|"&amp;LEFT(C32,FIND("-",C32)-1)&amp;"|"&amp;RIGHT(C32,LEN(C32)-FIND("-",C32))&amp;"|"&amp;LEFT(D32,1)&amp;"|"&amp;LEFT(B32,1)&amp;"|"&amp;Tabela_BaseM[[#This Row],[Valor]]&amp;"|"&amp;Tabela_BaseM[[#This Row],[HISTÓRICO]]&amp;"|"),("|M350|"&amp;LEFT(C32,FIND("-",C32)-1)&amp;"|"&amp;RIGHT(C32,LEN(C32)-FIND("-",C32))&amp;"|"&amp;LEFT(D32,1)&amp;"|"&amp;LEFT(B32,1)&amp;"|"&amp;Tabela_BaseM[[#This Row],[Valor]]&amp;"|"&amp;Tabela_BaseM[[#This Row],[HISTÓRICO]]&amp;"|"))</f>
        <v>|M300|95|(-) Revers o ou uso de provis es ou perdas estimadas n o dedut veis|E|3|26485,7|Reversao de provisoes no periodo|</v>
      </c>
    </row>
    <row r="33" spans="1:17" x14ac:dyDescent="0.25">
      <c r="A33" t="s">
        <v>21</v>
      </c>
      <c r="B33" t="s">
        <v>30</v>
      </c>
      <c r="C33" t="s">
        <v>32</v>
      </c>
      <c r="D33" t="s">
        <v>426</v>
      </c>
      <c r="E33" t="s">
        <v>998</v>
      </c>
      <c r="F33">
        <v>3160401</v>
      </c>
      <c r="G33" t="s">
        <v>1087</v>
      </c>
      <c r="H33">
        <v>1130601</v>
      </c>
      <c r="J33" s="11">
        <v>45322</v>
      </c>
      <c r="K33">
        <v>120536.03</v>
      </c>
      <c r="L33" t="str">
        <f>IF(A33="IRPJ",IF(LEFT(B33,1)="1","|M305|",IF(LEFT(B33,1)="2","|M310|",IF(AND(LEFT(B33,1)="3",Tabela_BaseM[[#This Row],[CONTA PARTE B]]&lt;&gt;""),"|M305|",IF(LEFT(B33,1)="4","|M312|","")))),      IF(LEFT(B33,1)="1","|M355|",IF(LEFT(B33,1)="2","|M360|",IF(AND(LEFT(B33,1)="3",Tabela_BaseM[[#This Row],[CONTA PARTE B]]&lt;&gt;""),"|M355|",IF(LEFT(B33,1)="4","|M362|","")))))</f>
        <v>|M305|</v>
      </c>
      <c r="M33" t="str">
        <f>IF(LEFT(Tabela_BaseM[[#This Row],[TIPO RELACIONAMENTO]],1)="3",(IF(A33="IRPJ",IF(LEFT(B33,1)="1","|M305|",IF(LEFT(B33,1)="2","|M310|",IF(LEFT(B33,1)="3","|M310|",IF(LEFT(B33,1)="4","|M312|","")))),IF(LEFT(B33,1)="1","|M355|",IF(LEFT(B33,1)="2","|M360|",IF(LEFT(B33,1)="3","|M360|",IF(LEFT(B33,1)="4","|M362|","")))))),"")</f>
        <v>|M310|</v>
      </c>
      <c r="N3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|M305|1130601|120536,03|C|</v>
      </c>
      <c r="O3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|M310|3160401||120536,03|C|</v>
      </c>
      <c r="P3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3" t="str">
        <f>IF(A33="IRPJ",("|M300|"&amp;LEFT(C33,FIND("-",C33)-1)&amp;"|"&amp;RIGHT(C33,LEN(C33)-FIND("-",C33))&amp;"|"&amp;LEFT(D33,1)&amp;"|"&amp;LEFT(B33,1)&amp;"|"&amp;Tabela_BaseM[[#This Row],[Valor]]&amp;"|"&amp;Tabela_BaseM[[#This Row],[HISTÓRICO]]&amp;"|"),("|M350|"&amp;LEFT(C33,FIND("-",C33)-1)&amp;"|"&amp;RIGHT(C33,LEN(C33)-FIND("-",C33))&amp;"|"&amp;LEFT(D33,1)&amp;"|"&amp;LEFT(B33,1)&amp;"|"&amp;Tabela_BaseM[[#This Row],[Valor]]&amp;"|"&amp;Tabela_BaseM[[#This Row],[HISTÓRICO]]&amp;"|"))</f>
        <v>|M300|95|(-) Revers o ou uso de provis es ou perdas estimadas n o dedut veis|E|3|120536,03|Reversao de provisoes no periodo|</v>
      </c>
    </row>
    <row r="34" spans="1:17" x14ac:dyDescent="0.25">
      <c r="A34" t="s">
        <v>21</v>
      </c>
      <c r="B34" t="s">
        <v>30</v>
      </c>
      <c r="C34" t="s">
        <v>32</v>
      </c>
      <c r="D34" t="s">
        <v>426</v>
      </c>
      <c r="E34" t="s">
        <v>998</v>
      </c>
      <c r="F34">
        <v>3211603</v>
      </c>
      <c r="G34" t="s">
        <v>1063</v>
      </c>
      <c r="H34">
        <v>2130307</v>
      </c>
      <c r="J34" s="11">
        <v>45322</v>
      </c>
      <c r="K34">
        <v>2405053.0499999998</v>
      </c>
      <c r="L34" t="str">
        <f>IF(A34="IRPJ",IF(LEFT(B34,1)="1","|M305|",IF(LEFT(B34,1)="2","|M310|",IF(AND(LEFT(B34,1)="3",Tabela_BaseM[[#This Row],[CONTA PARTE B]]&lt;&gt;""),"|M305|",IF(LEFT(B34,1)="4","|M312|","")))),      IF(LEFT(B34,1)="1","|M355|",IF(LEFT(B34,1)="2","|M360|",IF(AND(LEFT(B34,1)="3",Tabela_BaseM[[#This Row],[CONTA PARTE B]]&lt;&gt;""),"|M355|",IF(LEFT(B34,1)="4","|M362|","")))))</f>
        <v>|M305|</v>
      </c>
      <c r="M34" t="str">
        <f>IF(LEFT(Tabela_BaseM[[#This Row],[TIPO RELACIONAMENTO]],1)="3",(IF(A34="IRPJ",IF(LEFT(B34,1)="1","|M305|",IF(LEFT(B34,1)="2","|M310|",IF(LEFT(B34,1)="3","|M310|",IF(LEFT(B34,1)="4","|M312|","")))),IF(LEFT(B34,1)="1","|M355|",IF(LEFT(B34,1)="2","|M360|",IF(LEFT(B34,1)="3","|M360|",IF(LEFT(B34,1)="4","|M362|","")))))),"")</f>
        <v>|M310|</v>
      </c>
      <c r="N3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|M305|2130307|2405053,05|C|</v>
      </c>
      <c r="O3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|M310|3211603||2405053,05|C|</v>
      </c>
      <c r="P3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4" t="str">
        <f>IF(A34="IRPJ",("|M300|"&amp;LEFT(C34,FIND("-",C34)-1)&amp;"|"&amp;RIGHT(C34,LEN(C34)-FIND("-",C34))&amp;"|"&amp;LEFT(D34,1)&amp;"|"&amp;LEFT(B34,1)&amp;"|"&amp;Tabela_BaseM[[#This Row],[Valor]]&amp;"|"&amp;Tabela_BaseM[[#This Row],[HISTÓRICO]]&amp;"|"),("|M350|"&amp;LEFT(C34,FIND("-",C34)-1)&amp;"|"&amp;RIGHT(C34,LEN(C34)-FIND("-",C34))&amp;"|"&amp;LEFT(D34,1)&amp;"|"&amp;LEFT(B34,1)&amp;"|"&amp;Tabela_BaseM[[#This Row],[Valor]]&amp;"|"&amp;Tabela_BaseM[[#This Row],[HISTÓRICO]]&amp;"|"))</f>
        <v>|M300|95|(-) Revers o ou uso de provis es ou perdas estimadas n o dedut veis|E|3|2405053,05|Reversao de provisoes no periodo|</v>
      </c>
    </row>
    <row r="35" spans="1:17" x14ac:dyDescent="0.25">
      <c r="A35" t="s">
        <v>21</v>
      </c>
      <c r="B35" t="s">
        <v>30</v>
      </c>
      <c r="C35" t="s">
        <v>32</v>
      </c>
      <c r="D35" t="s">
        <v>426</v>
      </c>
      <c r="E35" t="s">
        <v>998</v>
      </c>
      <c r="F35">
        <v>3210202</v>
      </c>
      <c r="G35" t="s">
        <v>1059</v>
      </c>
      <c r="H35">
        <v>2130302</v>
      </c>
      <c r="J35" s="11">
        <v>45322</v>
      </c>
      <c r="K35">
        <v>266461.78999999998</v>
      </c>
      <c r="L35" t="str">
        <f>IF(A35="IRPJ",IF(LEFT(B35,1)="1","|M305|",IF(LEFT(B35,1)="2","|M310|",IF(AND(LEFT(B35,1)="3",Tabela_BaseM[[#This Row],[CONTA PARTE B]]&lt;&gt;""),"|M305|",IF(LEFT(B35,1)="4","|M312|","")))),      IF(LEFT(B35,1)="1","|M355|",IF(LEFT(B35,1)="2","|M360|",IF(AND(LEFT(B35,1)="3",Tabela_BaseM[[#This Row],[CONTA PARTE B]]&lt;&gt;""),"|M355|",IF(LEFT(B35,1)="4","|M362|","")))))</f>
        <v>|M305|</v>
      </c>
      <c r="M35" t="str">
        <f>IF(LEFT(Tabela_BaseM[[#This Row],[TIPO RELACIONAMENTO]],1)="3",(IF(A35="IRPJ",IF(LEFT(B35,1)="1","|M305|",IF(LEFT(B35,1)="2","|M310|",IF(LEFT(B35,1)="3","|M310|",IF(LEFT(B35,1)="4","|M312|","")))),IF(LEFT(B35,1)="1","|M355|",IF(LEFT(B35,1)="2","|M360|",IF(LEFT(B35,1)="3","|M360|",IF(LEFT(B35,1)="4","|M362|","")))))),"")</f>
        <v>|M310|</v>
      </c>
      <c r="N3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|M305|2130302|266461,79|C|</v>
      </c>
      <c r="O3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|M310|3210202||266461,79|C|</v>
      </c>
      <c r="P3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5" t="str">
        <f>IF(A35="IRPJ",("|M300|"&amp;LEFT(C35,FIND("-",C35)-1)&amp;"|"&amp;RIGHT(C35,LEN(C35)-FIND("-",C35))&amp;"|"&amp;LEFT(D35,1)&amp;"|"&amp;LEFT(B35,1)&amp;"|"&amp;Tabela_BaseM[[#This Row],[Valor]]&amp;"|"&amp;Tabela_BaseM[[#This Row],[HISTÓRICO]]&amp;"|"),("|M350|"&amp;LEFT(C35,FIND("-",C35)-1)&amp;"|"&amp;RIGHT(C35,LEN(C35)-FIND("-",C35))&amp;"|"&amp;LEFT(D35,1)&amp;"|"&amp;LEFT(B35,1)&amp;"|"&amp;Tabela_BaseM[[#This Row],[Valor]]&amp;"|"&amp;Tabela_BaseM[[#This Row],[HISTÓRICO]]&amp;"|"))</f>
        <v>|M300|95|(-) Revers o ou uso de provis es ou perdas estimadas n o dedut veis|E|3|266461,79|Reversao de provisoes no periodo|</v>
      </c>
    </row>
    <row r="36" spans="1:17" x14ac:dyDescent="0.25">
      <c r="A36" t="s">
        <v>21</v>
      </c>
      <c r="B36" t="s">
        <v>30</v>
      </c>
      <c r="C36" t="s">
        <v>32</v>
      </c>
      <c r="D36" t="s">
        <v>426</v>
      </c>
      <c r="E36" t="s">
        <v>998</v>
      </c>
      <c r="F36">
        <v>3210204</v>
      </c>
      <c r="G36" t="s">
        <v>1060</v>
      </c>
      <c r="H36">
        <v>2130303</v>
      </c>
      <c r="J36" s="11">
        <v>45322</v>
      </c>
      <c r="K36">
        <v>499908.35</v>
      </c>
      <c r="L36" t="str">
        <f>IF(A36="IRPJ",IF(LEFT(B36,1)="1","|M305|",IF(LEFT(B36,1)="2","|M310|",IF(AND(LEFT(B36,1)="3",Tabela_BaseM[[#This Row],[CONTA PARTE B]]&lt;&gt;""),"|M305|",IF(LEFT(B36,1)="4","|M312|","")))),      IF(LEFT(B36,1)="1","|M355|",IF(LEFT(B36,1)="2","|M360|",IF(AND(LEFT(B36,1)="3",Tabela_BaseM[[#This Row],[CONTA PARTE B]]&lt;&gt;""),"|M355|",IF(LEFT(B36,1)="4","|M362|","")))))</f>
        <v>|M305|</v>
      </c>
      <c r="M36" t="str">
        <f>IF(LEFT(Tabela_BaseM[[#This Row],[TIPO RELACIONAMENTO]],1)="3",(IF(A36="IRPJ",IF(LEFT(B36,1)="1","|M305|",IF(LEFT(B36,1)="2","|M310|",IF(LEFT(B36,1)="3","|M310|",IF(LEFT(B36,1)="4","|M312|","")))),IF(LEFT(B36,1)="1","|M355|",IF(LEFT(B36,1)="2","|M360|",IF(LEFT(B36,1)="3","|M360|",IF(LEFT(B36,1)="4","|M362|","")))))),"")</f>
        <v>|M310|</v>
      </c>
      <c r="N3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|M305|2130303|499908,35|C|</v>
      </c>
      <c r="O3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|M310|3210204||499908,35|C|</v>
      </c>
      <c r="P3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6" t="str">
        <f>IF(A36="IRPJ",("|M300|"&amp;LEFT(C36,FIND("-",C36)-1)&amp;"|"&amp;RIGHT(C36,LEN(C36)-FIND("-",C36))&amp;"|"&amp;LEFT(D36,1)&amp;"|"&amp;LEFT(B36,1)&amp;"|"&amp;Tabela_BaseM[[#This Row],[Valor]]&amp;"|"&amp;Tabela_BaseM[[#This Row],[HISTÓRICO]]&amp;"|"),("|M350|"&amp;LEFT(C36,FIND("-",C36)-1)&amp;"|"&amp;RIGHT(C36,LEN(C36)-FIND("-",C36))&amp;"|"&amp;LEFT(D36,1)&amp;"|"&amp;LEFT(B36,1)&amp;"|"&amp;Tabela_BaseM[[#This Row],[Valor]]&amp;"|"&amp;Tabela_BaseM[[#This Row],[HISTÓRICO]]&amp;"|"))</f>
        <v>|M300|95|(-) Revers o ou uso de provis es ou perdas estimadas n o dedut veis|E|3|499908,35|Reversao de provisoes no periodo|</v>
      </c>
    </row>
    <row r="37" spans="1:17" x14ac:dyDescent="0.25">
      <c r="A37" t="s">
        <v>21</v>
      </c>
      <c r="B37" t="s">
        <v>30</v>
      </c>
      <c r="C37" t="s">
        <v>32</v>
      </c>
      <c r="D37" t="s">
        <v>426</v>
      </c>
      <c r="E37" t="s">
        <v>998</v>
      </c>
      <c r="F37">
        <v>3160404</v>
      </c>
      <c r="G37" t="s">
        <v>1091</v>
      </c>
      <c r="H37">
        <v>1130603</v>
      </c>
      <c r="J37" s="11">
        <v>45322</v>
      </c>
      <c r="K37">
        <v>155871.22</v>
      </c>
      <c r="L37" t="str">
        <f>IF(A37="IRPJ",IF(LEFT(B37,1)="1","|M305|",IF(LEFT(B37,1)="2","|M310|",IF(AND(LEFT(B37,1)="3",Tabela_BaseM[[#This Row],[CONTA PARTE B]]&lt;&gt;""),"|M305|",IF(LEFT(B37,1)="4","|M312|","")))),      IF(LEFT(B37,1)="1","|M355|",IF(LEFT(B37,1)="2","|M360|",IF(AND(LEFT(B37,1)="3",Tabela_BaseM[[#This Row],[CONTA PARTE B]]&lt;&gt;""),"|M355|",IF(LEFT(B37,1)="4","|M362|","")))))</f>
        <v>|M305|</v>
      </c>
      <c r="M37" t="str">
        <f>IF(LEFT(Tabela_BaseM[[#This Row],[TIPO RELACIONAMENTO]],1)="3",(IF(A37="IRPJ",IF(LEFT(B37,1)="1","|M305|",IF(LEFT(B37,1)="2","|M310|",IF(LEFT(B37,1)="3","|M310|",IF(LEFT(B37,1)="4","|M312|","")))),IF(LEFT(B37,1)="1","|M355|",IF(LEFT(B37,1)="2","|M360|",IF(LEFT(B37,1)="3","|M360|",IF(LEFT(B37,1)="4","|M362|","")))))),"")</f>
        <v>|M310|</v>
      </c>
      <c r="N3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|M305|1130603|155871,22|C|</v>
      </c>
      <c r="O3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|M310|3160404||155871,22|C|</v>
      </c>
      <c r="P3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7" t="str">
        <f>IF(A37="IRPJ",("|M300|"&amp;LEFT(C37,FIND("-",C37)-1)&amp;"|"&amp;RIGHT(C37,LEN(C37)-FIND("-",C37))&amp;"|"&amp;LEFT(D37,1)&amp;"|"&amp;LEFT(B37,1)&amp;"|"&amp;Tabela_BaseM[[#This Row],[Valor]]&amp;"|"&amp;Tabela_BaseM[[#This Row],[HISTÓRICO]]&amp;"|"),("|M350|"&amp;LEFT(C37,FIND("-",C37)-1)&amp;"|"&amp;RIGHT(C37,LEN(C37)-FIND("-",C37))&amp;"|"&amp;LEFT(D37,1)&amp;"|"&amp;LEFT(B37,1)&amp;"|"&amp;Tabela_BaseM[[#This Row],[Valor]]&amp;"|"&amp;Tabela_BaseM[[#This Row],[HISTÓRICO]]&amp;"|"))</f>
        <v>|M300|95|(-) Revers o ou uso de provis es ou perdas estimadas n o dedut veis|E|3|155871,22|Reversao de provisoes no periodo|</v>
      </c>
    </row>
    <row r="38" spans="1:17" x14ac:dyDescent="0.25">
      <c r="A38" t="s">
        <v>21</v>
      </c>
      <c r="B38" t="s">
        <v>30</v>
      </c>
      <c r="C38" t="s">
        <v>32</v>
      </c>
      <c r="D38" t="s">
        <v>426</v>
      </c>
      <c r="E38" t="s">
        <v>998</v>
      </c>
      <c r="F38">
        <v>3230304</v>
      </c>
      <c r="G38" t="s">
        <v>1055</v>
      </c>
      <c r="H38">
        <v>21405</v>
      </c>
      <c r="J38" s="11">
        <v>45322</v>
      </c>
      <c r="K38">
        <v>24506.65</v>
      </c>
      <c r="L38" t="str">
        <f>IF(A38="IRPJ",IF(LEFT(B38,1)="1","|M305|",IF(LEFT(B38,1)="2","|M310|",IF(AND(LEFT(B38,1)="3",Tabela_BaseM[[#This Row],[CONTA PARTE B]]&lt;&gt;""),"|M305|",IF(LEFT(B38,1)="4","|M312|","")))),      IF(LEFT(B38,1)="1","|M355|",IF(LEFT(B38,1)="2","|M360|",IF(AND(LEFT(B38,1)="3",Tabela_BaseM[[#This Row],[CONTA PARTE B]]&lt;&gt;""),"|M355|",IF(LEFT(B38,1)="4","|M362|","")))))</f>
        <v>|M305|</v>
      </c>
      <c r="M38" t="str">
        <f>IF(LEFT(Tabela_BaseM[[#This Row],[TIPO RELACIONAMENTO]],1)="3",(IF(A38="IRPJ",IF(LEFT(B38,1)="1","|M305|",IF(LEFT(B38,1)="2","|M310|",IF(LEFT(B38,1)="3","|M310|",IF(LEFT(B38,1)="4","|M312|","")))),IF(LEFT(B38,1)="1","|M355|",IF(LEFT(B38,1)="2","|M360|",IF(LEFT(B38,1)="3","|M360|",IF(LEFT(B38,1)="4","|M362|","")))))),"")</f>
        <v>|M310|</v>
      </c>
      <c r="N3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|M305|21405|24506,65|C|</v>
      </c>
      <c r="O3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|M310|3230304||24506,65|C|</v>
      </c>
      <c r="P3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|M030|01012024|31012024|A01|</v>
      </c>
      <c r="Q38" t="str">
        <f>IF(A38="IRPJ",("|M300|"&amp;LEFT(C38,FIND("-",C38)-1)&amp;"|"&amp;RIGHT(C38,LEN(C38)-FIND("-",C38))&amp;"|"&amp;LEFT(D38,1)&amp;"|"&amp;LEFT(B38,1)&amp;"|"&amp;Tabela_BaseM[[#This Row],[Valor]]&amp;"|"&amp;Tabela_BaseM[[#This Row],[HISTÓRICO]]&amp;"|"),("|M350|"&amp;LEFT(C38,FIND("-",C38)-1)&amp;"|"&amp;RIGHT(C38,LEN(C38)-FIND("-",C38))&amp;"|"&amp;LEFT(D38,1)&amp;"|"&amp;LEFT(B38,1)&amp;"|"&amp;Tabela_BaseM[[#This Row],[Valor]]&amp;"|"&amp;Tabela_BaseM[[#This Row],[HISTÓRICO]]&amp;"|"))</f>
        <v>|M300|95|(-) Revers o ou uso de provis es ou perdas estimadas n o dedut veis|E|3|24506,65|Reversao de provisoes no periodo|</v>
      </c>
    </row>
    <row r="39" spans="1:17" x14ac:dyDescent="0.25">
      <c r="A39" t="s">
        <v>21</v>
      </c>
      <c r="B39" t="s">
        <v>30</v>
      </c>
      <c r="C39" t="s">
        <v>291</v>
      </c>
      <c r="D39" t="s">
        <v>426</v>
      </c>
      <c r="E39" t="s">
        <v>1003</v>
      </c>
      <c r="F39">
        <v>3260803</v>
      </c>
      <c r="G39" t="s">
        <v>1052</v>
      </c>
      <c r="H39" t="s">
        <v>1044</v>
      </c>
      <c r="J39" s="11">
        <v>45351</v>
      </c>
      <c r="K39">
        <v>566219.86</v>
      </c>
      <c r="L39" t="str">
        <f>IF(A39="IRPJ",IF(LEFT(B39,1)="1","|M305|",IF(LEFT(B39,1)="2","|M310|",IF(AND(LEFT(B39,1)="3",Tabela_BaseM[[#This Row],[CONTA PARTE B]]&lt;&gt;""),"|M305|",IF(LEFT(B39,1)="4","|M312|","")))),      IF(LEFT(B39,1)="1","|M355|",IF(LEFT(B39,1)="2","|M360|",IF(AND(LEFT(B39,1)="3",Tabela_BaseM[[#This Row],[CONTA PARTE B]]&lt;&gt;""),"|M355|",IF(LEFT(B39,1)="4","|M362|","")))))</f>
        <v>|M305|</v>
      </c>
      <c r="M39" t="str">
        <f>IF(LEFT(Tabela_BaseM[[#This Row],[TIPO RELACIONAMENTO]],1)="3",(IF(A39="IRPJ",IF(LEFT(B39,1)="1","|M305|",IF(LEFT(B39,1)="2","|M310|",IF(LEFT(B39,1)="3","|M310|",IF(LEFT(B39,1)="4","|M312|","")))),IF(LEFT(B39,1)="1","|M355|",IF(LEFT(B39,1)="2","|M360|",IF(LEFT(B39,1)="3","|M360|",IF(LEFT(B39,1)="4","|M362|","")))))),"")</f>
        <v>|M310|</v>
      </c>
      <c r="N3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CAMBIAL|566219,86|C|</v>
      </c>
      <c r="O3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|M310|3260803||566219,86|C|</v>
      </c>
      <c r="P3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39" t="str">
        <f>IF(A39="IRPJ",("|M300|"&amp;LEFT(C39,FIND("-",C39)-1)&amp;"|"&amp;RIGHT(C39,LEN(C39)-FIND("-",C39))&amp;"|"&amp;LEFT(D39,1)&amp;"|"&amp;LEFT(B39,1)&amp;"|"&amp;Tabela_BaseM[[#This Row],[Valor]]&amp;"|"&amp;Tabela_BaseM[[#This Row],[HISTÓRICO]]&amp;"|"),("|M350|"&amp;LEFT(C39,FIND("-",C39)-1)&amp;"|"&amp;RIGHT(C39,LEN(C39)-FIND("-",C39))&amp;"|"&amp;LEFT(D39,1)&amp;"|"&amp;LEFT(B39,1)&amp;"|"&amp;Tabela_BaseM[[#This Row],[Valor]]&amp;"|"&amp;Tabela_BaseM[[#This Row],[HISTÓRICO]]&amp;"|"))</f>
        <v>|M300|101|(-) Varia  o cambial ativa - regra geral|E|3|566219,86|Variacao cambial ativa nao realizada no periodo|</v>
      </c>
    </row>
    <row r="40" spans="1:17" x14ac:dyDescent="0.25">
      <c r="A40" t="s">
        <v>21</v>
      </c>
      <c r="B40" t="s">
        <v>30</v>
      </c>
      <c r="C40" t="s">
        <v>291</v>
      </c>
      <c r="D40" t="s">
        <v>426</v>
      </c>
      <c r="E40" t="s">
        <v>1003</v>
      </c>
      <c r="F40">
        <v>3260308</v>
      </c>
      <c r="G40" t="s">
        <v>1041</v>
      </c>
      <c r="H40" t="s">
        <v>1044</v>
      </c>
      <c r="J40" s="11">
        <v>45351</v>
      </c>
      <c r="K40">
        <v>319655.44</v>
      </c>
      <c r="L40" t="str">
        <f>IF(A40="IRPJ",IF(LEFT(B40,1)="1","|M305|",IF(LEFT(B40,1)="2","|M310|",IF(AND(LEFT(B40,1)="3",Tabela_BaseM[[#This Row],[CONTA PARTE B]]&lt;&gt;""),"|M305|",IF(LEFT(B40,1)="4","|M312|","")))),      IF(LEFT(B40,1)="1","|M355|",IF(LEFT(B40,1)="2","|M360|",IF(AND(LEFT(B40,1)="3",Tabela_BaseM[[#This Row],[CONTA PARTE B]]&lt;&gt;""),"|M355|",IF(LEFT(B40,1)="4","|M362|","")))))</f>
        <v>|M305|</v>
      </c>
      <c r="M40" t="str">
        <f>IF(LEFT(Tabela_BaseM[[#This Row],[TIPO RELACIONAMENTO]],1)="3",(IF(A40="IRPJ",IF(LEFT(B40,1)="1","|M305|",IF(LEFT(B40,1)="2","|M310|",IF(LEFT(B40,1)="3","|M310|",IF(LEFT(B40,1)="4","|M312|","")))),IF(LEFT(B40,1)="1","|M355|",IF(LEFT(B40,1)="2","|M360|",IF(LEFT(B40,1)="3","|M360|",IF(LEFT(B40,1)="4","|M362|","")))))),"")</f>
        <v>|M310|</v>
      </c>
      <c r="N4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CAMBIAL|319655,44|C|</v>
      </c>
      <c r="O4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|M310|3260308||319655,44|C|</v>
      </c>
      <c r="P4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0" t="str">
        <f>IF(A40="IRPJ",("|M300|"&amp;LEFT(C40,FIND("-",C40)-1)&amp;"|"&amp;RIGHT(C40,LEN(C40)-FIND("-",C40))&amp;"|"&amp;LEFT(D40,1)&amp;"|"&amp;LEFT(B40,1)&amp;"|"&amp;Tabela_BaseM[[#This Row],[Valor]]&amp;"|"&amp;Tabela_BaseM[[#This Row],[HISTÓRICO]]&amp;"|"),("|M350|"&amp;LEFT(C40,FIND("-",C40)-1)&amp;"|"&amp;RIGHT(C40,LEN(C40)-FIND("-",C40))&amp;"|"&amp;LEFT(D40,1)&amp;"|"&amp;LEFT(B40,1)&amp;"|"&amp;Tabela_BaseM[[#This Row],[Valor]]&amp;"|"&amp;Tabela_BaseM[[#This Row],[HISTÓRICO]]&amp;"|"))</f>
        <v>|M300|101|(-) Varia  o cambial ativa - regra geral|E|3|319655,44|Variacao cambial ativa nao realizada no periodo|</v>
      </c>
    </row>
    <row r="41" spans="1:17" x14ac:dyDescent="0.25">
      <c r="A41" t="s">
        <v>21</v>
      </c>
      <c r="B41" t="s">
        <v>30</v>
      </c>
      <c r="C41" t="s">
        <v>291</v>
      </c>
      <c r="D41" t="s">
        <v>426</v>
      </c>
      <c r="E41" t="s">
        <v>1003</v>
      </c>
      <c r="F41">
        <v>3260302</v>
      </c>
      <c r="G41" t="s">
        <v>1004</v>
      </c>
      <c r="H41" t="s">
        <v>1044</v>
      </c>
      <c r="J41" s="11">
        <v>45351</v>
      </c>
      <c r="K41">
        <v>51674.54</v>
      </c>
      <c r="L41" t="str">
        <f>IF(A41="IRPJ",IF(LEFT(B41,1)="1","|M305|",IF(LEFT(B41,1)="2","|M310|",IF(AND(LEFT(B41,1)="3",Tabela_BaseM[[#This Row],[CONTA PARTE B]]&lt;&gt;""),"|M305|",IF(LEFT(B41,1)="4","|M312|","")))),      IF(LEFT(B41,1)="1","|M355|",IF(LEFT(B41,1)="2","|M360|",IF(AND(LEFT(B41,1)="3",Tabela_BaseM[[#This Row],[CONTA PARTE B]]&lt;&gt;""),"|M355|",IF(LEFT(B41,1)="4","|M362|","")))))</f>
        <v>|M305|</v>
      </c>
      <c r="M41" t="str">
        <f>IF(LEFT(Tabela_BaseM[[#This Row],[TIPO RELACIONAMENTO]],1)="3",(IF(A41="IRPJ",IF(LEFT(B41,1)="1","|M305|",IF(LEFT(B41,1)="2","|M310|",IF(LEFT(B41,1)="3","|M310|",IF(LEFT(B41,1)="4","|M312|","")))),IF(LEFT(B41,1)="1","|M355|",IF(LEFT(B41,1)="2","|M360|",IF(LEFT(B41,1)="3","|M360|",IF(LEFT(B41,1)="4","|M362|","")))))),"")</f>
        <v>|M310|</v>
      </c>
      <c r="N4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CAMBIAL|51674,54|C|</v>
      </c>
      <c r="O4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|M310|3260302||51674,54|C|</v>
      </c>
      <c r="P4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1" t="str">
        <f>IF(A41="IRPJ",("|M300|"&amp;LEFT(C41,FIND("-",C41)-1)&amp;"|"&amp;RIGHT(C41,LEN(C41)-FIND("-",C41))&amp;"|"&amp;LEFT(D41,1)&amp;"|"&amp;LEFT(B41,1)&amp;"|"&amp;Tabela_BaseM[[#This Row],[Valor]]&amp;"|"&amp;Tabela_BaseM[[#This Row],[HISTÓRICO]]&amp;"|"),("|M350|"&amp;LEFT(C41,FIND("-",C41)-1)&amp;"|"&amp;RIGHT(C41,LEN(C41)-FIND("-",C41))&amp;"|"&amp;LEFT(D41,1)&amp;"|"&amp;LEFT(B41,1)&amp;"|"&amp;Tabela_BaseM[[#This Row],[Valor]]&amp;"|"&amp;Tabela_BaseM[[#This Row],[HISTÓRICO]]&amp;"|"))</f>
        <v>|M300|101|(-) Varia  o cambial ativa - regra geral|E|3|51674,54|Variacao cambial ativa nao realizada no periodo|</v>
      </c>
    </row>
    <row r="42" spans="1:17" x14ac:dyDescent="0.25">
      <c r="A42" t="s">
        <v>21</v>
      </c>
      <c r="B42" t="s">
        <v>30</v>
      </c>
      <c r="C42" t="s">
        <v>291</v>
      </c>
      <c r="D42" t="s">
        <v>426</v>
      </c>
      <c r="E42" t="s">
        <v>1003</v>
      </c>
      <c r="F42">
        <v>3260301</v>
      </c>
      <c r="G42" t="s">
        <v>1040</v>
      </c>
      <c r="H42" t="s">
        <v>1044</v>
      </c>
      <c r="J42" s="11">
        <v>45351</v>
      </c>
      <c r="K42">
        <v>233165.86</v>
      </c>
      <c r="L42" t="str">
        <f>IF(A42="IRPJ",IF(LEFT(B42,1)="1","|M305|",IF(LEFT(B42,1)="2","|M310|",IF(AND(LEFT(B42,1)="3",Tabela_BaseM[[#This Row],[CONTA PARTE B]]&lt;&gt;""),"|M305|",IF(LEFT(B42,1)="4","|M312|","")))),      IF(LEFT(B42,1)="1","|M355|",IF(LEFT(B42,1)="2","|M360|",IF(AND(LEFT(B42,1)="3",Tabela_BaseM[[#This Row],[CONTA PARTE B]]&lt;&gt;""),"|M355|",IF(LEFT(B42,1)="4","|M362|","")))))</f>
        <v>|M305|</v>
      </c>
      <c r="M42" t="str">
        <f>IF(LEFT(Tabela_BaseM[[#This Row],[TIPO RELACIONAMENTO]],1)="3",(IF(A42="IRPJ",IF(LEFT(B42,1)="1","|M305|",IF(LEFT(B42,1)="2","|M310|",IF(LEFT(B42,1)="3","|M310|",IF(LEFT(B42,1)="4","|M312|","")))),IF(LEFT(B42,1)="1","|M355|",IF(LEFT(B42,1)="2","|M360|",IF(LEFT(B42,1)="3","|M360|",IF(LEFT(B42,1)="4","|M362|","")))))),"")</f>
        <v>|M310|</v>
      </c>
      <c r="N4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CAMBIAL|233165,86|C|</v>
      </c>
      <c r="O4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|M310|3260301||233165,86|C|</v>
      </c>
      <c r="P4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2" t="str">
        <f>IF(A42="IRPJ",("|M300|"&amp;LEFT(C42,FIND("-",C42)-1)&amp;"|"&amp;RIGHT(C42,LEN(C42)-FIND("-",C42))&amp;"|"&amp;LEFT(D42,1)&amp;"|"&amp;LEFT(B42,1)&amp;"|"&amp;Tabela_BaseM[[#This Row],[Valor]]&amp;"|"&amp;Tabela_BaseM[[#This Row],[HISTÓRICO]]&amp;"|"),("|M350|"&amp;LEFT(C42,FIND("-",C42)-1)&amp;"|"&amp;RIGHT(C42,LEN(C42)-FIND("-",C42))&amp;"|"&amp;LEFT(D42,1)&amp;"|"&amp;LEFT(B42,1)&amp;"|"&amp;Tabela_BaseM[[#This Row],[Valor]]&amp;"|"&amp;Tabela_BaseM[[#This Row],[HISTÓRICO]]&amp;"|"))</f>
        <v>|M300|101|(-) Varia  o cambial ativa - regra geral|E|3|233165,86|Variacao cambial ativa nao realizada no periodo|</v>
      </c>
    </row>
    <row r="43" spans="1:17" x14ac:dyDescent="0.25">
      <c r="A43" t="s">
        <v>21</v>
      </c>
      <c r="B43" t="s">
        <v>30</v>
      </c>
      <c r="C43" t="s">
        <v>292</v>
      </c>
      <c r="D43" t="s">
        <v>426</v>
      </c>
      <c r="E43" t="s">
        <v>1005</v>
      </c>
      <c r="F43">
        <v>3260401</v>
      </c>
      <c r="G43" t="s">
        <v>1042</v>
      </c>
      <c r="H43" t="s">
        <v>1044</v>
      </c>
      <c r="J43" s="11">
        <v>45351</v>
      </c>
      <c r="K43">
        <v>239590.01</v>
      </c>
      <c r="L43" t="str">
        <f>IF(A43="IRPJ",IF(LEFT(B43,1)="1","|M305|",IF(LEFT(B43,1)="2","|M310|",IF(AND(LEFT(B43,1)="3",Tabela_BaseM[[#This Row],[CONTA PARTE B]]&lt;&gt;""),"|M305|",IF(LEFT(B43,1)="4","|M312|","")))),      IF(LEFT(B43,1)="1","|M355|",IF(LEFT(B43,1)="2","|M360|",IF(AND(LEFT(B43,1)="3",Tabela_BaseM[[#This Row],[CONTA PARTE B]]&lt;&gt;""),"|M355|",IF(LEFT(B43,1)="4","|M362|","")))))</f>
        <v>|M305|</v>
      </c>
      <c r="M43" t="str">
        <f>IF(LEFT(Tabela_BaseM[[#This Row],[TIPO RELACIONAMENTO]],1)="3",(IF(A43="IRPJ",IF(LEFT(B43,1)="1","|M305|",IF(LEFT(B43,1)="2","|M310|",IF(LEFT(B43,1)="3","|M310|",IF(LEFT(B43,1)="4","|M312|","")))),IF(LEFT(B43,1)="1","|M355|",IF(LEFT(B43,1)="2","|M360|",IF(LEFT(B43,1)="3","|M360|",IF(LEFT(B43,1)="4","|M362|","")))))),"")</f>
        <v>|M310|</v>
      </c>
      <c r="N4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CAMBIAL|239590,01|C|</v>
      </c>
      <c r="O4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|M310|3260401||239590,01|C|</v>
      </c>
      <c r="P4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3" t="str">
        <f>IF(A43="IRPJ",("|M300|"&amp;LEFT(C43,FIND("-",C43)-1)&amp;"|"&amp;RIGHT(C43,LEN(C43)-FIND("-",C43))&amp;"|"&amp;LEFT(D43,1)&amp;"|"&amp;LEFT(B43,1)&amp;"|"&amp;Tabela_BaseM[[#This Row],[Valor]]&amp;"|"&amp;Tabela_BaseM[[#This Row],[HISTÓRICO]]&amp;"|"),("|M350|"&amp;LEFT(C43,FIND("-",C43)-1)&amp;"|"&amp;RIGHT(C43,LEN(C43)-FIND("-",C43))&amp;"|"&amp;LEFT(D43,1)&amp;"|"&amp;LEFT(B43,1)&amp;"|"&amp;Tabela_BaseM[[#This Row],[Valor]]&amp;"|"&amp;Tabela_BaseM[[#This Row],[HISTÓRICO]]&amp;"|"))</f>
        <v>|M300|102|(-) Varia  o cambial passiva - regra geral|E|3|239590,01|Variacao cambial passiva realizada no periodo|</v>
      </c>
    </row>
    <row r="44" spans="1:17" x14ac:dyDescent="0.25">
      <c r="A44" t="s">
        <v>21</v>
      </c>
      <c r="B44" t="s">
        <v>22</v>
      </c>
      <c r="C44" t="s">
        <v>344</v>
      </c>
      <c r="D44" t="s">
        <v>426</v>
      </c>
      <c r="E44" t="s">
        <v>1006</v>
      </c>
      <c r="F44">
        <v>3210704</v>
      </c>
      <c r="G44" t="s">
        <v>1072</v>
      </c>
      <c r="J44" s="11">
        <v>45351</v>
      </c>
      <c r="K44">
        <v>3829.47</v>
      </c>
      <c r="L44" t="str">
        <f>IF(A44="IRPJ",IF(LEFT(B44,1)="1","|M305|",IF(LEFT(B44,1)="2","|M310|",IF(AND(LEFT(B44,1)="3",Tabela_BaseM[[#This Row],[CONTA PARTE B]]&lt;&gt;""),"|M305|",IF(LEFT(B44,1)="4","|M312|","")))),      IF(LEFT(B44,1)="1","|M355|",IF(LEFT(B44,1)="2","|M360|",IF(AND(LEFT(B44,1)="3",Tabela_BaseM[[#This Row],[CONTA PARTE B]]&lt;&gt;""),"|M355|",IF(LEFT(B44,1)="4","|M362|","")))))</f>
        <v>|M310|</v>
      </c>
      <c r="M44" t="str">
        <f>IF(LEFT(Tabela_BaseM[[#This Row],[TIPO RELACIONAMENTO]],1)="3",(IF(A44="IRPJ",IF(LEFT(B44,1)="1","|M305|",IF(LEFT(B44,1)="2","|M310|",IF(LEFT(B44,1)="3","|M310|",IF(LEFT(B44,1)="4","|M312|","")))),IF(LEFT(B44,1)="1","|M355|",IF(LEFT(B44,1)="2","|M360|",IF(LEFT(B44,1)="3","|M360|",IF(LEFT(B44,1)="4","|M362|","")))))),"")</f>
        <v/>
      </c>
      <c r="N4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|M310|3210704||3829,47|C|</v>
      </c>
      <c r="O4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4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4" t="str">
        <f>IF(A44="IRPJ",("|M300|"&amp;LEFT(C44,FIND("-",C44)-1)&amp;"|"&amp;RIGHT(C44,LEN(C44)-FIND("-",C44))&amp;"|"&amp;LEFT(D44,1)&amp;"|"&amp;LEFT(B44,1)&amp;"|"&amp;Tabela_BaseM[[#This Row],[Valor]]&amp;"|"&amp;Tabela_BaseM[[#This Row],[HISTÓRICO]]&amp;"|"),("|M350|"&amp;LEFT(C44,FIND("-",C44)-1)&amp;"|"&amp;RIGHT(C44,LEN(C44)-FIND("-",C44))&amp;"|"&amp;LEFT(D44,1)&amp;"|"&amp;LEFT(B44,1)&amp;"|"&amp;Tabela_BaseM[[#This Row],[Valor]]&amp;"|"&amp;Tabela_BaseM[[#This Row],[HISTÓRICO]]&amp;"|"))</f>
        <v>|M300|134.15|(-) Arrendamento mercantil - PJ arrendat ria - contrapresta  es pagas ou creditadas de contratos n o tipificados como arrendamento|E|2|3829,47|Contraprestacoes pagas de aluguel no periodo|</v>
      </c>
    </row>
    <row r="45" spans="1:17" x14ac:dyDescent="0.25">
      <c r="A45" t="s">
        <v>21</v>
      </c>
      <c r="B45" t="s">
        <v>22</v>
      </c>
      <c r="C45" t="s">
        <v>402</v>
      </c>
      <c r="D45" t="s">
        <v>426</v>
      </c>
      <c r="E45" t="s">
        <v>1079</v>
      </c>
      <c r="F45">
        <v>3260107</v>
      </c>
      <c r="G45" t="s">
        <v>1078</v>
      </c>
      <c r="J45" s="11">
        <v>45351</v>
      </c>
      <c r="K45">
        <v>810727.18</v>
      </c>
      <c r="L45" t="str">
        <f>IF(A45="IRPJ",IF(LEFT(B45,1)="1","|M305|",IF(LEFT(B45,1)="2","|M310|",IF(AND(LEFT(B45,1)="3",Tabela_BaseM[[#This Row],[CONTA PARTE B]]&lt;&gt;""),"|M305|",IF(LEFT(B45,1)="4","|M312|","")))),      IF(LEFT(B45,1)="1","|M355|",IF(LEFT(B45,1)="2","|M360|",IF(AND(LEFT(B45,1)="3",Tabela_BaseM[[#This Row],[CONTA PARTE B]]&lt;&gt;""),"|M355|",IF(LEFT(B45,1)="4","|M362|","")))))</f>
        <v>|M310|</v>
      </c>
      <c r="M45" t="str">
        <f>IF(LEFT(Tabela_BaseM[[#This Row],[TIPO RELACIONAMENTO]],1)="3",(IF(A45="IRPJ",IF(LEFT(B45,1)="1","|M305|",IF(LEFT(B45,1)="2","|M310|",IF(LEFT(B45,1)="3","|M310|",IF(LEFT(B45,1)="4","|M312|","")))),IF(LEFT(B45,1)="1","|M355|",IF(LEFT(B45,1)="2","|M360|",IF(LEFT(B45,1)="3","|M360|",IF(LEFT(B45,1)="4","|M362|","")))))),"")</f>
        <v/>
      </c>
      <c r="N4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|M310|3260107||810727,18|C|</v>
      </c>
      <c r="O4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4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5" t="str">
        <f>IF(A45="IRPJ",("|M300|"&amp;LEFT(C45,FIND("-",C45)-1)&amp;"|"&amp;RIGHT(C45,LEN(C45)-FIND("-",C45))&amp;"|"&amp;LEFT(D45,1)&amp;"|"&amp;LEFT(B45,1)&amp;"|"&amp;Tabela_BaseM[[#This Row],[Valor]]&amp;"|"&amp;Tabela_BaseM[[#This Row],[HISTÓRICO]]&amp;"|"),("|M350|"&amp;LEFT(C45,FIND("-",C45)-1)&amp;"|"&amp;RIGHT(C45,LEN(C45)-FIND("-",C45))&amp;"|"&amp;LEFT(D45,1)&amp;"|"&amp;LEFT(B45,1)&amp;"|"&amp;Tabela_BaseM[[#This Row],[Valor]]&amp;"|"&amp;Tabela_BaseM[[#This Row],[HISTÓRICO]]&amp;"|"))</f>
        <v>|M300|167.01|(-) Outras exclus es - qualquer indicador de relacionamento|E|2|810727,18|Juros ativos de credito extemporaneo e despesas dedutiveis|</v>
      </c>
    </row>
    <row r="46" spans="1:17" x14ac:dyDescent="0.25">
      <c r="A46" t="s">
        <v>21</v>
      </c>
      <c r="B46" t="s">
        <v>30</v>
      </c>
      <c r="C46" t="s">
        <v>81</v>
      </c>
      <c r="D46" t="s">
        <v>425</v>
      </c>
      <c r="E46" t="s">
        <v>1038</v>
      </c>
      <c r="F46">
        <v>3260406</v>
      </c>
      <c r="G46" t="s">
        <v>1046</v>
      </c>
      <c r="H46" t="s">
        <v>1044</v>
      </c>
      <c r="J46" s="11">
        <v>45351</v>
      </c>
      <c r="K46">
        <v>52770.23</v>
      </c>
      <c r="L46" t="str">
        <f>IF(A46="IRPJ",IF(LEFT(B46,1)="1","|M305|",IF(LEFT(B46,1)="2","|M310|",IF(AND(LEFT(B46,1)="3",Tabela_BaseM[[#This Row],[CONTA PARTE B]]&lt;&gt;""),"|M305|",IF(LEFT(B46,1)="4","|M312|","")))),      IF(LEFT(B46,1)="1","|M355|",IF(LEFT(B46,1)="2","|M360|",IF(AND(LEFT(B46,1)="3",Tabela_BaseM[[#This Row],[CONTA PARTE B]]&lt;&gt;""),"|M355|",IF(LEFT(B46,1)="4","|M362|","")))))</f>
        <v>|M305|</v>
      </c>
      <c r="M46" t="str">
        <f>IF(LEFT(Tabela_BaseM[[#This Row],[TIPO RELACIONAMENTO]],1)="3",(IF(A46="IRPJ",IF(LEFT(B46,1)="1","|M305|",IF(LEFT(B46,1)="2","|M310|",IF(LEFT(B46,1)="3","|M310|",IF(LEFT(B46,1)="4","|M312|","")))),IF(LEFT(B46,1)="1","|M355|",IF(LEFT(B46,1)="2","|M360|",IF(LEFT(B46,1)="3","|M360|",IF(LEFT(B46,1)="4","|M362|","")))))),"")</f>
        <v>|M310|</v>
      </c>
      <c r="N4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CAMBIAL|52770,23|D|</v>
      </c>
      <c r="O4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|M310|3260406||52770,23|D|</v>
      </c>
      <c r="P4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6" t="str">
        <f>IF(A46="IRPJ",("|M300|"&amp;LEFT(C46,FIND("-",C46)-1)&amp;"|"&amp;RIGHT(C46,LEN(C46)-FIND("-",C46))&amp;"|"&amp;LEFT(D46,1)&amp;"|"&amp;LEFT(B46,1)&amp;"|"&amp;Tabela_BaseM[[#This Row],[Valor]]&amp;"|"&amp;Tabela_BaseM[[#This Row],[HISTÓRICO]]&amp;"|"),("|M350|"&amp;LEFT(C46,FIND("-",C46)-1)&amp;"|"&amp;RIGHT(C46,LEN(C46)-FIND("-",C46))&amp;"|"&amp;LEFT(D46,1)&amp;"|"&amp;LEFT(B46,1)&amp;"|"&amp;Tabela_BaseM[[#This Row],[Valor]]&amp;"|"&amp;Tabela_BaseM[[#This Row],[HISTÓRICO]]&amp;"|"))</f>
        <v>|M300|16|Varia  o cambial passiva - regra geral - valor evidenciado no registro L300 de acordo com o regime de compet ncia|A|3|52770,23|Variacao cambial nao realizada no periodo|</v>
      </c>
    </row>
    <row r="47" spans="1:17" x14ac:dyDescent="0.25">
      <c r="A47" t="s">
        <v>21</v>
      </c>
      <c r="B47" t="s">
        <v>30</v>
      </c>
      <c r="C47" t="s">
        <v>81</v>
      </c>
      <c r="D47" t="s">
        <v>425</v>
      </c>
      <c r="E47" t="s">
        <v>1038</v>
      </c>
      <c r="F47">
        <v>3260403</v>
      </c>
      <c r="G47" t="s">
        <v>1043</v>
      </c>
      <c r="H47" t="s">
        <v>1044</v>
      </c>
      <c r="J47" s="11">
        <v>45351</v>
      </c>
      <c r="K47">
        <v>14534717.199999999</v>
      </c>
      <c r="L47" t="str">
        <f>IF(A47="IRPJ",IF(LEFT(B47,1)="1","|M305|",IF(LEFT(B47,1)="2","|M310|",IF(AND(LEFT(B47,1)="3",Tabela_BaseM[[#This Row],[CONTA PARTE B]]&lt;&gt;""),"|M305|",IF(LEFT(B47,1)="4","|M312|","")))),      IF(LEFT(B47,1)="1","|M355|",IF(LEFT(B47,1)="2","|M360|",IF(AND(LEFT(B47,1)="3",Tabela_BaseM[[#This Row],[CONTA PARTE B]]&lt;&gt;""),"|M355|",IF(LEFT(B47,1)="4","|M362|","")))))</f>
        <v>|M305|</v>
      </c>
      <c r="M47" t="str">
        <f>IF(LEFT(Tabela_BaseM[[#This Row],[TIPO RELACIONAMENTO]],1)="3",(IF(A47="IRPJ",IF(LEFT(B47,1)="1","|M305|",IF(LEFT(B47,1)="2","|M310|",IF(LEFT(B47,1)="3","|M310|",IF(LEFT(B47,1)="4","|M312|","")))),IF(LEFT(B47,1)="1","|M355|",IF(LEFT(B47,1)="2","|M360|",IF(LEFT(B47,1)="3","|M360|",IF(LEFT(B47,1)="4","|M362|","")))))),"")</f>
        <v>|M310|</v>
      </c>
      <c r="N4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CAMBIAL|14534717,2|D|</v>
      </c>
      <c r="O4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|M310|3260403||14534717,2|D|</v>
      </c>
      <c r="P4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7" t="str">
        <f>IF(A47="IRPJ",("|M300|"&amp;LEFT(C47,FIND("-",C47)-1)&amp;"|"&amp;RIGHT(C47,LEN(C47)-FIND("-",C47))&amp;"|"&amp;LEFT(D47,1)&amp;"|"&amp;LEFT(B47,1)&amp;"|"&amp;Tabela_BaseM[[#This Row],[Valor]]&amp;"|"&amp;Tabela_BaseM[[#This Row],[HISTÓRICO]]&amp;"|"),("|M350|"&amp;LEFT(C47,FIND("-",C47)-1)&amp;"|"&amp;RIGHT(C47,LEN(C47)-FIND("-",C47))&amp;"|"&amp;LEFT(D47,1)&amp;"|"&amp;LEFT(B47,1)&amp;"|"&amp;Tabela_BaseM[[#This Row],[Valor]]&amp;"|"&amp;Tabela_BaseM[[#This Row],[HISTÓRICO]]&amp;"|"))</f>
        <v>|M300|16|Varia  o cambial passiva - regra geral - valor evidenciado no registro L300 de acordo com o regime de compet ncia|A|3|14534717,2|Variacao cambial nao realizada no periodo|</v>
      </c>
    </row>
    <row r="48" spans="1:17" x14ac:dyDescent="0.25">
      <c r="A48" t="s">
        <v>21</v>
      </c>
      <c r="B48" t="s">
        <v>30</v>
      </c>
      <c r="C48" t="s">
        <v>81</v>
      </c>
      <c r="D48" t="s">
        <v>425</v>
      </c>
      <c r="E48" t="s">
        <v>1038</v>
      </c>
      <c r="F48">
        <v>3260802</v>
      </c>
      <c r="G48" t="s">
        <v>1050</v>
      </c>
      <c r="H48" t="s">
        <v>1044</v>
      </c>
      <c r="J48" s="11">
        <v>45351</v>
      </c>
      <c r="K48">
        <v>146263.45000000001</v>
      </c>
      <c r="L48" t="str">
        <f>IF(A48="IRPJ",IF(LEFT(B48,1)="1","|M305|",IF(LEFT(B48,1)="2","|M310|",IF(AND(LEFT(B48,1)="3",Tabela_BaseM[[#This Row],[CONTA PARTE B]]&lt;&gt;""),"|M305|",IF(LEFT(B48,1)="4","|M312|","")))),      IF(LEFT(B48,1)="1","|M355|",IF(LEFT(B48,1)="2","|M360|",IF(AND(LEFT(B48,1)="3",Tabela_BaseM[[#This Row],[CONTA PARTE B]]&lt;&gt;""),"|M355|",IF(LEFT(B48,1)="4","|M362|","")))))</f>
        <v>|M305|</v>
      </c>
      <c r="M48" t="str">
        <f>IF(LEFT(Tabela_BaseM[[#This Row],[TIPO RELACIONAMENTO]],1)="3",(IF(A48="IRPJ",IF(LEFT(B48,1)="1","|M305|",IF(LEFT(B48,1)="2","|M310|",IF(LEFT(B48,1)="3","|M310|",IF(LEFT(B48,1)="4","|M312|","")))),IF(LEFT(B48,1)="1","|M355|",IF(LEFT(B48,1)="2","|M360|",IF(LEFT(B48,1)="3","|M360|",IF(LEFT(B48,1)="4","|M362|","")))))),"")</f>
        <v>|M310|</v>
      </c>
      <c r="N4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CAMBIAL|146263,45|D|</v>
      </c>
      <c r="O4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|M310|3260802||146263,45|D|</v>
      </c>
      <c r="P4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8" t="str">
        <f>IF(A48="IRPJ",("|M300|"&amp;LEFT(C48,FIND("-",C48)-1)&amp;"|"&amp;RIGHT(C48,LEN(C48)-FIND("-",C48))&amp;"|"&amp;LEFT(D48,1)&amp;"|"&amp;LEFT(B48,1)&amp;"|"&amp;Tabela_BaseM[[#This Row],[Valor]]&amp;"|"&amp;Tabela_BaseM[[#This Row],[HISTÓRICO]]&amp;"|"),("|M350|"&amp;LEFT(C48,FIND("-",C48)-1)&amp;"|"&amp;RIGHT(C48,LEN(C48)-FIND("-",C48))&amp;"|"&amp;LEFT(D48,1)&amp;"|"&amp;LEFT(B48,1)&amp;"|"&amp;Tabela_BaseM[[#This Row],[Valor]]&amp;"|"&amp;Tabela_BaseM[[#This Row],[HISTÓRICO]]&amp;"|"))</f>
        <v>|M300|16|Varia  o cambial passiva - regra geral - valor evidenciado no registro L300 de acordo com o regime de compet ncia|A|3|146263,45|Variacao cambial nao realizada no periodo|</v>
      </c>
    </row>
    <row r="49" spans="1:17" x14ac:dyDescent="0.25">
      <c r="A49" t="s">
        <v>21</v>
      </c>
      <c r="B49" t="s">
        <v>30</v>
      </c>
      <c r="C49" t="s">
        <v>81</v>
      </c>
      <c r="D49" t="s">
        <v>425</v>
      </c>
      <c r="E49" t="s">
        <v>1038</v>
      </c>
      <c r="F49">
        <v>3260402</v>
      </c>
      <c r="G49" t="s">
        <v>1001</v>
      </c>
      <c r="H49" t="s">
        <v>1044</v>
      </c>
      <c r="J49" s="11">
        <v>45351</v>
      </c>
      <c r="K49">
        <v>215527.29</v>
      </c>
      <c r="L49" t="str">
        <f>IF(A49="IRPJ",IF(LEFT(B49,1)="1","|M305|",IF(LEFT(B49,1)="2","|M310|",IF(AND(LEFT(B49,1)="3",Tabela_BaseM[[#This Row],[CONTA PARTE B]]&lt;&gt;""),"|M305|",IF(LEFT(B49,1)="4","|M312|","")))),      IF(LEFT(B49,1)="1","|M355|",IF(LEFT(B49,1)="2","|M360|",IF(AND(LEFT(B49,1)="3",Tabela_BaseM[[#This Row],[CONTA PARTE B]]&lt;&gt;""),"|M355|",IF(LEFT(B49,1)="4","|M362|","")))))</f>
        <v>|M305|</v>
      </c>
      <c r="M49" t="str">
        <f>IF(LEFT(Tabela_BaseM[[#This Row],[TIPO RELACIONAMENTO]],1)="3",(IF(A49="IRPJ",IF(LEFT(B49,1)="1","|M305|",IF(LEFT(B49,1)="2","|M310|",IF(LEFT(B49,1)="3","|M310|",IF(LEFT(B49,1)="4","|M312|","")))),IF(LEFT(B49,1)="1","|M355|",IF(LEFT(B49,1)="2","|M360|",IF(LEFT(B49,1)="3","|M360|",IF(LEFT(B49,1)="4","|M362|","")))))),"")</f>
        <v>|M310|</v>
      </c>
      <c r="N4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CAMBIAL|215527,29|D|</v>
      </c>
      <c r="O4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|M310|3260402||215527,29|D|</v>
      </c>
      <c r="P4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49" t="str">
        <f>IF(A49="IRPJ",("|M300|"&amp;LEFT(C49,FIND("-",C49)-1)&amp;"|"&amp;RIGHT(C49,LEN(C49)-FIND("-",C49))&amp;"|"&amp;LEFT(D49,1)&amp;"|"&amp;LEFT(B49,1)&amp;"|"&amp;Tabela_BaseM[[#This Row],[Valor]]&amp;"|"&amp;Tabela_BaseM[[#This Row],[HISTÓRICO]]&amp;"|"),("|M350|"&amp;LEFT(C49,FIND("-",C49)-1)&amp;"|"&amp;RIGHT(C49,LEN(C49)-FIND("-",C49))&amp;"|"&amp;LEFT(D49,1)&amp;"|"&amp;LEFT(B49,1)&amp;"|"&amp;Tabela_BaseM[[#This Row],[Valor]]&amp;"|"&amp;Tabela_BaseM[[#This Row],[HISTÓRICO]]&amp;"|"))</f>
        <v>|M300|16|Varia  o cambial passiva - regra geral - valor evidenciado no registro L300 de acordo com o regime de compet ncia|A|3|215527,29|Variacao cambial nao realizada no periodo|</v>
      </c>
    </row>
    <row r="50" spans="1:17" x14ac:dyDescent="0.25">
      <c r="A50" t="s">
        <v>21</v>
      </c>
      <c r="B50" t="s">
        <v>30</v>
      </c>
      <c r="C50" t="s">
        <v>81</v>
      </c>
      <c r="D50" t="s">
        <v>425</v>
      </c>
      <c r="E50" t="s">
        <v>1038</v>
      </c>
      <c r="F50">
        <v>3260401</v>
      </c>
      <c r="G50" t="s">
        <v>1042</v>
      </c>
      <c r="H50" t="s">
        <v>1044</v>
      </c>
      <c r="J50" s="11">
        <v>45351</v>
      </c>
      <c r="K50">
        <v>131313.46</v>
      </c>
      <c r="L50" t="str">
        <f>IF(A50="IRPJ",IF(LEFT(B50,1)="1","|M305|",IF(LEFT(B50,1)="2","|M310|",IF(AND(LEFT(B50,1)="3",Tabela_BaseM[[#This Row],[CONTA PARTE B]]&lt;&gt;""),"|M305|",IF(LEFT(B50,1)="4","|M312|","")))),      IF(LEFT(B50,1)="1","|M355|",IF(LEFT(B50,1)="2","|M360|",IF(AND(LEFT(B50,1)="3",Tabela_BaseM[[#This Row],[CONTA PARTE B]]&lt;&gt;""),"|M355|",IF(LEFT(B50,1)="4","|M362|","")))))</f>
        <v>|M305|</v>
      </c>
      <c r="M50" t="str">
        <f>IF(LEFT(Tabela_BaseM[[#This Row],[TIPO RELACIONAMENTO]],1)="3",(IF(A50="IRPJ",IF(LEFT(B50,1)="1","|M305|",IF(LEFT(B50,1)="2","|M310|",IF(LEFT(B50,1)="3","|M310|",IF(LEFT(B50,1)="4","|M312|","")))),IF(LEFT(B50,1)="1","|M355|",IF(LEFT(B50,1)="2","|M360|",IF(LEFT(B50,1)="3","|M360|",IF(LEFT(B50,1)="4","|M362|","")))))),"")</f>
        <v>|M310|</v>
      </c>
      <c r="N5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CAMBIAL|131313,46|D|</v>
      </c>
      <c r="O5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|M310|3260401||131313,46|D|</v>
      </c>
      <c r="P5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0" t="str">
        <f>IF(A50="IRPJ",("|M300|"&amp;LEFT(C50,FIND("-",C50)-1)&amp;"|"&amp;RIGHT(C50,LEN(C50)-FIND("-",C50))&amp;"|"&amp;LEFT(D50,1)&amp;"|"&amp;LEFT(B50,1)&amp;"|"&amp;Tabela_BaseM[[#This Row],[Valor]]&amp;"|"&amp;Tabela_BaseM[[#This Row],[HISTÓRICO]]&amp;"|"),("|M350|"&amp;LEFT(C50,FIND("-",C50)-1)&amp;"|"&amp;RIGHT(C50,LEN(C50)-FIND("-",C50))&amp;"|"&amp;LEFT(D50,1)&amp;"|"&amp;LEFT(B50,1)&amp;"|"&amp;Tabela_BaseM[[#This Row],[Valor]]&amp;"|"&amp;Tabela_BaseM[[#This Row],[HISTÓRICO]]&amp;"|"))</f>
        <v>|M300|16|Varia  o cambial passiva - regra geral - valor evidenciado no registro L300 de acordo com o regime de compet ncia|A|3|131313,46|Variacao cambial nao realizada no periodo|</v>
      </c>
    </row>
    <row r="51" spans="1:17" x14ac:dyDescent="0.25">
      <c r="A51" t="s">
        <v>21</v>
      </c>
      <c r="B51" t="s">
        <v>30</v>
      </c>
      <c r="C51" t="s">
        <v>81</v>
      </c>
      <c r="D51" t="s">
        <v>425</v>
      </c>
      <c r="E51" t="s">
        <v>1038</v>
      </c>
      <c r="F51">
        <v>3260801</v>
      </c>
      <c r="G51" t="s">
        <v>1048</v>
      </c>
      <c r="H51" t="s">
        <v>1044</v>
      </c>
      <c r="J51" s="11">
        <v>45351</v>
      </c>
      <c r="K51">
        <v>288672.18</v>
      </c>
      <c r="L51" t="str">
        <f>IF(A51="IRPJ",IF(LEFT(B51,1)="1","|M305|",IF(LEFT(B51,1)="2","|M310|",IF(AND(LEFT(B51,1)="3",Tabela_BaseM[[#This Row],[CONTA PARTE B]]&lt;&gt;""),"|M305|",IF(LEFT(B51,1)="4","|M312|","")))),      IF(LEFT(B51,1)="1","|M355|",IF(LEFT(B51,1)="2","|M360|",IF(AND(LEFT(B51,1)="3",Tabela_BaseM[[#This Row],[CONTA PARTE B]]&lt;&gt;""),"|M355|",IF(LEFT(B51,1)="4","|M362|","")))))</f>
        <v>|M305|</v>
      </c>
      <c r="M51" t="str">
        <f>IF(LEFT(Tabela_BaseM[[#This Row],[TIPO RELACIONAMENTO]],1)="3",(IF(A51="IRPJ",IF(LEFT(B51,1)="1","|M305|",IF(LEFT(B51,1)="2","|M310|",IF(LEFT(B51,1)="3","|M310|",IF(LEFT(B51,1)="4","|M312|","")))),IF(LEFT(B51,1)="1","|M355|",IF(LEFT(B51,1)="2","|M360|",IF(LEFT(B51,1)="3","|M360|",IF(LEFT(B51,1)="4","|M362|","")))))),"")</f>
        <v>|M310|</v>
      </c>
      <c r="N5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CAMBIAL|288672,18|D|</v>
      </c>
      <c r="O5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|M310|3260801||288672,18|D|</v>
      </c>
      <c r="P5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1" t="str">
        <f>IF(A51="IRPJ",("|M300|"&amp;LEFT(C51,FIND("-",C51)-1)&amp;"|"&amp;RIGHT(C51,LEN(C51)-FIND("-",C51))&amp;"|"&amp;LEFT(D51,1)&amp;"|"&amp;LEFT(B51,1)&amp;"|"&amp;Tabela_BaseM[[#This Row],[Valor]]&amp;"|"&amp;Tabela_BaseM[[#This Row],[HISTÓRICO]]&amp;"|"),("|M350|"&amp;LEFT(C51,FIND("-",C51)-1)&amp;"|"&amp;RIGHT(C51,LEN(C51)-FIND("-",C51))&amp;"|"&amp;LEFT(D51,1)&amp;"|"&amp;LEFT(B51,1)&amp;"|"&amp;Tabela_BaseM[[#This Row],[Valor]]&amp;"|"&amp;Tabela_BaseM[[#This Row],[HISTÓRICO]]&amp;"|"))</f>
        <v>|M300|16|Varia  o cambial passiva - regra geral - valor evidenciado no registro L300 de acordo com o regime de compet ncia|A|3|288672,18|Variacao cambial nao realizada no periodo|</v>
      </c>
    </row>
    <row r="52" spans="1:17" x14ac:dyDescent="0.25">
      <c r="A52" t="s">
        <v>21</v>
      </c>
      <c r="B52" t="s">
        <v>30</v>
      </c>
      <c r="C52" t="s">
        <v>31</v>
      </c>
      <c r="D52" t="s">
        <v>425</v>
      </c>
      <c r="E52" t="s">
        <v>430</v>
      </c>
      <c r="F52">
        <v>3230306</v>
      </c>
      <c r="G52" t="s">
        <v>1084</v>
      </c>
      <c r="H52">
        <v>21405</v>
      </c>
      <c r="J52" s="11">
        <v>45351</v>
      </c>
      <c r="K52">
        <v>102.65999999997439</v>
      </c>
      <c r="L52" t="str">
        <f>IF(A52="IRPJ",IF(LEFT(B52,1)="1","|M305|",IF(LEFT(B52,1)="2","|M310|",IF(AND(LEFT(B52,1)="3",Tabela_BaseM[[#This Row],[CONTA PARTE B]]&lt;&gt;""),"|M305|",IF(LEFT(B52,1)="4","|M312|","")))),      IF(LEFT(B52,1)="1","|M355|",IF(LEFT(B52,1)="2","|M360|",IF(AND(LEFT(B52,1)="3",Tabela_BaseM[[#This Row],[CONTA PARTE B]]&lt;&gt;""),"|M355|",IF(LEFT(B52,1)="4","|M362|","")))))</f>
        <v>|M305|</v>
      </c>
      <c r="M52" t="str">
        <f>IF(LEFT(Tabela_BaseM[[#This Row],[TIPO RELACIONAMENTO]],1)="3",(IF(A52="IRPJ",IF(LEFT(B52,1)="1","|M305|",IF(LEFT(B52,1)="2","|M310|",IF(LEFT(B52,1)="3","|M310|",IF(LEFT(B52,1)="4","|M312|","")))),IF(LEFT(B52,1)="1","|M355|",IF(LEFT(B52,1)="2","|M360|",IF(LEFT(B52,1)="3","|M360|",IF(LEFT(B52,1)="4","|M362|","")))))),"")</f>
        <v>|M310|</v>
      </c>
      <c r="N5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|M305|21405|102,659999999974|D|</v>
      </c>
      <c r="O5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|M310|3230306||102,659999999974|D|</v>
      </c>
      <c r="P5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2" t="str">
        <f>IF(A52="IRPJ",("|M300|"&amp;LEFT(C52,FIND("-",C52)-1)&amp;"|"&amp;RIGHT(C52,LEN(C52)-FIND("-",C52))&amp;"|"&amp;LEFT(D52,1)&amp;"|"&amp;LEFT(B52,1)&amp;"|"&amp;Tabela_BaseM[[#This Row],[Valor]]&amp;"|"&amp;Tabela_BaseM[[#This Row],[HISTÓRICO]]&amp;"|"),("|M350|"&amp;LEFT(C52,FIND("-",C52)-1)&amp;"|"&amp;RIGHT(C52,LEN(C52)-FIND("-",C52))&amp;"|"&amp;LEFT(D52,1)&amp;"|"&amp;LEFT(B52,1)&amp;"|"&amp;Tabela_BaseM[[#This Row],[Valor]]&amp;"|"&amp;Tabela_BaseM[[#This Row],[HISTÓRICO]]&amp;"|"))</f>
        <v>|M300|6|Provis es ou perdas estimadas n o dedut veis|A|3|102,659999999974|Provisoes no período|</v>
      </c>
    </row>
    <row r="53" spans="1:17" x14ac:dyDescent="0.25">
      <c r="A53" t="s">
        <v>21</v>
      </c>
      <c r="B53" t="s">
        <v>30</v>
      </c>
      <c r="C53" t="s">
        <v>31</v>
      </c>
      <c r="D53" t="s">
        <v>425</v>
      </c>
      <c r="E53" t="s">
        <v>430</v>
      </c>
      <c r="F53">
        <v>3150201</v>
      </c>
      <c r="G53" t="s">
        <v>1028</v>
      </c>
      <c r="H53">
        <v>2130308</v>
      </c>
      <c r="J53" s="11">
        <v>45351</v>
      </c>
      <c r="K53">
        <v>36281.970000000008</v>
      </c>
      <c r="L53" t="str">
        <f>IF(A53="IRPJ",IF(LEFT(B53,1)="1","|M305|",IF(LEFT(B53,1)="2","|M310|",IF(AND(LEFT(B53,1)="3",Tabela_BaseM[[#This Row],[CONTA PARTE B]]&lt;&gt;""),"|M305|",IF(LEFT(B53,1)="4","|M312|","")))),      IF(LEFT(B53,1)="1","|M355|",IF(LEFT(B53,1)="2","|M360|",IF(AND(LEFT(B53,1)="3",Tabela_BaseM[[#This Row],[CONTA PARTE B]]&lt;&gt;""),"|M355|",IF(LEFT(B53,1)="4","|M362|","")))))</f>
        <v>|M305|</v>
      </c>
      <c r="M53" t="str">
        <f>IF(LEFT(Tabela_BaseM[[#This Row],[TIPO RELACIONAMENTO]],1)="3",(IF(A53="IRPJ",IF(LEFT(B53,1)="1","|M305|",IF(LEFT(B53,1)="2","|M310|",IF(LEFT(B53,1)="3","|M310|",IF(LEFT(B53,1)="4","|M312|","")))),IF(LEFT(B53,1)="1","|M355|",IF(LEFT(B53,1)="2","|M360|",IF(LEFT(B53,1)="3","|M360|",IF(LEFT(B53,1)="4","|M362|","")))))),"")</f>
        <v>|M310|</v>
      </c>
      <c r="N5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|M305|2130308|36281,97|D|</v>
      </c>
      <c r="O5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|M310|3150201||36281,97|D|</v>
      </c>
      <c r="P5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3" t="str">
        <f>IF(A53="IRPJ",("|M300|"&amp;LEFT(C53,FIND("-",C53)-1)&amp;"|"&amp;RIGHT(C53,LEN(C53)-FIND("-",C53))&amp;"|"&amp;LEFT(D53,1)&amp;"|"&amp;LEFT(B53,1)&amp;"|"&amp;Tabela_BaseM[[#This Row],[Valor]]&amp;"|"&amp;Tabela_BaseM[[#This Row],[HISTÓRICO]]&amp;"|"),("|M350|"&amp;LEFT(C53,FIND("-",C53)-1)&amp;"|"&amp;RIGHT(C53,LEN(C53)-FIND("-",C53))&amp;"|"&amp;LEFT(D53,1)&amp;"|"&amp;LEFT(B53,1)&amp;"|"&amp;Tabela_BaseM[[#This Row],[Valor]]&amp;"|"&amp;Tabela_BaseM[[#This Row],[HISTÓRICO]]&amp;"|"))</f>
        <v>|M300|6|Provis es ou perdas estimadas n o dedut veis|A|3|36281,97|Provisoes no período|</v>
      </c>
    </row>
    <row r="54" spans="1:17" x14ac:dyDescent="0.25">
      <c r="A54" t="s">
        <v>21</v>
      </c>
      <c r="B54" t="s">
        <v>30</v>
      </c>
      <c r="C54" t="s">
        <v>31</v>
      </c>
      <c r="D54" t="s">
        <v>425</v>
      </c>
      <c r="E54" t="s">
        <v>430</v>
      </c>
      <c r="F54">
        <v>3210202</v>
      </c>
      <c r="G54" t="s">
        <v>1059</v>
      </c>
      <c r="H54">
        <v>2130302</v>
      </c>
      <c r="J54" s="11">
        <v>45351</v>
      </c>
      <c r="K54">
        <v>277993.11</v>
      </c>
      <c r="L54" t="str">
        <f>IF(A54="IRPJ",IF(LEFT(B54,1)="1","|M305|",IF(LEFT(B54,1)="2","|M310|",IF(AND(LEFT(B54,1)="3",Tabela_BaseM[[#This Row],[CONTA PARTE B]]&lt;&gt;""),"|M305|",IF(LEFT(B54,1)="4","|M312|","")))),      IF(LEFT(B54,1)="1","|M355|",IF(LEFT(B54,1)="2","|M360|",IF(AND(LEFT(B54,1)="3",Tabela_BaseM[[#This Row],[CONTA PARTE B]]&lt;&gt;""),"|M355|",IF(LEFT(B54,1)="4","|M362|","")))))</f>
        <v>|M305|</v>
      </c>
      <c r="M54" t="str">
        <f>IF(LEFT(Tabela_BaseM[[#This Row],[TIPO RELACIONAMENTO]],1)="3",(IF(A54="IRPJ",IF(LEFT(B54,1)="1","|M305|",IF(LEFT(B54,1)="2","|M310|",IF(LEFT(B54,1)="3","|M310|",IF(LEFT(B54,1)="4","|M312|","")))),IF(LEFT(B54,1)="1","|M355|",IF(LEFT(B54,1)="2","|M360|",IF(LEFT(B54,1)="3","|M360|",IF(LEFT(B54,1)="4","|M362|","")))))),"")</f>
        <v>|M310|</v>
      </c>
      <c r="N5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|M305|2130302|277993,11|D|</v>
      </c>
      <c r="O5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|M310|3210202||277993,11|D|</v>
      </c>
      <c r="P5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4" t="str">
        <f>IF(A54="IRPJ",("|M300|"&amp;LEFT(C54,FIND("-",C54)-1)&amp;"|"&amp;RIGHT(C54,LEN(C54)-FIND("-",C54))&amp;"|"&amp;LEFT(D54,1)&amp;"|"&amp;LEFT(B54,1)&amp;"|"&amp;Tabela_BaseM[[#This Row],[Valor]]&amp;"|"&amp;Tabela_BaseM[[#This Row],[HISTÓRICO]]&amp;"|"),("|M350|"&amp;LEFT(C54,FIND("-",C54)-1)&amp;"|"&amp;RIGHT(C54,LEN(C54)-FIND("-",C54))&amp;"|"&amp;LEFT(D54,1)&amp;"|"&amp;LEFT(B54,1)&amp;"|"&amp;Tabela_BaseM[[#This Row],[Valor]]&amp;"|"&amp;Tabela_BaseM[[#This Row],[HISTÓRICO]]&amp;"|"))</f>
        <v>|M300|6|Provis es ou perdas estimadas n o dedut veis|A|3|277993,11|Provisoes no período|</v>
      </c>
    </row>
    <row r="55" spans="1:17" x14ac:dyDescent="0.25">
      <c r="A55" t="s">
        <v>21</v>
      </c>
      <c r="B55" t="s">
        <v>30</v>
      </c>
      <c r="C55" t="s">
        <v>31</v>
      </c>
      <c r="D55" t="s">
        <v>425</v>
      </c>
      <c r="E55" t="s">
        <v>430</v>
      </c>
      <c r="F55">
        <v>3230307</v>
      </c>
      <c r="G55" t="s">
        <v>1057</v>
      </c>
      <c r="H55">
        <v>21405</v>
      </c>
      <c r="J55" s="11">
        <v>45351</v>
      </c>
      <c r="K55">
        <v>6.1199999999999983</v>
      </c>
      <c r="L55" t="str">
        <f>IF(A55="IRPJ",IF(LEFT(B55,1)="1","|M305|",IF(LEFT(B55,1)="2","|M310|",IF(AND(LEFT(B55,1)="3",Tabela_BaseM[[#This Row],[CONTA PARTE B]]&lt;&gt;""),"|M305|",IF(LEFT(B55,1)="4","|M312|","")))),      IF(LEFT(B55,1)="1","|M355|",IF(LEFT(B55,1)="2","|M360|",IF(AND(LEFT(B55,1)="3",Tabela_BaseM[[#This Row],[CONTA PARTE B]]&lt;&gt;""),"|M355|",IF(LEFT(B55,1)="4","|M362|","")))))</f>
        <v>|M305|</v>
      </c>
      <c r="M55" t="str">
        <f>IF(LEFT(Tabela_BaseM[[#This Row],[TIPO RELACIONAMENTO]],1)="3",(IF(A55="IRPJ",IF(LEFT(B55,1)="1","|M305|",IF(LEFT(B55,1)="2","|M310|",IF(LEFT(B55,1)="3","|M310|",IF(LEFT(B55,1)="4","|M312|","")))),IF(LEFT(B55,1)="1","|M355|",IF(LEFT(B55,1)="2","|M360|",IF(LEFT(B55,1)="3","|M360|",IF(LEFT(B55,1)="4","|M362|","")))))),"")</f>
        <v>|M310|</v>
      </c>
      <c r="N5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|M305|21405|6,12|D|</v>
      </c>
      <c r="O5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|M310|3230307||6,12|D|</v>
      </c>
      <c r="P5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5" t="str">
        <f>IF(A55="IRPJ",("|M300|"&amp;LEFT(C55,FIND("-",C55)-1)&amp;"|"&amp;RIGHT(C55,LEN(C55)-FIND("-",C55))&amp;"|"&amp;LEFT(D55,1)&amp;"|"&amp;LEFT(B55,1)&amp;"|"&amp;Tabela_BaseM[[#This Row],[Valor]]&amp;"|"&amp;Tabela_BaseM[[#This Row],[HISTÓRICO]]&amp;"|"),("|M350|"&amp;LEFT(C55,FIND("-",C55)-1)&amp;"|"&amp;RIGHT(C55,LEN(C55)-FIND("-",C55))&amp;"|"&amp;LEFT(D55,1)&amp;"|"&amp;LEFT(B55,1)&amp;"|"&amp;Tabela_BaseM[[#This Row],[Valor]]&amp;"|"&amp;Tabela_BaseM[[#This Row],[HISTÓRICO]]&amp;"|"))</f>
        <v>|M300|6|Provis es ou perdas estimadas n o dedut veis|A|3|6,12|Provisoes no período|</v>
      </c>
    </row>
    <row r="56" spans="1:17" x14ac:dyDescent="0.25">
      <c r="A56" t="s">
        <v>21</v>
      </c>
      <c r="B56" t="s">
        <v>30</v>
      </c>
      <c r="C56" t="s">
        <v>31</v>
      </c>
      <c r="D56" t="s">
        <v>425</v>
      </c>
      <c r="E56" t="s">
        <v>430</v>
      </c>
      <c r="F56">
        <v>3220101</v>
      </c>
      <c r="G56" t="s">
        <v>1062</v>
      </c>
      <c r="H56">
        <v>1120201</v>
      </c>
      <c r="J56" s="11">
        <v>45351</v>
      </c>
      <c r="K56">
        <v>143072.82999999996</v>
      </c>
      <c r="L56" t="str">
        <f>IF(A56="IRPJ",IF(LEFT(B56,1)="1","|M305|",IF(LEFT(B56,1)="2","|M310|",IF(AND(LEFT(B56,1)="3",Tabela_BaseM[[#This Row],[CONTA PARTE B]]&lt;&gt;""),"|M305|",IF(LEFT(B56,1)="4","|M312|","")))),      IF(LEFT(B56,1)="1","|M355|",IF(LEFT(B56,1)="2","|M360|",IF(AND(LEFT(B56,1)="3",Tabela_BaseM[[#This Row],[CONTA PARTE B]]&lt;&gt;""),"|M355|",IF(LEFT(B56,1)="4","|M362|","")))))</f>
        <v>|M305|</v>
      </c>
      <c r="M56" t="str">
        <f>IF(LEFT(Tabela_BaseM[[#This Row],[TIPO RELACIONAMENTO]],1)="3",(IF(A56="IRPJ",IF(LEFT(B56,1)="1","|M305|",IF(LEFT(B56,1)="2","|M310|",IF(LEFT(B56,1)="3","|M310|",IF(LEFT(B56,1)="4","|M312|","")))),IF(LEFT(B56,1)="1","|M355|",IF(LEFT(B56,1)="2","|M360|",IF(LEFT(B56,1)="3","|M360|",IF(LEFT(B56,1)="4","|M362|","")))))),"")</f>
        <v>|M310|</v>
      </c>
      <c r="N5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|M305|1120201|143072,83|D|</v>
      </c>
      <c r="O5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|M310|3220101||143072,83|D|</v>
      </c>
      <c r="P5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6" t="str">
        <f>IF(A56="IRPJ",("|M300|"&amp;LEFT(C56,FIND("-",C56)-1)&amp;"|"&amp;RIGHT(C56,LEN(C56)-FIND("-",C56))&amp;"|"&amp;LEFT(D56,1)&amp;"|"&amp;LEFT(B56,1)&amp;"|"&amp;Tabela_BaseM[[#This Row],[Valor]]&amp;"|"&amp;Tabela_BaseM[[#This Row],[HISTÓRICO]]&amp;"|"),("|M350|"&amp;LEFT(C56,FIND("-",C56)-1)&amp;"|"&amp;RIGHT(C56,LEN(C56)-FIND("-",C56))&amp;"|"&amp;LEFT(D56,1)&amp;"|"&amp;LEFT(B56,1)&amp;"|"&amp;Tabela_BaseM[[#This Row],[Valor]]&amp;"|"&amp;Tabela_BaseM[[#This Row],[HISTÓRICO]]&amp;"|"))</f>
        <v>|M300|6|Provis es ou perdas estimadas n o dedut veis|A|3|143072,83|Provisoes no período|</v>
      </c>
    </row>
    <row r="57" spans="1:17" x14ac:dyDescent="0.25">
      <c r="A57" t="s">
        <v>21</v>
      </c>
      <c r="B57" t="s">
        <v>22</v>
      </c>
      <c r="C57" t="s">
        <v>44</v>
      </c>
      <c r="D57" t="s">
        <v>425</v>
      </c>
      <c r="E57" t="s">
        <v>1095</v>
      </c>
      <c r="F57">
        <v>3211305</v>
      </c>
      <c r="G57" t="s">
        <v>1011</v>
      </c>
      <c r="J57" s="11">
        <v>45351</v>
      </c>
      <c r="K57">
        <v>7814.0999999999985</v>
      </c>
      <c r="L57" t="str">
        <f>IF(A57="IRPJ",IF(LEFT(B57,1)="1","|M305|",IF(LEFT(B57,1)="2","|M310|",IF(AND(LEFT(B57,1)="3",Tabela_BaseM[[#This Row],[CONTA PARTE B]]&lt;&gt;""),"|M305|",IF(LEFT(B57,1)="4","|M312|","")))),      IF(LEFT(B57,1)="1","|M355|",IF(LEFT(B57,1)="2","|M360|",IF(AND(LEFT(B57,1)="3",Tabela_BaseM[[#This Row],[CONTA PARTE B]]&lt;&gt;""),"|M355|",IF(LEFT(B57,1)="4","|M362|","")))))</f>
        <v>|M310|</v>
      </c>
      <c r="M57" t="str">
        <f>IF(LEFT(Tabela_BaseM[[#This Row],[TIPO RELACIONAMENTO]],1)="3",(IF(A57="IRPJ",IF(LEFT(B57,1)="1","|M305|",IF(LEFT(B57,1)="2","|M310|",IF(LEFT(B57,1)="3","|M310|",IF(LEFT(B57,1)="4","|M312|","")))),IF(LEFT(B57,1)="1","|M355|",IF(LEFT(B57,1)="2","|M360|",IF(LEFT(B57,1)="3","|M360|",IF(LEFT(B57,1)="4","|M362|","")))))),"")</f>
        <v/>
      </c>
      <c r="N5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|M310|3211305||7814,1|D|</v>
      </c>
      <c r="O5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5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7" t="str">
        <f>IF(A57="IRPJ",("|M300|"&amp;LEFT(C57,FIND("-",C57)-1)&amp;"|"&amp;RIGHT(C57,LEN(C57)-FIND("-",C57))&amp;"|"&amp;LEFT(D57,1)&amp;"|"&amp;LEFT(B57,1)&amp;"|"&amp;Tabela_BaseM[[#This Row],[Valor]]&amp;"|"&amp;Tabela_BaseM[[#This Row],[HISTÓRICO]]&amp;"|"),("|M350|"&amp;LEFT(C57,FIND("-",C57)-1)&amp;"|"&amp;RIGHT(C57,LEN(C57)-FIND("-",C57))&amp;"|"&amp;LEFT(D57,1)&amp;"|"&amp;LEFT(B57,1)&amp;"|"&amp;Tabela_BaseM[[#This Row],[Valor]]&amp;"|"&amp;Tabela_BaseM[[#This Row],[HISTÓRICO]]&amp;"|"))</f>
        <v>|M300|8.13|Doa  es a entidades civis - parcelas n o dedut veis|A|2|7814,1|Contribuicoes a associacoes no periodo|</v>
      </c>
    </row>
    <row r="58" spans="1:17" x14ac:dyDescent="0.25">
      <c r="A58" t="s">
        <v>21</v>
      </c>
      <c r="B58" t="s">
        <v>22</v>
      </c>
      <c r="C58" t="s">
        <v>44</v>
      </c>
      <c r="D58" t="s">
        <v>425</v>
      </c>
      <c r="E58" t="s">
        <v>1095</v>
      </c>
      <c r="F58">
        <v>3211304</v>
      </c>
      <c r="G58" t="s">
        <v>1009</v>
      </c>
      <c r="J58" s="11">
        <v>45351</v>
      </c>
      <c r="K58">
        <v>894.04</v>
      </c>
      <c r="L58" t="str">
        <f>IF(A58="IRPJ",IF(LEFT(B58,1)="1","|M305|",IF(LEFT(B58,1)="2","|M310|",IF(AND(LEFT(B58,1)="3",Tabela_BaseM[[#This Row],[CONTA PARTE B]]&lt;&gt;""),"|M305|",IF(LEFT(B58,1)="4","|M312|","")))),      IF(LEFT(B58,1)="1","|M355|",IF(LEFT(B58,1)="2","|M360|",IF(AND(LEFT(B58,1)="3",Tabela_BaseM[[#This Row],[CONTA PARTE B]]&lt;&gt;""),"|M355|",IF(LEFT(B58,1)="4","|M362|","")))))</f>
        <v>|M310|</v>
      </c>
      <c r="M58" t="str">
        <f>IF(LEFT(Tabela_BaseM[[#This Row],[TIPO RELACIONAMENTO]],1)="3",(IF(A58="IRPJ",IF(LEFT(B58,1)="1","|M305|",IF(LEFT(B58,1)="2","|M310|",IF(LEFT(B58,1)="3","|M310|",IF(LEFT(B58,1)="4","|M312|","")))),IF(LEFT(B58,1)="1","|M355|",IF(LEFT(B58,1)="2","|M360|",IF(LEFT(B58,1)="3","|M360|",IF(LEFT(B58,1)="4","|M362|","")))))),"")</f>
        <v/>
      </c>
      <c r="N5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|M310|3211304||894,04|D|</v>
      </c>
      <c r="O5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5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8" t="str">
        <f>IF(A58="IRPJ",("|M300|"&amp;LEFT(C58,FIND("-",C58)-1)&amp;"|"&amp;RIGHT(C58,LEN(C58)-FIND("-",C58))&amp;"|"&amp;LEFT(D58,1)&amp;"|"&amp;LEFT(B58,1)&amp;"|"&amp;Tabela_BaseM[[#This Row],[Valor]]&amp;"|"&amp;Tabela_BaseM[[#This Row],[HISTÓRICO]]&amp;"|"),("|M350|"&amp;LEFT(C58,FIND("-",C58)-1)&amp;"|"&amp;RIGHT(C58,LEN(C58)-FIND("-",C58))&amp;"|"&amp;LEFT(D58,1)&amp;"|"&amp;LEFT(B58,1)&amp;"|"&amp;Tabela_BaseM[[#This Row],[Valor]]&amp;"|"&amp;Tabela_BaseM[[#This Row],[HISTÓRICO]]&amp;"|"))</f>
        <v>|M300|8.13|Doa  es a entidades civis - parcelas n o dedut veis|A|2|894,04|Contribuicoes a associacoes no periodo|</v>
      </c>
    </row>
    <row r="59" spans="1:17" x14ac:dyDescent="0.25">
      <c r="A59" t="s">
        <v>21</v>
      </c>
      <c r="B59" t="s">
        <v>22</v>
      </c>
      <c r="C59" t="s">
        <v>27</v>
      </c>
      <c r="D59" t="s">
        <v>425</v>
      </c>
      <c r="E59" t="s">
        <v>526</v>
      </c>
      <c r="F59">
        <v>3211505</v>
      </c>
      <c r="G59" t="s">
        <v>1024</v>
      </c>
      <c r="J59" s="11">
        <v>45351</v>
      </c>
      <c r="K59">
        <v>33137.730000000003</v>
      </c>
      <c r="L59" t="str">
        <f>IF(A59="IRPJ",IF(LEFT(B59,1)="1","|M305|",IF(LEFT(B59,1)="2","|M310|",IF(AND(LEFT(B59,1)="3",Tabela_BaseM[[#This Row],[CONTA PARTE B]]&lt;&gt;""),"|M305|",IF(LEFT(B59,1)="4","|M312|","")))),      IF(LEFT(B59,1)="1","|M355|",IF(LEFT(B59,1)="2","|M360|",IF(AND(LEFT(B59,1)="3",Tabela_BaseM[[#This Row],[CONTA PARTE B]]&lt;&gt;""),"|M355|",IF(LEFT(B59,1)="4","|M362|","")))))</f>
        <v>|M310|</v>
      </c>
      <c r="M59" t="str">
        <f>IF(LEFT(Tabela_BaseM[[#This Row],[TIPO RELACIONAMENTO]],1)="3",(IF(A59="IRPJ",IF(LEFT(B59,1)="1","|M305|",IF(LEFT(B59,1)="2","|M310|",IF(LEFT(B59,1)="3","|M310|",IF(LEFT(B59,1)="4","|M312|","")))),IF(LEFT(B59,1)="1","|M355|",IF(LEFT(B59,1)="2","|M360|",IF(LEFT(B59,1)="3","|M360|",IF(LEFT(B59,1)="4","|M362|","")))))),"")</f>
        <v/>
      </c>
      <c r="N5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|M310|3211505||33137,73|D|</v>
      </c>
      <c r="O5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5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59" t="str">
        <f>IF(A59="IRPJ",("|M300|"&amp;LEFT(C59,FIND("-",C59)-1)&amp;"|"&amp;RIGHT(C59,LEN(C59)-FIND("-",C59))&amp;"|"&amp;LEFT(D59,1)&amp;"|"&amp;LEFT(B59,1)&amp;"|"&amp;Tabela_BaseM[[#This Row],[Valor]]&amp;"|"&amp;Tabela_BaseM[[#This Row],[HISTÓRICO]]&amp;"|"),("|M350|"&amp;LEFT(C59,FIND("-",C59)-1)&amp;"|"&amp;RIGHT(C59,LEN(C59)-FIND("-",C59))&amp;"|"&amp;LEFT(D59,1)&amp;"|"&amp;LEFT(B59,1)&amp;"|"&amp;Tabela_BaseM[[#This Row],[Valor]]&amp;"|"&amp;Tabela_BaseM[[#This Row],[HISTÓRICO]]&amp;"|"))</f>
        <v>|M300|8.75|Remunera  o de s cios|A|2|33137,73|Remuneracoes a socios|</v>
      </c>
    </row>
    <row r="60" spans="1:17" x14ac:dyDescent="0.25">
      <c r="A60" t="s">
        <v>21</v>
      </c>
      <c r="B60" t="s">
        <v>22</v>
      </c>
      <c r="C60" t="s">
        <v>23</v>
      </c>
      <c r="D60" t="s">
        <v>425</v>
      </c>
      <c r="E60" t="s">
        <v>527</v>
      </c>
      <c r="F60">
        <v>3211005</v>
      </c>
      <c r="G60" t="s">
        <v>24</v>
      </c>
      <c r="J60" s="11">
        <v>45351</v>
      </c>
      <c r="K60">
        <v>11288.65</v>
      </c>
      <c r="L60" t="str">
        <f>IF(A60="IRPJ",IF(LEFT(B60,1)="1","|M305|",IF(LEFT(B60,1)="2","|M310|",IF(AND(LEFT(B60,1)="3",Tabela_BaseM[[#This Row],[CONTA PARTE B]]&lt;&gt;""),"|M305|",IF(LEFT(B60,1)="4","|M312|","")))),      IF(LEFT(B60,1)="1","|M355|",IF(LEFT(B60,1)="2","|M360|",IF(AND(LEFT(B60,1)="3",Tabela_BaseM[[#This Row],[CONTA PARTE B]]&lt;&gt;""),"|M355|",IF(LEFT(B60,1)="4","|M362|","")))))</f>
        <v>|M310|</v>
      </c>
      <c r="M60" t="str">
        <f>IF(LEFT(Tabela_BaseM[[#This Row],[TIPO RELACIONAMENTO]],1)="3",(IF(A60="IRPJ",IF(LEFT(B60,1)="1","|M305|",IF(LEFT(B60,1)="2","|M310|",IF(LEFT(B60,1)="3","|M310|",IF(LEFT(B60,1)="4","|M312|","")))),IF(LEFT(B60,1)="1","|M355|",IF(LEFT(B60,1)="2","|M360|",IF(LEFT(B60,1)="3","|M360|",IF(LEFT(B60,1)="4","|M362|","")))))),"")</f>
        <v/>
      </c>
      <c r="N6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|M310|3211005||11288,65|D|</v>
      </c>
      <c r="O6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6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0" t="str">
        <f>IF(A60="IRPJ",("|M300|"&amp;LEFT(C60,FIND("-",C60)-1)&amp;"|"&amp;RIGHT(C60,LEN(C60)-FIND("-",C60))&amp;"|"&amp;LEFT(D60,1)&amp;"|"&amp;LEFT(B60,1)&amp;"|"&amp;Tabela_BaseM[[#This Row],[Valor]]&amp;"|"&amp;Tabela_BaseM[[#This Row],[HISTÓRICO]]&amp;"|"),("|M350|"&amp;LEFT(C60,FIND("-",C60)-1)&amp;"|"&amp;RIGHT(C60,LEN(C60)-FIND("-",C60))&amp;"|"&amp;LEFT(D60,1)&amp;"|"&amp;LEFT(B60,1)&amp;"|"&amp;Tabela_BaseM[[#This Row],[Valor]]&amp;"|"&amp;Tabela_BaseM[[#This Row],[HISTÓRICO]]&amp;"|"))</f>
        <v>|M300|8|Despesas n o necess rias|A|2|11288,65|Despesas nao dedutiveis no periodo|</v>
      </c>
    </row>
    <row r="61" spans="1:17" x14ac:dyDescent="0.25">
      <c r="A61" t="s">
        <v>21</v>
      </c>
      <c r="B61" t="s">
        <v>22</v>
      </c>
      <c r="C61" t="s">
        <v>23</v>
      </c>
      <c r="D61" t="s">
        <v>425</v>
      </c>
      <c r="E61" t="s">
        <v>527</v>
      </c>
      <c r="F61">
        <v>3150106</v>
      </c>
      <c r="G61" t="s">
        <v>1015</v>
      </c>
      <c r="J61" s="11">
        <v>45351</v>
      </c>
      <c r="K61">
        <v>76578.909999999989</v>
      </c>
      <c r="L61" t="str">
        <f>IF(A61="IRPJ",IF(LEFT(B61,1)="1","|M305|",IF(LEFT(B61,1)="2","|M310|",IF(AND(LEFT(B61,1)="3",Tabela_BaseM[[#This Row],[CONTA PARTE B]]&lt;&gt;""),"|M305|",IF(LEFT(B61,1)="4","|M312|","")))),      IF(LEFT(B61,1)="1","|M355|",IF(LEFT(B61,1)="2","|M360|",IF(AND(LEFT(B61,1)="3",Tabela_BaseM[[#This Row],[CONTA PARTE B]]&lt;&gt;""),"|M355|",IF(LEFT(B61,1)="4","|M362|","")))))</f>
        <v>|M310|</v>
      </c>
      <c r="M61" t="str">
        <f>IF(LEFT(Tabela_BaseM[[#This Row],[TIPO RELACIONAMENTO]],1)="3",(IF(A61="IRPJ",IF(LEFT(B61,1)="1","|M305|",IF(LEFT(B61,1)="2","|M310|",IF(LEFT(B61,1)="3","|M310|",IF(LEFT(B61,1)="4","|M312|","")))),IF(LEFT(B61,1)="1","|M355|",IF(LEFT(B61,1)="2","|M360|",IF(LEFT(B61,1)="3","|M360|",IF(LEFT(B61,1)="4","|M362|","")))))),"")</f>
        <v/>
      </c>
      <c r="N6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|M310|3150106||76578,91|D|</v>
      </c>
      <c r="O6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6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1" t="str">
        <f>IF(A61="IRPJ",("|M300|"&amp;LEFT(C61,FIND("-",C61)-1)&amp;"|"&amp;RIGHT(C61,LEN(C61)-FIND("-",C61))&amp;"|"&amp;LEFT(D61,1)&amp;"|"&amp;LEFT(B61,1)&amp;"|"&amp;Tabela_BaseM[[#This Row],[Valor]]&amp;"|"&amp;Tabela_BaseM[[#This Row],[HISTÓRICO]]&amp;"|"),("|M350|"&amp;LEFT(C61,FIND("-",C61)-1)&amp;"|"&amp;RIGHT(C61,LEN(C61)-FIND("-",C61))&amp;"|"&amp;LEFT(D61,1)&amp;"|"&amp;LEFT(B61,1)&amp;"|"&amp;Tabela_BaseM[[#This Row],[Valor]]&amp;"|"&amp;Tabela_BaseM[[#This Row],[HISTÓRICO]]&amp;"|"))</f>
        <v>|M300|8|Despesas n o necess rias|A|2|76578,91|Despesas nao dedutiveis no periodo|</v>
      </c>
    </row>
    <row r="62" spans="1:17" x14ac:dyDescent="0.25">
      <c r="A62" t="s">
        <v>21</v>
      </c>
      <c r="B62" t="s">
        <v>22</v>
      </c>
      <c r="C62" t="s">
        <v>23</v>
      </c>
      <c r="D62" t="s">
        <v>425</v>
      </c>
      <c r="E62" t="s">
        <v>527</v>
      </c>
      <c r="F62">
        <v>3210113</v>
      </c>
      <c r="G62" t="s">
        <v>1083</v>
      </c>
      <c r="J62" s="11">
        <v>45351</v>
      </c>
      <c r="K62">
        <v>363113.42</v>
      </c>
      <c r="L62" t="str">
        <f>IF(A62="IRPJ",IF(LEFT(B62,1)="1","|M305|",IF(LEFT(B62,1)="2","|M310|",IF(AND(LEFT(B62,1)="3",Tabela_BaseM[[#This Row],[CONTA PARTE B]]&lt;&gt;""),"|M305|",IF(LEFT(B62,1)="4","|M312|","")))),      IF(LEFT(B62,1)="1","|M355|",IF(LEFT(B62,1)="2","|M360|",IF(AND(LEFT(B62,1)="3",Tabela_BaseM[[#This Row],[CONTA PARTE B]]&lt;&gt;""),"|M355|",IF(LEFT(B62,1)="4","|M362|","")))))</f>
        <v>|M310|</v>
      </c>
      <c r="M62" t="str">
        <f>IF(LEFT(Tabela_BaseM[[#This Row],[TIPO RELACIONAMENTO]],1)="3",(IF(A62="IRPJ",IF(LEFT(B62,1)="1","|M305|",IF(LEFT(B62,1)="2","|M310|",IF(LEFT(B62,1)="3","|M310|",IF(LEFT(B62,1)="4","|M312|","")))),IF(LEFT(B62,1)="1","|M355|",IF(LEFT(B62,1)="2","|M360|",IF(LEFT(B62,1)="3","|M360|",IF(LEFT(B62,1)="4","|M362|","")))))),"")</f>
        <v/>
      </c>
      <c r="N6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|M310|3210113||363113,42|D|</v>
      </c>
      <c r="O6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6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2" t="str">
        <f>IF(A62="IRPJ",("|M300|"&amp;LEFT(C62,FIND("-",C62)-1)&amp;"|"&amp;RIGHT(C62,LEN(C62)-FIND("-",C62))&amp;"|"&amp;LEFT(D62,1)&amp;"|"&amp;LEFT(B62,1)&amp;"|"&amp;Tabela_BaseM[[#This Row],[Valor]]&amp;"|"&amp;Tabela_BaseM[[#This Row],[HISTÓRICO]]&amp;"|"),("|M350|"&amp;LEFT(C62,FIND("-",C62)-1)&amp;"|"&amp;RIGHT(C62,LEN(C62)-FIND("-",C62))&amp;"|"&amp;LEFT(D62,1)&amp;"|"&amp;LEFT(B62,1)&amp;"|"&amp;Tabela_BaseM[[#This Row],[Valor]]&amp;"|"&amp;Tabela_BaseM[[#This Row],[HISTÓRICO]]&amp;"|"))</f>
        <v>|M300|8|Despesas n o necess rias|A|2|363113,42|Despesas nao dedutiveis no periodo|</v>
      </c>
    </row>
    <row r="63" spans="1:17" x14ac:dyDescent="0.25">
      <c r="A63" t="s">
        <v>21</v>
      </c>
      <c r="B63" t="s">
        <v>22</v>
      </c>
      <c r="C63" t="s">
        <v>23</v>
      </c>
      <c r="D63" t="s">
        <v>425</v>
      </c>
      <c r="E63" t="s">
        <v>527</v>
      </c>
      <c r="F63">
        <v>3220204</v>
      </c>
      <c r="G63" t="s">
        <v>1014</v>
      </c>
      <c r="J63" s="11">
        <v>45351</v>
      </c>
      <c r="K63">
        <v>411.71</v>
      </c>
      <c r="L63" t="str">
        <f>IF(A63="IRPJ",IF(LEFT(B63,1)="1","|M305|",IF(LEFT(B63,1)="2","|M310|",IF(AND(LEFT(B63,1)="3",Tabela_BaseM[[#This Row],[CONTA PARTE B]]&lt;&gt;""),"|M305|",IF(LEFT(B63,1)="4","|M312|","")))),      IF(LEFT(B63,1)="1","|M355|",IF(LEFT(B63,1)="2","|M360|",IF(AND(LEFT(B63,1)="3",Tabela_BaseM[[#This Row],[CONTA PARTE B]]&lt;&gt;""),"|M355|",IF(LEFT(B63,1)="4","|M362|","")))))</f>
        <v>|M310|</v>
      </c>
      <c r="M63" t="str">
        <f>IF(LEFT(Tabela_BaseM[[#This Row],[TIPO RELACIONAMENTO]],1)="3",(IF(A63="IRPJ",IF(LEFT(B63,1)="1","|M305|",IF(LEFT(B63,1)="2","|M310|",IF(LEFT(B63,1)="3","|M310|",IF(LEFT(B63,1)="4","|M312|","")))),IF(LEFT(B63,1)="1","|M355|",IF(LEFT(B63,1)="2","|M360|",IF(LEFT(B63,1)="3","|M360|",IF(LEFT(B63,1)="4","|M362|","")))))),"")</f>
        <v/>
      </c>
      <c r="N6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|M310|3220204||411,71|D|</v>
      </c>
      <c r="O6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6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3" t="str">
        <f>IF(A63="IRPJ",("|M300|"&amp;LEFT(C63,FIND("-",C63)-1)&amp;"|"&amp;RIGHT(C63,LEN(C63)-FIND("-",C63))&amp;"|"&amp;LEFT(D63,1)&amp;"|"&amp;LEFT(B63,1)&amp;"|"&amp;Tabela_BaseM[[#This Row],[Valor]]&amp;"|"&amp;Tabela_BaseM[[#This Row],[HISTÓRICO]]&amp;"|"),("|M350|"&amp;LEFT(C63,FIND("-",C63)-1)&amp;"|"&amp;RIGHT(C63,LEN(C63)-FIND("-",C63))&amp;"|"&amp;LEFT(D63,1)&amp;"|"&amp;LEFT(B63,1)&amp;"|"&amp;Tabela_BaseM[[#This Row],[Valor]]&amp;"|"&amp;Tabela_BaseM[[#This Row],[HISTÓRICO]]&amp;"|"))</f>
        <v>|M300|8|Despesas n o necess rias|A|2|411,71|Despesas nao dedutiveis no periodo|</v>
      </c>
    </row>
    <row r="64" spans="1:17" x14ac:dyDescent="0.25">
      <c r="A64" t="s">
        <v>21</v>
      </c>
      <c r="B64" t="s">
        <v>30</v>
      </c>
      <c r="C64" t="s">
        <v>32</v>
      </c>
      <c r="D64" t="s">
        <v>426</v>
      </c>
      <c r="E64" t="s">
        <v>998</v>
      </c>
      <c r="F64">
        <v>3230305</v>
      </c>
      <c r="G64" t="s">
        <v>1084</v>
      </c>
      <c r="H64">
        <v>21405</v>
      </c>
      <c r="J64" s="11">
        <v>45351</v>
      </c>
      <c r="K64">
        <v>291638.03999999998</v>
      </c>
      <c r="L64" t="str">
        <f>IF(A64="IRPJ",IF(LEFT(B64,1)="1","|M305|",IF(LEFT(B64,1)="2","|M310|",IF(AND(LEFT(B64,1)="3",Tabela_BaseM[[#This Row],[CONTA PARTE B]]&lt;&gt;""),"|M305|",IF(LEFT(B64,1)="4","|M312|","")))),      IF(LEFT(B64,1)="1","|M355|",IF(LEFT(B64,1)="2","|M360|",IF(AND(LEFT(B64,1)="3",Tabela_BaseM[[#This Row],[CONTA PARTE B]]&lt;&gt;""),"|M355|",IF(LEFT(B64,1)="4","|M362|","")))))</f>
        <v>|M305|</v>
      </c>
      <c r="M64" t="str">
        <f>IF(LEFT(Tabela_BaseM[[#This Row],[TIPO RELACIONAMENTO]],1)="3",(IF(A64="IRPJ",IF(LEFT(B64,1)="1","|M305|",IF(LEFT(B64,1)="2","|M310|",IF(LEFT(B64,1)="3","|M310|",IF(LEFT(B64,1)="4","|M312|","")))),IF(LEFT(B64,1)="1","|M355|",IF(LEFT(B64,1)="2","|M360|",IF(LEFT(B64,1)="3","|M360|",IF(LEFT(B64,1)="4","|M362|","")))))),"")</f>
        <v>|M310|</v>
      </c>
      <c r="N6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|M305|21405|291638,04|C|</v>
      </c>
      <c r="O6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|M310|3230305||291638,04|C|</v>
      </c>
      <c r="P6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4" t="str">
        <f>IF(A64="IRPJ",("|M300|"&amp;LEFT(C64,FIND("-",C64)-1)&amp;"|"&amp;RIGHT(C64,LEN(C64)-FIND("-",C64))&amp;"|"&amp;LEFT(D64,1)&amp;"|"&amp;LEFT(B64,1)&amp;"|"&amp;Tabela_BaseM[[#This Row],[Valor]]&amp;"|"&amp;Tabela_BaseM[[#This Row],[HISTÓRICO]]&amp;"|"),("|M350|"&amp;LEFT(C64,FIND("-",C64)-1)&amp;"|"&amp;RIGHT(C64,LEN(C64)-FIND("-",C64))&amp;"|"&amp;LEFT(D64,1)&amp;"|"&amp;LEFT(B64,1)&amp;"|"&amp;Tabela_BaseM[[#This Row],[Valor]]&amp;"|"&amp;Tabela_BaseM[[#This Row],[HISTÓRICO]]&amp;"|"))</f>
        <v>|M300|95|(-) Revers o ou uso de provis es ou perdas estimadas n o dedut veis|E|3|291638,04|Reversao de provisoes no periodo|</v>
      </c>
    </row>
    <row r="65" spans="1:17" x14ac:dyDescent="0.25">
      <c r="A65" t="s">
        <v>21</v>
      </c>
      <c r="B65" t="s">
        <v>30</v>
      </c>
      <c r="C65" t="s">
        <v>32</v>
      </c>
      <c r="D65" t="s">
        <v>426</v>
      </c>
      <c r="E65" t="s">
        <v>998</v>
      </c>
      <c r="F65">
        <v>3160403</v>
      </c>
      <c r="G65" t="s">
        <v>1090</v>
      </c>
      <c r="H65">
        <v>1130604</v>
      </c>
      <c r="J65" s="11">
        <v>45351</v>
      </c>
      <c r="K65">
        <v>185431.33</v>
      </c>
      <c r="L65" t="str">
        <f>IF(A65="IRPJ",IF(LEFT(B65,1)="1","|M305|",IF(LEFT(B65,1)="2","|M310|",IF(AND(LEFT(B65,1)="3",Tabela_BaseM[[#This Row],[CONTA PARTE B]]&lt;&gt;""),"|M305|",IF(LEFT(B65,1)="4","|M312|","")))),      IF(LEFT(B65,1)="1","|M355|",IF(LEFT(B65,1)="2","|M360|",IF(AND(LEFT(B65,1)="3",Tabela_BaseM[[#This Row],[CONTA PARTE B]]&lt;&gt;""),"|M355|",IF(LEFT(B65,1)="4","|M362|","")))))</f>
        <v>|M305|</v>
      </c>
      <c r="M65" t="str">
        <f>IF(LEFT(Tabela_BaseM[[#This Row],[TIPO RELACIONAMENTO]],1)="3",(IF(A65="IRPJ",IF(LEFT(B65,1)="1","|M305|",IF(LEFT(B65,1)="2","|M310|",IF(LEFT(B65,1)="3","|M310|",IF(LEFT(B65,1)="4","|M312|","")))),IF(LEFT(B65,1)="1","|M355|",IF(LEFT(B65,1)="2","|M360|",IF(LEFT(B65,1)="3","|M360|",IF(LEFT(B65,1)="4","|M362|","")))))),"")</f>
        <v>|M310|</v>
      </c>
      <c r="N6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|M305|1130604|185431,33|C|</v>
      </c>
      <c r="O6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|M310|3160403||185431,33|C|</v>
      </c>
      <c r="P6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5" t="str">
        <f>IF(A65="IRPJ",("|M300|"&amp;LEFT(C65,FIND("-",C65)-1)&amp;"|"&amp;RIGHT(C65,LEN(C65)-FIND("-",C65))&amp;"|"&amp;LEFT(D65,1)&amp;"|"&amp;LEFT(B65,1)&amp;"|"&amp;Tabela_BaseM[[#This Row],[Valor]]&amp;"|"&amp;Tabela_BaseM[[#This Row],[HISTÓRICO]]&amp;"|"),("|M350|"&amp;LEFT(C65,FIND("-",C65)-1)&amp;"|"&amp;RIGHT(C65,LEN(C65)-FIND("-",C65))&amp;"|"&amp;LEFT(D65,1)&amp;"|"&amp;LEFT(B65,1)&amp;"|"&amp;Tabela_BaseM[[#This Row],[Valor]]&amp;"|"&amp;Tabela_BaseM[[#This Row],[HISTÓRICO]]&amp;"|"))</f>
        <v>|M300|95|(-) Revers o ou uso de provis es ou perdas estimadas n o dedut veis|E|3|185431,33|Reversao de provisoes no periodo|</v>
      </c>
    </row>
    <row r="66" spans="1:17" x14ac:dyDescent="0.25">
      <c r="A66" t="s">
        <v>21</v>
      </c>
      <c r="B66" t="s">
        <v>30</v>
      </c>
      <c r="C66" t="s">
        <v>32</v>
      </c>
      <c r="D66" t="s">
        <v>426</v>
      </c>
      <c r="E66" t="s">
        <v>998</v>
      </c>
      <c r="F66">
        <v>3210205</v>
      </c>
      <c r="G66" t="s">
        <v>1085</v>
      </c>
      <c r="H66">
        <v>2130306</v>
      </c>
      <c r="J66" s="11">
        <v>45351</v>
      </c>
      <c r="K66">
        <v>11110.62</v>
      </c>
      <c r="L66" t="str">
        <f>IF(A66="IRPJ",IF(LEFT(B66,1)="1","|M305|",IF(LEFT(B66,1)="2","|M310|",IF(AND(LEFT(B66,1)="3",Tabela_BaseM[[#This Row],[CONTA PARTE B]]&lt;&gt;""),"|M305|",IF(LEFT(B66,1)="4","|M312|","")))),      IF(LEFT(B66,1)="1","|M355|",IF(LEFT(B66,1)="2","|M360|",IF(AND(LEFT(B66,1)="3",Tabela_BaseM[[#This Row],[CONTA PARTE B]]&lt;&gt;""),"|M355|",IF(LEFT(B66,1)="4","|M362|","")))))</f>
        <v>|M305|</v>
      </c>
      <c r="M66" t="str">
        <f>IF(LEFT(Tabela_BaseM[[#This Row],[TIPO RELACIONAMENTO]],1)="3",(IF(A66="IRPJ",IF(LEFT(B66,1)="1","|M305|",IF(LEFT(B66,1)="2","|M310|",IF(LEFT(B66,1)="3","|M310|",IF(LEFT(B66,1)="4","|M312|","")))),IF(LEFT(B66,1)="1","|M355|",IF(LEFT(B66,1)="2","|M360|",IF(LEFT(B66,1)="3","|M360|",IF(LEFT(B66,1)="4","|M362|","")))))),"")</f>
        <v>|M310|</v>
      </c>
      <c r="N6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|M305|2130306|11110,62|C|</v>
      </c>
      <c r="O6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|M310|3210205||11110,62|C|</v>
      </c>
      <c r="P6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6" t="str">
        <f>IF(A66="IRPJ",("|M300|"&amp;LEFT(C66,FIND("-",C66)-1)&amp;"|"&amp;RIGHT(C66,LEN(C66)-FIND("-",C66))&amp;"|"&amp;LEFT(D66,1)&amp;"|"&amp;LEFT(B66,1)&amp;"|"&amp;Tabela_BaseM[[#This Row],[Valor]]&amp;"|"&amp;Tabela_BaseM[[#This Row],[HISTÓRICO]]&amp;"|"),("|M350|"&amp;LEFT(C66,FIND("-",C66)-1)&amp;"|"&amp;RIGHT(C66,LEN(C66)-FIND("-",C66))&amp;"|"&amp;LEFT(D66,1)&amp;"|"&amp;LEFT(B66,1)&amp;"|"&amp;Tabela_BaseM[[#This Row],[Valor]]&amp;"|"&amp;Tabela_BaseM[[#This Row],[HISTÓRICO]]&amp;"|"))</f>
        <v>|M300|95|(-) Revers o ou uso de provis es ou perdas estimadas n o dedut veis|E|3|11110,62|Reversao de provisoes no periodo|</v>
      </c>
    </row>
    <row r="67" spans="1:17" x14ac:dyDescent="0.25">
      <c r="A67" t="s">
        <v>21</v>
      </c>
      <c r="B67" t="s">
        <v>30</v>
      </c>
      <c r="C67" t="s">
        <v>32</v>
      </c>
      <c r="D67" t="s">
        <v>426</v>
      </c>
      <c r="E67" t="s">
        <v>998</v>
      </c>
      <c r="F67">
        <v>3150202</v>
      </c>
      <c r="G67" t="s">
        <v>1026</v>
      </c>
      <c r="H67">
        <v>2130304</v>
      </c>
      <c r="J67" s="11">
        <v>45351</v>
      </c>
      <c r="K67">
        <v>210440.78</v>
      </c>
      <c r="L67" t="str">
        <f>IF(A67="IRPJ",IF(LEFT(B67,1)="1","|M305|",IF(LEFT(B67,1)="2","|M310|",IF(AND(LEFT(B67,1)="3",Tabela_BaseM[[#This Row],[CONTA PARTE B]]&lt;&gt;""),"|M305|",IF(LEFT(B67,1)="4","|M312|","")))),      IF(LEFT(B67,1)="1","|M355|",IF(LEFT(B67,1)="2","|M360|",IF(AND(LEFT(B67,1)="3",Tabela_BaseM[[#This Row],[CONTA PARTE B]]&lt;&gt;""),"|M355|",IF(LEFT(B67,1)="4","|M362|","")))))</f>
        <v>|M305|</v>
      </c>
      <c r="M67" t="str">
        <f>IF(LEFT(Tabela_BaseM[[#This Row],[TIPO RELACIONAMENTO]],1)="3",(IF(A67="IRPJ",IF(LEFT(B67,1)="1","|M305|",IF(LEFT(B67,1)="2","|M310|",IF(LEFT(B67,1)="3","|M310|",IF(LEFT(B67,1)="4","|M312|","")))),IF(LEFT(B67,1)="1","|M355|",IF(LEFT(B67,1)="2","|M360|",IF(LEFT(B67,1)="3","|M360|",IF(LEFT(B67,1)="4","|M362|","")))))),"")</f>
        <v>|M310|</v>
      </c>
      <c r="N6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|M305|2130304|210440,78|C|</v>
      </c>
      <c r="O6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|M310|3150202||210440,78|C|</v>
      </c>
      <c r="P6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7" t="str">
        <f>IF(A67="IRPJ",("|M300|"&amp;LEFT(C67,FIND("-",C67)-1)&amp;"|"&amp;RIGHT(C67,LEN(C67)-FIND("-",C67))&amp;"|"&amp;LEFT(D67,1)&amp;"|"&amp;LEFT(B67,1)&amp;"|"&amp;Tabela_BaseM[[#This Row],[Valor]]&amp;"|"&amp;Tabela_BaseM[[#This Row],[HISTÓRICO]]&amp;"|"),("|M350|"&amp;LEFT(C67,FIND("-",C67)-1)&amp;"|"&amp;RIGHT(C67,LEN(C67)-FIND("-",C67))&amp;"|"&amp;LEFT(D67,1)&amp;"|"&amp;LEFT(B67,1)&amp;"|"&amp;Tabela_BaseM[[#This Row],[Valor]]&amp;"|"&amp;Tabela_BaseM[[#This Row],[HISTÓRICO]]&amp;"|"))</f>
        <v>|M300|95|(-) Revers o ou uso de provis es ou perdas estimadas n o dedut veis|E|3|210440,78|Reversao de provisoes no periodo|</v>
      </c>
    </row>
    <row r="68" spans="1:17" x14ac:dyDescent="0.25">
      <c r="A68" t="s">
        <v>21</v>
      </c>
      <c r="B68" t="s">
        <v>30</v>
      </c>
      <c r="C68" t="s">
        <v>32</v>
      </c>
      <c r="D68" t="s">
        <v>426</v>
      </c>
      <c r="E68" t="s">
        <v>998</v>
      </c>
      <c r="F68">
        <v>3160408</v>
      </c>
      <c r="G68" t="s">
        <v>1088</v>
      </c>
      <c r="H68">
        <v>1130608</v>
      </c>
      <c r="J68" s="11">
        <v>45351</v>
      </c>
      <c r="K68">
        <v>102011.38</v>
      </c>
      <c r="L68" t="str">
        <f>IF(A68="IRPJ",IF(LEFT(B68,1)="1","|M305|",IF(LEFT(B68,1)="2","|M310|",IF(AND(LEFT(B68,1)="3",Tabela_BaseM[[#This Row],[CONTA PARTE B]]&lt;&gt;""),"|M305|",IF(LEFT(B68,1)="4","|M312|","")))),      IF(LEFT(B68,1)="1","|M355|",IF(LEFT(B68,1)="2","|M360|",IF(AND(LEFT(B68,1)="3",Tabela_BaseM[[#This Row],[CONTA PARTE B]]&lt;&gt;""),"|M355|",IF(LEFT(B68,1)="4","|M362|","")))))</f>
        <v>|M305|</v>
      </c>
      <c r="M68" t="str">
        <f>IF(LEFT(Tabela_BaseM[[#This Row],[TIPO RELACIONAMENTO]],1)="3",(IF(A68="IRPJ",IF(LEFT(B68,1)="1","|M305|",IF(LEFT(B68,1)="2","|M310|",IF(LEFT(B68,1)="3","|M310|",IF(LEFT(B68,1)="4","|M312|","")))),IF(LEFT(B68,1)="1","|M355|",IF(LEFT(B68,1)="2","|M360|",IF(LEFT(B68,1)="3","|M360|",IF(LEFT(B68,1)="4","|M362|","")))))),"")</f>
        <v>|M310|</v>
      </c>
      <c r="N6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|M305|1130608|102011,38|C|</v>
      </c>
      <c r="O6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|M310|3160408||102011,38|C|</v>
      </c>
      <c r="P6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8" t="str">
        <f>IF(A68="IRPJ",("|M300|"&amp;LEFT(C68,FIND("-",C68)-1)&amp;"|"&amp;RIGHT(C68,LEN(C68)-FIND("-",C68))&amp;"|"&amp;LEFT(D68,1)&amp;"|"&amp;LEFT(B68,1)&amp;"|"&amp;Tabela_BaseM[[#This Row],[Valor]]&amp;"|"&amp;Tabela_BaseM[[#This Row],[HISTÓRICO]]&amp;"|"),("|M350|"&amp;LEFT(C68,FIND("-",C68)-1)&amp;"|"&amp;RIGHT(C68,LEN(C68)-FIND("-",C68))&amp;"|"&amp;LEFT(D68,1)&amp;"|"&amp;LEFT(B68,1)&amp;"|"&amp;Tabela_BaseM[[#This Row],[Valor]]&amp;"|"&amp;Tabela_BaseM[[#This Row],[HISTÓRICO]]&amp;"|"))</f>
        <v>|M300|95|(-) Revers o ou uso de provis es ou perdas estimadas n o dedut veis|E|3|102011,38|Reversao de provisoes no periodo|</v>
      </c>
    </row>
    <row r="69" spans="1:17" x14ac:dyDescent="0.25">
      <c r="A69" t="s">
        <v>21</v>
      </c>
      <c r="B69" t="s">
        <v>30</v>
      </c>
      <c r="C69" t="s">
        <v>32</v>
      </c>
      <c r="D69" t="s">
        <v>426</v>
      </c>
      <c r="E69" t="s">
        <v>998</v>
      </c>
      <c r="F69">
        <v>3160406</v>
      </c>
      <c r="G69" t="s">
        <v>1089</v>
      </c>
      <c r="H69">
        <v>1130609</v>
      </c>
      <c r="J69" s="11">
        <v>45351</v>
      </c>
      <c r="K69">
        <v>13760.08</v>
      </c>
      <c r="L69" t="str">
        <f>IF(A69="IRPJ",IF(LEFT(B69,1)="1","|M305|",IF(LEFT(B69,1)="2","|M310|",IF(AND(LEFT(B69,1)="3",Tabela_BaseM[[#This Row],[CONTA PARTE B]]&lt;&gt;""),"|M305|",IF(LEFT(B69,1)="4","|M312|","")))),      IF(LEFT(B69,1)="1","|M355|",IF(LEFT(B69,1)="2","|M360|",IF(AND(LEFT(B69,1)="3",Tabela_BaseM[[#This Row],[CONTA PARTE B]]&lt;&gt;""),"|M355|",IF(LEFT(B69,1)="4","|M362|","")))))</f>
        <v>|M305|</v>
      </c>
      <c r="M69" t="str">
        <f>IF(LEFT(Tabela_BaseM[[#This Row],[TIPO RELACIONAMENTO]],1)="3",(IF(A69="IRPJ",IF(LEFT(B69,1)="1","|M305|",IF(LEFT(B69,1)="2","|M310|",IF(LEFT(B69,1)="3","|M310|",IF(LEFT(B69,1)="4","|M312|","")))),IF(LEFT(B69,1)="1","|M355|",IF(LEFT(B69,1)="2","|M360|",IF(LEFT(B69,1)="3","|M360|",IF(LEFT(B69,1)="4","|M362|","")))))),"")</f>
        <v>|M310|</v>
      </c>
      <c r="N6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|M305|1130609|13760,08|C|</v>
      </c>
      <c r="O6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|M310|3160406||13760,08|C|</v>
      </c>
      <c r="P6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69" t="str">
        <f>IF(A69="IRPJ",("|M300|"&amp;LEFT(C69,FIND("-",C69)-1)&amp;"|"&amp;RIGHT(C69,LEN(C69)-FIND("-",C69))&amp;"|"&amp;LEFT(D69,1)&amp;"|"&amp;LEFT(B69,1)&amp;"|"&amp;Tabela_BaseM[[#This Row],[Valor]]&amp;"|"&amp;Tabela_BaseM[[#This Row],[HISTÓRICO]]&amp;"|"),("|M350|"&amp;LEFT(C69,FIND("-",C69)-1)&amp;"|"&amp;RIGHT(C69,LEN(C69)-FIND("-",C69))&amp;"|"&amp;LEFT(D69,1)&amp;"|"&amp;LEFT(B69,1)&amp;"|"&amp;Tabela_BaseM[[#This Row],[Valor]]&amp;"|"&amp;Tabela_BaseM[[#This Row],[HISTÓRICO]]&amp;"|"))</f>
        <v>|M300|95|(-) Revers o ou uso de provis es ou perdas estimadas n o dedut veis|E|3|13760,08|Reversao de provisoes no periodo|</v>
      </c>
    </row>
    <row r="70" spans="1:17" x14ac:dyDescent="0.25">
      <c r="A70" t="s">
        <v>21</v>
      </c>
      <c r="B70" t="s">
        <v>30</v>
      </c>
      <c r="C70" t="s">
        <v>32</v>
      </c>
      <c r="D70" t="s">
        <v>426</v>
      </c>
      <c r="E70" t="s">
        <v>998</v>
      </c>
      <c r="F70">
        <v>3160405</v>
      </c>
      <c r="G70" t="s">
        <v>1092</v>
      </c>
      <c r="H70">
        <v>1130602</v>
      </c>
      <c r="J70" s="11">
        <v>45351</v>
      </c>
      <c r="K70">
        <v>501641.03</v>
      </c>
      <c r="L70" t="str">
        <f>IF(A70="IRPJ",IF(LEFT(B70,1)="1","|M305|",IF(LEFT(B70,1)="2","|M310|",IF(AND(LEFT(B70,1)="3",Tabela_BaseM[[#This Row],[CONTA PARTE B]]&lt;&gt;""),"|M305|",IF(LEFT(B70,1)="4","|M312|","")))),      IF(LEFT(B70,1)="1","|M355|",IF(LEFT(B70,1)="2","|M360|",IF(AND(LEFT(B70,1)="3",Tabela_BaseM[[#This Row],[CONTA PARTE B]]&lt;&gt;""),"|M355|",IF(LEFT(B70,1)="4","|M362|","")))))</f>
        <v>|M305|</v>
      </c>
      <c r="M70" t="str">
        <f>IF(LEFT(Tabela_BaseM[[#This Row],[TIPO RELACIONAMENTO]],1)="3",(IF(A70="IRPJ",IF(LEFT(B70,1)="1","|M305|",IF(LEFT(B70,1)="2","|M310|",IF(LEFT(B70,1)="3","|M310|",IF(LEFT(B70,1)="4","|M312|","")))),IF(LEFT(B70,1)="1","|M355|",IF(LEFT(B70,1)="2","|M360|",IF(LEFT(B70,1)="3","|M360|",IF(LEFT(B70,1)="4","|M362|","")))))),"")</f>
        <v>|M310|</v>
      </c>
      <c r="N7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|M305|1130602|501641,03|C|</v>
      </c>
      <c r="O7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|M310|3160405||501641,03|C|</v>
      </c>
      <c r="P7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0" t="str">
        <f>IF(A70="IRPJ",("|M300|"&amp;LEFT(C70,FIND("-",C70)-1)&amp;"|"&amp;RIGHT(C70,LEN(C70)-FIND("-",C70))&amp;"|"&amp;LEFT(D70,1)&amp;"|"&amp;LEFT(B70,1)&amp;"|"&amp;Tabela_BaseM[[#This Row],[Valor]]&amp;"|"&amp;Tabela_BaseM[[#This Row],[HISTÓRICO]]&amp;"|"),("|M350|"&amp;LEFT(C70,FIND("-",C70)-1)&amp;"|"&amp;RIGHT(C70,LEN(C70)-FIND("-",C70))&amp;"|"&amp;LEFT(D70,1)&amp;"|"&amp;LEFT(B70,1)&amp;"|"&amp;Tabela_BaseM[[#This Row],[Valor]]&amp;"|"&amp;Tabela_BaseM[[#This Row],[HISTÓRICO]]&amp;"|"))</f>
        <v>|M300|95|(-) Revers o ou uso de provis es ou perdas estimadas n o dedut veis|E|3|501641,03|Reversao de provisoes no periodo|</v>
      </c>
    </row>
    <row r="71" spans="1:17" x14ac:dyDescent="0.25">
      <c r="A71" t="s">
        <v>21</v>
      </c>
      <c r="B71" t="s">
        <v>30</v>
      </c>
      <c r="C71" t="s">
        <v>32</v>
      </c>
      <c r="D71" t="s">
        <v>426</v>
      </c>
      <c r="E71" t="s">
        <v>998</v>
      </c>
      <c r="F71">
        <v>3210206</v>
      </c>
      <c r="G71" t="s">
        <v>1086</v>
      </c>
      <c r="H71">
        <v>2130306</v>
      </c>
      <c r="J71" s="11">
        <v>45351</v>
      </c>
      <c r="K71">
        <v>31640.639999999999</v>
      </c>
      <c r="L71" t="str">
        <f>IF(A71="IRPJ",IF(LEFT(B71,1)="1","|M305|",IF(LEFT(B71,1)="2","|M310|",IF(AND(LEFT(B71,1)="3",Tabela_BaseM[[#This Row],[CONTA PARTE B]]&lt;&gt;""),"|M305|",IF(LEFT(B71,1)="4","|M312|","")))),      IF(LEFT(B71,1)="1","|M355|",IF(LEFT(B71,1)="2","|M360|",IF(AND(LEFT(B71,1)="3",Tabela_BaseM[[#This Row],[CONTA PARTE B]]&lt;&gt;""),"|M355|",IF(LEFT(B71,1)="4","|M362|","")))))</f>
        <v>|M305|</v>
      </c>
      <c r="M71" t="str">
        <f>IF(LEFT(Tabela_BaseM[[#This Row],[TIPO RELACIONAMENTO]],1)="3",(IF(A71="IRPJ",IF(LEFT(B71,1)="1","|M305|",IF(LEFT(B71,1)="2","|M310|",IF(LEFT(B71,1)="3","|M310|",IF(LEFT(B71,1)="4","|M312|","")))),IF(LEFT(B71,1)="1","|M355|",IF(LEFT(B71,1)="2","|M360|",IF(LEFT(B71,1)="3","|M360|",IF(LEFT(B71,1)="4","|M362|","")))))),"")</f>
        <v>|M310|</v>
      </c>
      <c r="N7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|M305|2130306|31640,64|C|</v>
      </c>
      <c r="O7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|M310|3210206||31640,64|C|</v>
      </c>
      <c r="P7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1" t="str">
        <f>IF(A71="IRPJ",("|M300|"&amp;LEFT(C71,FIND("-",C71)-1)&amp;"|"&amp;RIGHT(C71,LEN(C71)-FIND("-",C71))&amp;"|"&amp;LEFT(D71,1)&amp;"|"&amp;LEFT(B71,1)&amp;"|"&amp;Tabela_BaseM[[#This Row],[Valor]]&amp;"|"&amp;Tabela_BaseM[[#This Row],[HISTÓRICO]]&amp;"|"),("|M350|"&amp;LEFT(C71,FIND("-",C71)-1)&amp;"|"&amp;RIGHT(C71,LEN(C71)-FIND("-",C71))&amp;"|"&amp;LEFT(D71,1)&amp;"|"&amp;LEFT(B71,1)&amp;"|"&amp;Tabela_BaseM[[#This Row],[Valor]]&amp;"|"&amp;Tabela_BaseM[[#This Row],[HISTÓRICO]]&amp;"|"))</f>
        <v>|M300|95|(-) Revers o ou uso de provis es ou perdas estimadas n o dedut veis|E|3|31640,64|Reversao de provisoes no periodo|</v>
      </c>
    </row>
    <row r="72" spans="1:17" x14ac:dyDescent="0.25">
      <c r="A72" t="s">
        <v>21</v>
      </c>
      <c r="B72" t="s">
        <v>30</v>
      </c>
      <c r="C72" t="s">
        <v>32</v>
      </c>
      <c r="D72" t="s">
        <v>426</v>
      </c>
      <c r="E72" t="s">
        <v>998</v>
      </c>
      <c r="F72">
        <v>3160401</v>
      </c>
      <c r="G72" t="s">
        <v>1087</v>
      </c>
      <c r="H72">
        <v>1130601</v>
      </c>
      <c r="J72" s="11">
        <v>45351</v>
      </c>
      <c r="K72">
        <v>21244.43</v>
      </c>
      <c r="L72" t="str">
        <f>IF(A72="IRPJ",IF(LEFT(B72,1)="1","|M305|",IF(LEFT(B72,1)="2","|M310|",IF(AND(LEFT(B72,1)="3",Tabela_BaseM[[#This Row],[CONTA PARTE B]]&lt;&gt;""),"|M305|",IF(LEFT(B72,1)="4","|M312|","")))),      IF(LEFT(B72,1)="1","|M355|",IF(LEFT(B72,1)="2","|M360|",IF(AND(LEFT(B72,1)="3",Tabela_BaseM[[#This Row],[CONTA PARTE B]]&lt;&gt;""),"|M355|",IF(LEFT(B72,1)="4","|M362|","")))))</f>
        <v>|M305|</v>
      </c>
      <c r="M72" t="str">
        <f>IF(LEFT(Tabela_BaseM[[#This Row],[TIPO RELACIONAMENTO]],1)="3",(IF(A72="IRPJ",IF(LEFT(B72,1)="1","|M305|",IF(LEFT(B72,1)="2","|M310|",IF(LEFT(B72,1)="3","|M310|",IF(LEFT(B72,1)="4","|M312|","")))),IF(LEFT(B72,1)="1","|M355|",IF(LEFT(B72,1)="2","|M360|",IF(LEFT(B72,1)="3","|M360|",IF(LEFT(B72,1)="4","|M362|","")))))),"")</f>
        <v>|M310|</v>
      </c>
      <c r="N7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|M305|1130601|21244,43|C|</v>
      </c>
      <c r="O7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|M310|3160401||21244,43|C|</v>
      </c>
      <c r="P7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2" t="str">
        <f>IF(A72="IRPJ",("|M300|"&amp;LEFT(C72,FIND("-",C72)-1)&amp;"|"&amp;RIGHT(C72,LEN(C72)-FIND("-",C72))&amp;"|"&amp;LEFT(D72,1)&amp;"|"&amp;LEFT(B72,1)&amp;"|"&amp;Tabela_BaseM[[#This Row],[Valor]]&amp;"|"&amp;Tabela_BaseM[[#This Row],[HISTÓRICO]]&amp;"|"),("|M350|"&amp;LEFT(C72,FIND("-",C72)-1)&amp;"|"&amp;RIGHT(C72,LEN(C72)-FIND("-",C72))&amp;"|"&amp;LEFT(D72,1)&amp;"|"&amp;LEFT(B72,1)&amp;"|"&amp;Tabela_BaseM[[#This Row],[Valor]]&amp;"|"&amp;Tabela_BaseM[[#This Row],[HISTÓRICO]]&amp;"|"))</f>
        <v>|M300|95|(-) Revers o ou uso de provis es ou perdas estimadas n o dedut veis|E|3|21244,43|Reversao de provisoes no periodo|</v>
      </c>
    </row>
    <row r="73" spans="1:17" x14ac:dyDescent="0.25">
      <c r="A73" t="s">
        <v>21</v>
      </c>
      <c r="B73" t="s">
        <v>30</v>
      </c>
      <c r="C73" t="s">
        <v>32</v>
      </c>
      <c r="D73" t="s">
        <v>426</v>
      </c>
      <c r="E73" t="s">
        <v>998</v>
      </c>
      <c r="F73">
        <v>3211603</v>
      </c>
      <c r="G73" t="s">
        <v>1063</v>
      </c>
      <c r="H73">
        <v>2130307</v>
      </c>
      <c r="J73" s="11">
        <v>45351</v>
      </c>
      <c r="K73">
        <v>1544852.63</v>
      </c>
      <c r="L73" t="str">
        <f>IF(A73="IRPJ",IF(LEFT(B73,1)="1","|M305|",IF(LEFT(B73,1)="2","|M310|",IF(AND(LEFT(B73,1)="3",Tabela_BaseM[[#This Row],[CONTA PARTE B]]&lt;&gt;""),"|M305|",IF(LEFT(B73,1)="4","|M312|","")))),      IF(LEFT(B73,1)="1","|M355|",IF(LEFT(B73,1)="2","|M360|",IF(AND(LEFT(B73,1)="3",Tabela_BaseM[[#This Row],[CONTA PARTE B]]&lt;&gt;""),"|M355|",IF(LEFT(B73,1)="4","|M362|","")))))</f>
        <v>|M305|</v>
      </c>
      <c r="M73" t="str">
        <f>IF(LEFT(Tabela_BaseM[[#This Row],[TIPO RELACIONAMENTO]],1)="3",(IF(A73="IRPJ",IF(LEFT(B73,1)="1","|M305|",IF(LEFT(B73,1)="2","|M310|",IF(LEFT(B73,1)="3","|M310|",IF(LEFT(B73,1)="4","|M312|","")))),IF(LEFT(B73,1)="1","|M355|",IF(LEFT(B73,1)="2","|M360|",IF(LEFT(B73,1)="3","|M360|",IF(LEFT(B73,1)="4","|M362|","")))))),"")</f>
        <v>|M310|</v>
      </c>
      <c r="N7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|M305|2130307|1544852,63|C|</v>
      </c>
      <c r="O7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|M310|3211603||1544852,63|C|</v>
      </c>
      <c r="P7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3" t="str">
        <f>IF(A73="IRPJ",("|M300|"&amp;LEFT(C73,FIND("-",C73)-1)&amp;"|"&amp;RIGHT(C73,LEN(C73)-FIND("-",C73))&amp;"|"&amp;LEFT(D73,1)&amp;"|"&amp;LEFT(B73,1)&amp;"|"&amp;Tabela_BaseM[[#This Row],[Valor]]&amp;"|"&amp;Tabela_BaseM[[#This Row],[HISTÓRICO]]&amp;"|"),("|M350|"&amp;LEFT(C73,FIND("-",C73)-1)&amp;"|"&amp;RIGHT(C73,LEN(C73)-FIND("-",C73))&amp;"|"&amp;LEFT(D73,1)&amp;"|"&amp;LEFT(B73,1)&amp;"|"&amp;Tabela_BaseM[[#This Row],[Valor]]&amp;"|"&amp;Tabela_BaseM[[#This Row],[HISTÓRICO]]&amp;"|"))</f>
        <v>|M300|95|(-) Revers o ou uso de provis es ou perdas estimadas n o dedut veis|E|3|1544852,63|Reversao de provisoes no periodo|</v>
      </c>
    </row>
    <row r="74" spans="1:17" x14ac:dyDescent="0.25">
      <c r="A74" t="s">
        <v>21</v>
      </c>
      <c r="B74" t="s">
        <v>30</v>
      </c>
      <c r="C74" t="s">
        <v>32</v>
      </c>
      <c r="D74" t="s">
        <v>426</v>
      </c>
      <c r="E74" t="s">
        <v>998</v>
      </c>
      <c r="F74">
        <v>3121602</v>
      </c>
      <c r="G74" t="s">
        <v>1027</v>
      </c>
      <c r="H74">
        <v>2130304</v>
      </c>
      <c r="J74" s="11">
        <v>45351</v>
      </c>
      <c r="K74">
        <v>54580.55</v>
      </c>
      <c r="L74" t="str">
        <f>IF(A74="IRPJ",IF(LEFT(B74,1)="1","|M305|",IF(LEFT(B74,1)="2","|M310|",IF(AND(LEFT(B74,1)="3",Tabela_BaseM[[#This Row],[CONTA PARTE B]]&lt;&gt;""),"|M305|",IF(LEFT(B74,1)="4","|M312|","")))),      IF(LEFT(B74,1)="1","|M355|",IF(LEFT(B74,1)="2","|M360|",IF(AND(LEFT(B74,1)="3",Tabela_BaseM[[#This Row],[CONTA PARTE B]]&lt;&gt;""),"|M355|",IF(LEFT(B74,1)="4","|M362|","")))))</f>
        <v>|M305|</v>
      </c>
      <c r="M74" t="str">
        <f>IF(LEFT(Tabela_BaseM[[#This Row],[TIPO RELACIONAMENTO]],1)="3",(IF(A74="IRPJ",IF(LEFT(B74,1)="1","|M305|",IF(LEFT(B74,1)="2","|M310|",IF(LEFT(B74,1)="3","|M310|",IF(LEFT(B74,1)="4","|M312|","")))),IF(LEFT(B74,1)="1","|M355|",IF(LEFT(B74,1)="2","|M360|",IF(LEFT(B74,1)="3","|M360|",IF(LEFT(B74,1)="4","|M362|","")))))),"")</f>
        <v>|M310|</v>
      </c>
      <c r="N7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|M305|2130304|54580,55|C|</v>
      </c>
      <c r="O7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|M310|3121602||54580,55|C|</v>
      </c>
      <c r="P7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4" t="str">
        <f>IF(A74="IRPJ",("|M300|"&amp;LEFT(C74,FIND("-",C74)-1)&amp;"|"&amp;RIGHT(C74,LEN(C74)-FIND("-",C74))&amp;"|"&amp;LEFT(D74,1)&amp;"|"&amp;LEFT(B74,1)&amp;"|"&amp;Tabela_BaseM[[#This Row],[Valor]]&amp;"|"&amp;Tabela_BaseM[[#This Row],[HISTÓRICO]]&amp;"|"),("|M350|"&amp;LEFT(C74,FIND("-",C74)-1)&amp;"|"&amp;RIGHT(C74,LEN(C74)-FIND("-",C74))&amp;"|"&amp;LEFT(D74,1)&amp;"|"&amp;LEFT(B74,1)&amp;"|"&amp;Tabela_BaseM[[#This Row],[Valor]]&amp;"|"&amp;Tabela_BaseM[[#This Row],[HISTÓRICO]]&amp;"|"))</f>
        <v>|M300|95|(-) Revers o ou uso de provis es ou perdas estimadas n o dedut veis|E|3|54580,55|Reversao de provisoes no periodo|</v>
      </c>
    </row>
    <row r="75" spans="1:17" x14ac:dyDescent="0.25">
      <c r="A75" t="s">
        <v>21</v>
      </c>
      <c r="B75" t="s">
        <v>30</v>
      </c>
      <c r="C75" t="s">
        <v>32</v>
      </c>
      <c r="D75" t="s">
        <v>426</v>
      </c>
      <c r="E75" t="s">
        <v>998</v>
      </c>
      <c r="F75">
        <v>3210201</v>
      </c>
      <c r="G75" t="s">
        <v>1058</v>
      </c>
      <c r="H75">
        <v>2130301</v>
      </c>
      <c r="J75" s="11">
        <v>45351</v>
      </c>
      <c r="K75">
        <v>2020199.99</v>
      </c>
      <c r="L75" t="str">
        <f>IF(A75="IRPJ",IF(LEFT(B75,1)="1","|M305|",IF(LEFT(B75,1)="2","|M310|",IF(AND(LEFT(B75,1)="3",Tabela_BaseM[[#This Row],[CONTA PARTE B]]&lt;&gt;""),"|M305|",IF(LEFT(B75,1)="4","|M312|","")))),      IF(LEFT(B75,1)="1","|M355|",IF(LEFT(B75,1)="2","|M360|",IF(AND(LEFT(B75,1)="3",Tabela_BaseM[[#This Row],[CONTA PARTE B]]&lt;&gt;""),"|M355|",IF(LEFT(B75,1)="4","|M362|","")))))</f>
        <v>|M305|</v>
      </c>
      <c r="M75" t="str">
        <f>IF(LEFT(Tabela_BaseM[[#This Row],[TIPO RELACIONAMENTO]],1)="3",(IF(A75="IRPJ",IF(LEFT(B75,1)="1","|M305|",IF(LEFT(B75,1)="2","|M310|",IF(LEFT(B75,1)="3","|M310|",IF(LEFT(B75,1)="4","|M312|","")))),IF(LEFT(B75,1)="1","|M355|",IF(LEFT(B75,1)="2","|M360|",IF(LEFT(B75,1)="3","|M360|",IF(LEFT(B75,1)="4","|M362|","")))))),"")</f>
        <v>|M310|</v>
      </c>
      <c r="N7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|M305|2130301|2020199,99|C|</v>
      </c>
      <c r="O7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|M310|3210201||2020199,99|C|</v>
      </c>
      <c r="P7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5" t="str">
        <f>IF(A75="IRPJ",("|M300|"&amp;LEFT(C75,FIND("-",C75)-1)&amp;"|"&amp;RIGHT(C75,LEN(C75)-FIND("-",C75))&amp;"|"&amp;LEFT(D75,1)&amp;"|"&amp;LEFT(B75,1)&amp;"|"&amp;Tabela_BaseM[[#This Row],[Valor]]&amp;"|"&amp;Tabela_BaseM[[#This Row],[HISTÓRICO]]&amp;"|"),("|M350|"&amp;LEFT(C75,FIND("-",C75)-1)&amp;"|"&amp;RIGHT(C75,LEN(C75)-FIND("-",C75))&amp;"|"&amp;LEFT(D75,1)&amp;"|"&amp;LEFT(B75,1)&amp;"|"&amp;Tabela_BaseM[[#This Row],[Valor]]&amp;"|"&amp;Tabela_BaseM[[#This Row],[HISTÓRICO]]&amp;"|"))</f>
        <v>|M300|95|(-) Revers o ou uso de provis es ou perdas estimadas n o dedut veis|E|3|2020199,99|Reversao de provisoes no periodo|</v>
      </c>
    </row>
    <row r="76" spans="1:17" x14ac:dyDescent="0.25">
      <c r="A76" t="s">
        <v>21</v>
      </c>
      <c r="B76" t="s">
        <v>30</v>
      </c>
      <c r="C76" t="s">
        <v>32</v>
      </c>
      <c r="D76" t="s">
        <v>426</v>
      </c>
      <c r="E76" t="s">
        <v>998</v>
      </c>
      <c r="F76">
        <v>3210204</v>
      </c>
      <c r="G76" t="s">
        <v>1060</v>
      </c>
      <c r="H76">
        <v>2130303</v>
      </c>
      <c r="J76" s="11">
        <v>45351</v>
      </c>
      <c r="K76">
        <v>39551.980000000003</v>
      </c>
      <c r="L76" t="str">
        <f>IF(A76="IRPJ",IF(LEFT(B76,1)="1","|M305|",IF(LEFT(B76,1)="2","|M310|",IF(AND(LEFT(B76,1)="3",Tabela_BaseM[[#This Row],[CONTA PARTE B]]&lt;&gt;""),"|M305|",IF(LEFT(B76,1)="4","|M312|","")))),      IF(LEFT(B76,1)="1","|M355|",IF(LEFT(B76,1)="2","|M360|",IF(AND(LEFT(B76,1)="3",Tabela_BaseM[[#This Row],[CONTA PARTE B]]&lt;&gt;""),"|M355|",IF(LEFT(B76,1)="4","|M362|","")))))</f>
        <v>|M305|</v>
      </c>
      <c r="M76" t="str">
        <f>IF(LEFT(Tabela_BaseM[[#This Row],[TIPO RELACIONAMENTO]],1)="3",(IF(A76="IRPJ",IF(LEFT(B76,1)="1","|M305|",IF(LEFT(B76,1)="2","|M310|",IF(LEFT(B76,1)="3","|M310|",IF(LEFT(B76,1)="4","|M312|","")))),IF(LEFT(B76,1)="1","|M355|",IF(LEFT(B76,1)="2","|M360|",IF(LEFT(B76,1)="3","|M360|",IF(LEFT(B76,1)="4","|M362|","")))))),"")</f>
        <v>|M310|</v>
      </c>
      <c r="N7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|M305|2130303|39551,98|C|</v>
      </c>
      <c r="O7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|M310|3210204||39551,98|C|</v>
      </c>
      <c r="P7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6" t="str">
        <f>IF(A76="IRPJ",("|M300|"&amp;LEFT(C76,FIND("-",C76)-1)&amp;"|"&amp;RIGHT(C76,LEN(C76)-FIND("-",C76))&amp;"|"&amp;LEFT(D76,1)&amp;"|"&amp;LEFT(B76,1)&amp;"|"&amp;Tabela_BaseM[[#This Row],[Valor]]&amp;"|"&amp;Tabela_BaseM[[#This Row],[HISTÓRICO]]&amp;"|"),("|M350|"&amp;LEFT(C76,FIND("-",C76)-1)&amp;"|"&amp;RIGHT(C76,LEN(C76)-FIND("-",C76))&amp;"|"&amp;LEFT(D76,1)&amp;"|"&amp;LEFT(B76,1)&amp;"|"&amp;Tabela_BaseM[[#This Row],[Valor]]&amp;"|"&amp;Tabela_BaseM[[#This Row],[HISTÓRICO]]&amp;"|"))</f>
        <v>|M300|95|(-) Revers o ou uso de provis es ou perdas estimadas n o dedut veis|E|3|39551,98|Reversao de provisoes no periodo|</v>
      </c>
    </row>
    <row r="77" spans="1:17" x14ac:dyDescent="0.25">
      <c r="A77" t="s">
        <v>21</v>
      </c>
      <c r="B77" t="s">
        <v>30</v>
      </c>
      <c r="C77" t="s">
        <v>32</v>
      </c>
      <c r="D77" t="s">
        <v>426</v>
      </c>
      <c r="E77" t="s">
        <v>998</v>
      </c>
      <c r="F77">
        <v>3160404</v>
      </c>
      <c r="G77" t="s">
        <v>1091</v>
      </c>
      <c r="H77">
        <v>1130603</v>
      </c>
      <c r="J77" s="11">
        <v>45351</v>
      </c>
      <c r="K77">
        <v>148180.84</v>
      </c>
      <c r="L77" t="str">
        <f>IF(A77="IRPJ",IF(LEFT(B77,1)="1","|M305|",IF(LEFT(B77,1)="2","|M310|",IF(AND(LEFT(B77,1)="3",Tabela_BaseM[[#This Row],[CONTA PARTE B]]&lt;&gt;""),"|M305|",IF(LEFT(B77,1)="4","|M312|","")))),      IF(LEFT(B77,1)="1","|M355|",IF(LEFT(B77,1)="2","|M360|",IF(AND(LEFT(B77,1)="3",Tabela_BaseM[[#This Row],[CONTA PARTE B]]&lt;&gt;""),"|M355|",IF(LEFT(B77,1)="4","|M362|","")))))</f>
        <v>|M305|</v>
      </c>
      <c r="M77" t="str">
        <f>IF(LEFT(Tabela_BaseM[[#This Row],[TIPO RELACIONAMENTO]],1)="3",(IF(A77="IRPJ",IF(LEFT(B77,1)="1","|M305|",IF(LEFT(B77,1)="2","|M310|",IF(LEFT(B77,1)="3","|M310|",IF(LEFT(B77,1)="4","|M312|","")))),IF(LEFT(B77,1)="1","|M355|",IF(LEFT(B77,1)="2","|M360|",IF(LEFT(B77,1)="3","|M360|",IF(LEFT(B77,1)="4","|M362|","")))))),"")</f>
        <v>|M310|</v>
      </c>
      <c r="N7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|M305|1130603|148180,84|C|</v>
      </c>
      <c r="O7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|M310|3160404||148180,84|C|</v>
      </c>
      <c r="P7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7" t="str">
        <f>IF(A77="IRPJ",("|M300|"&amp;LEFT(C77,FIND("-",C77)-1)&amp;"|"&amp;RIGHT(C77,LEN(C77)-FIND("-",C77))&amp;"|"&amp;LEFT(D77,1)&amp;"|"&amp;LEFT(B77,1)&amp;"|"&amp;Tabela_BaseM[[#This Row],[Valor]]&amp;"|"&amp;Tabela_BaseM[[#This Row],[HISTÓRICO]]&amp;"|"),("|M350|"&amp;LEFT(C77,FIND("-",C77)-1)&amp;"|"&amp;RIGHT(C77,LEN(C77)-FIND("-",C77))&amp;"|"&amp;LEFT(D77,1)&amp;"|"&amp;LEFT(B77,1)&amp;"|"&amp;Tabela_BaseM[[#This Row],[Valor]]&amp;"|"&amp;Tabela_BaseM[[#This Row],[HISTÓRICO]]&amp;"|"))</f>
        <v>|M300|95|(-) Revers o ou uso de provis es ou perdas estimadas n o dedut veis|E|3|148180,84|Reversao de provisoes no periodo|</v>
      </c>
    </row>
    <row r="78" spans="1:17" x14ac:dyDescent="0.25">
      <c r="A78" t="s">
        <v>21</v>
      </c>
      <c r="B78" t="s">
        <v>22</v>
      </c>
      <c r="C78" t="s">
        <v>253</v>
      </c>
      <c r="D78" t="s">
        <v>426</v>
      </c>
      <c r="E78" t="s">
        <v>1081</v>
      </c>
      <c r="F78">
        <v>3290104</v>
      </c>
      <c r="G78" t="s">
        <v>1082</v>
      </c>
      <c r="J78" s="11">
        <v>45351</v>
      </c>
      <c r="K78">
        <v>10026842.92</v>
      </c>
      <c r="L78" t="str">
        <f>IF(A78="IRPJ",IF(LEFT(B78,1)="1","|M305|",IF(LEFT(B78,1)="2","|M310|",IF(AND(LEFT(B78,1)="3",Tabela_BaseM[[#This Row],[CONTA PARTE B]]&lt;&gt;""),"|M305|",IF(LEFT(B78,1)="4","|M312|","")))),      IF(LEFT(B78,1)="1","|M355|",IF(LEFT(B78,1)="2","|M360|",IF(AND(LEFT(B78,1)="3",Tabela_BaseM[[#This Row],[CONTA PARTE B]]&lt;&gt;""),"|M355|",IF(LEFT(B78,1)="4","|M362|","")))))</f>
        <v>|M310|</v>
      </c>
      <c r="M78" t="str">
        <f>IF(LEFT(Tabela_BaseM[[#This Row],[TIPO RELACIONAMENTO]],1)="3",(IF(A78="IRPJ",IF(LEFT(B78,1)="1","|M305|",IF(LEFT(B78,1)="2","|M310|",IF(LEFT(B78,1)="3","|M310|",IF(LEFT(B78,1)="4","|M312|","")))),IF(LEFT(B78,1)="1","|M355|",IF(LEFT(B78,1)="2","|M360|",IF(LEFT(B78,1)="3","|M360|",IF(LEFT(B78,1)="4","|M362|","")))))),"")</f>
        <v/>
      </c>
      <c r="N7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|M310|3290104||10026842,92|C|</v>
      </c>
      <c r="O7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7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|M030|01022024|29022024|A02|</v>
      </c>
      <c r="Q78" t="str">
        <f>IF(A78="IRPJ",("|M300|"&amp;LEFT(C78,FIND("-",C78)-1)&amp;"|"&amp;RIGHT(C78,LEN(C78)-FIND("-",C78))&amp;"|"&amp;LEFT(D78,1)&amp;"|"&amp;LEFT(B78,1)&amp;"|"&amp;Tabela_BaseM[[#This Row],[Valor]]&amp;"|"&amp;Tabela_BaseM[[#This Row],[HISTÓRICO]]&amp;"|"),("|M350|"&amp;LEFT(C78,FIND("-",C78)-1)&amp;"|"&amp;RIGHT(C78,LEN(C78)-FIND("-",C78))&amp;"|"&amp;LEFT(D78,1)&amp;"|"&amp;LEFT(B78,1)&amp;"|"&amp;Tabela_BaseM[[#This Row],[Valor]]&amp;"|"&amp;Tabela_BaseM[[#This Row],[HISTÓRICO]]&amp;"|"))</f>
        <v>|M300|96|(-) Lucros e dividendos derivados de investimentos avaliados pelo custo de aquisi  o|E|2|10026842,92|Dividendos recebidos no periodo|</v>
      </c>
    </row>
    <row r="79" spans="1:17" x14ac:dyDescent="0.25">
      <c r="A79" t="s">
        <v>21</v>
      </c>
      <c r="B79" t="s">
        <v>30</v>
      </c>
      <c r="C79" t="s">
        <v>291</v>
      </c>
      <c r="D79" t="s">
        <v>426</v>
      </c>
      <c r="E79" t="s">
        <v>1003</v>
      </c>
      <c r="F79">
        <v>3260803</v>
      </c>
      <c r="G79" t="s">
        <v>1052</v>
      </c>
      <c r="H79" t="s">
        <v>1044</v>
      </c>
      <c r="J79" s="11">
        <v>45382</v>
      </c>
      <c r="K79">
        <v>25923.599999999999</v>
      </c>
      <c r="L79" t="str">
        <f>IF(A79="IRPJ",IF(LEFT(B79,1)="1","|M305|",IF(LEFT(B79,1)="2","|M310|",IF(AND(LEFT(B79,1)="3",Tabela_BaseM[[#This Row],[CONTA PARTE B]]&lt;&gt;""),"|M305|",IF(LEFT(B79,1)="4","|M312|","")))),      IF(LEFT(B79,1)="1","|M355|",IF(LEFT(B79,1)="2","|M360|",IF(AND(LEFT(B79,1)="3",Tabela_BaseM[[#This Row],[CONTA PARTE B]]&lt;&gt;""),"|M355|",IF(LEFT(B79,1)="4","|M362|","")))))</f>
        <v>|M305|</v>
      </c>
      <c r="M79" t="str">
        <f>IF(LEFT(Tabela_BaseM[[#This Row],[TIPO RELACIONAMENTO]],1)="3",(IF(A79="IRPJ",IF(LEFT(B79,1)="1","|M305|",IF(LEFT(B79,1)="2","|M310|",IF(LEFT(B79,1)="3","|M310|",IF(LEFT(B79,1)="4","|M312|","")))),IF(LEFT(B79,1)="1","|M355|",IF(LEFT(B79,1)="2","|M360|",IF(LEFT(B79,1)="3","|M360|",IF(LEFT(B79,1)="4","|M362|","")))))),"")</f>
        <v>|M310|</v>
      </c>
      <c r="N7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CAMBIAL|25923,6|C|</v>
      </c>
      <c r="O7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|M310|3260803||25923,6|C|</v>
      </c>
      <c r="P7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79" t="str">
        <f>IF(A79="IRPJ",("|M300|"&amp;LEFT(C79,FIND("-",C79)-1)&amp;"|"&amp;RIGHT(C79,LEN(C79)-FIND("-",C79))&amp;"|"&amp;LEFT(D79,1)&amp;"|"&amp;LEFT(B79,1)&amp;"|"&amp;Tabela_BaseM[[#This Row],[Valor]]&amp;"|"&amp;Tabela_BaseM[[#This Row],[HISTÓRICO]]&amp;"|"),("|M350|"&amp;LEFT(C79,FIND("-",C79)-1)&amp;"|"&amp;RIGHT(C79,LEN(C79)-FIND("-",C79))&amp;"|"&amp;LEFT(D79,1)&amp;"|"&amp;LEFT(B79,1)&amp;"|"&amp;Tabela_BaseM[[#This Row],[Valor]]&amp;"|"&amp;Tabela_BaseM[[#This Row],[HISTÓRICO]]&amp;"|"))</f>
        <v>|M300|101|(-) Varia  o cambial ativa - regra geral|E|3|25923,6|Variacao cambial ativa nao realizada no periodo|</v>
      </c>
    </row>
    <row r="80" spans="1:17" x14ac:dyDescent="0.25">
      <c r="A80" t="s">
        <v>21</v>
      </c>
      <c r="B80" t="s">
        <v>30</v>
      </c>
      <c r="C80" t="s">
        <v>291</v>
      </c>
      <c r="D80" t="s">
        <v>426</v>
      </c>
      <c r="E80" t="s">
        <v>1003</v>
      </c>
      <c r="F80">
        <v>3260302</v>
      </c>
      <c r="G80" t="s">
        <v>1004</v>
      </c>
      <c r="H80" t="s">
        <v>1044</v>
      </c>
      <c r="J80" s="11">
        <v>45382</v>
      </c>
      <c r="K80">
        <v>142892.31</v>
      </c>
      <c r="L80" t="str">
        <f>IF(A80="IRPJ",IF(LEFT(B80,1)="1","|M305|",IF(LEFT(B80,1)="2","|M310|",IF(AND(LEFT(B80,1)="3",Tabela_BaseM[[#This Row],[CONTA PARTE B]]&lt;&gt;""),"|M305|",IF(LEFT(B80,1)="4","|M312|","")))),      IF(LEFT(B80,1)="1","|M355|",IF(LEFT(B80,1)="2","|M360|",IF(AND(LEFT(B80,1)="3",Tabela_BaseM[[#This Row],[CONTA PARTE B]]&lt;&gt;""),"|M355|",IF(LEFT(B80,1)="4","|M362|","")))))</f>
        <v>|M305|</v>
      </c>
      <c r="M80" t="str">
        <f>IF(LEFT(Tabela_BaseM[[#This Row],[TIPO RELACIONAMENTO]],1)="3",(IF(A80="IRPJ",IF(LEFT(B80,1)="1","|M305|",IF(LEFT(B80,1)="2","|M310|",IF(LEFT(B80,1)="3","|M310|",IF(LEFT(B80,1)="4","|M312|","")))),IF(LEFT(B80,1)="1","|M355|",IF(LEFT(B80,1)="2","|M360|",IF(LEFT(B80,1)="3","|M360|",IF(LEFT(B80,1)="4","|M362|","")))))),"")</f>
        <v>|M310|</v>
      </c>
      <c r="N8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CAMBIAL|142892,31|C|</v>
      </c>
      <c r="O8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|M310|3260302||142892,31|C|</v>
      </c>
      <c r="P8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0" t="str">
        <f>IF(A80="IRPJ",("|M300|"&amp;LEFT(C80,FIND("-",C80)-1)&amp;"|"&amp;RIGHT(C80,LEN(C80)-FIND("-",C80))&amp;"|"&amp;LEFT(D80,1)&amp;"|"&amp;LEFT(B80,1)&amp;"|"&amp;Tabela_BaseM[[#This Row],[Valor]]&amp;"|"&amp;Tabela_BaseM[[#This Row],[HISTÓRICO]]&amp;"|"),("|M350|"&amp;LEFT(C80,FIND("-",C80)-1)&amp;"|"&amp;RIGHT(C80,LEN(C80)-FIND("-",C80))&amp;"|"&amp;LEFT(D80,1)&amp;"|"&amp;LEFT(B80,1)&amp;"|"&amp;Tabela_BaseM[[#This Row],[Valor]]&amp;"|"&amp;Tabela_BaseM[[#This Row],[HISTÓRICO]]&amp;"|"))</f>
        <v>|M300|101|(-) Varia  o cambial ativa - regra geral|E|3|142892,31|Variacao cambial ativa nao realizada no periodo|</v>
      </c>
    </row>
    <row r="81" spans="1:17" x14ac:dyDescent="0.25">
      <c r="A81" t="s">
        <v>21</v>
      </c>
      <c r="B81" t="s">
        <v>30</v>
      </c>
      <c r="C81" t="s">
        <v>291</v>
      </c>
      <c r="D81" t="s">
        <v>426</v>
      </c>
      <c r="E81" t="s">
        <v>1003</v>
      </c>
      <c r="F81">
        <v>3260301</v>
      </c>
      <c r="G81" t="s">
        <v>1040</v>
      </c>
      <c r="H81" t="s">
        <v>1044</v>
      </c>
      <c r="J81" s="11">
        <v>45382</v>
      </c>
      <c r="K81">
        <v>182016.94</v>
      </c>
      <c r="L81" t="str">
        <f>IF(A81="IRPJ",IF(LEFT(B81,1)="1","|M305|",IF(LEFT(B81,1)="2","|M310|",IF(AND(LEFT(B81,1)="3",Tabela_BaseM[[#This Row],[CONTA PARTE B]]&lt;&gt;""),"|M305|",IF(LEFT(B81,1)="4","|M312|","")))),      IF(LEFT(B81,1)="1","|M355|",IF(LEFT(B81,1)="2","|M360|",IF(AND(LEFT(B81,1)="3",Tabela_BaseM[[#This Row],[CONTA PARTE B]]&lt;&gt;""),"|M355|",IF(LEFT(B81,1)="4","|M362|","")))))</f>
        <v>|M305|</v>
      </c>
      <c r="M81" t="str">
        <f>IF(LEFT(Tabela_BaseM[[#This Row],[TIPO RELACIONAMENTO]],1)="3",(IF(A81="IRPJ",IF(LEFT(B81,1)="1","|M305|",IF(LEFT(B81,1)="2","|M310|",IF(LEFT(B81,1)="3","|M310|",IF(LEFT(B81,1)="4","|M312|","")))),IF(LEFT(B81,1)="1","|M355|",IF(LEFT(B81,1)="2","|M360|",IF(LEFT(B81,1)="3","|M360|",IF(LEFT(B81,1)="4","|M362|","")))))),"")</f>
        <v>|M310|</v>
      </c>
      <c r="N8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CAMBIAL|182016,94|C|</v>
      </c>
      <c r="O8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|M310|3260301||182016,94|C|</v>
      </c>
      <c r="P8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1" t="str">
        <f>IF(A81="IRPJ",("|M300|"&amp;LEFT(C81,FIND("-",C81)-1)&amp;"|"&amp;RIGHT(C81,LEN(C81)-FIND("-",C81))&amp;"|"&amp;LEFT(D81,1)&amp;"|"&amp;LEFT(B81,1)&amp;"|"&amp;Tabela_BaseM[[#This Row],[Valor]]&amp;"|"&amp;Tabela_BaseM[[#This Row],[HISTÓRICO]]&amp;"|"),("|M350|"&amp;LEFT(C81,FIND("-",C81)-1)&amp;"|"&amp;RIGHT(C81,LEN(C81)-FIND("-",C81))&amp;"|"&amp;LEFT(D81,1)&amp;"|"&amp;LEFT(B81,1)&amp;"|"&amp;Tabela_BaseM[[#This Row],[Valor]]&amp;"|"&amp;Tabela_BaseM[[#This Row],[HISTÓRICO]]&amp;"|"))</f>
        <v>|M300|101|(-) Varia  o cambial ativa - regra geral|E|3|182016,94|Variacao cambial ativa nao realizada no periodo|</v>
      </c>
    </row>
    <row r="82" spans="1:17" x14ac:dyDescent="0.25">
      <c r="A82" t="s">
        <v>21</v>
      </c>
      <c r="B82" t="s">
        <v>30</v>
      </c>
      <c r="C82" t="s">
        <v>291</v>
      </c>
      <c r="D82" t="s">
        <v>426</v>
      </c>
      <c r="E82" t="s">
        <v>1003</v>
      </c>
      <c r="F82">
        <v>3260303</v>
      </c>
      <c r="G82" t="s">
        <v>1043</v>
      </c>
      <c r="H82" t="s">
        <v>1044</v>
      </c>
      <c r="J82" s="11">
        <v>45382</v>
      </c>
      <c r="K82">
        <v>7529714.8700000001</v>
      </c>
      <c r="L82" t="str">
        <f>IF(A82="IRPJ",IF(LEFT(B82,1)="1","|M305|",IF(LEFT(B82,1)="2","|M310|",IF(AND(LEFT(B82,1)="3",Tabela_BaseM[[#This Row],[CONTA PARTE B]]&lt;&gt;""),"|M305|",IF(LEFT(B82,1)="4","|M312|","")))),      IF(LEFT(B82,1)="1","|M355|",IF(LEFT(B82,1)="2","|M360|",IF(AND(LEFT(B82,1)="3",Tabela_BaseM[[#This Row],[CONTA PARTE B]]&lt;&gt;""),"|M355|",IF(LEFT(B82,1)="4","|M362|","")))))</f>
        <v>|M305|</v>
      </c>
      <c r="M82" t="str">
        <f>IF(LEFT(Tabela_BaseM[[#This Row],[TIPO RELACIONAMENTO]],1)="3",(IF(A82="IRPJ",IF(LEFT(B82,1)="1","|M305|",IF(LEFT(B82,1)="2","|M310|",IF(LEFT(B82,1)="3","|M310|",IF(LEFT(B82,1)="4","|M312|","")))),IF(LEFT(B82,1)="1","|M355|",IF(LEFT(B82,1)="2","|M360|",IF(LEFT(B82,1)="3","|M360|",IF(LEFT(B82,1)="4","|M362|","")))))),"")</f>
        <v>|M310|</v>
      </c>
      <c r="N8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CAMBIAL|7529714,87|C|</v>
      </c>
      <c r="O8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|M310|3260303||7529714,87|C|</v>
      </c>
      <c r="P8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2" t="str">
        <f>IF(A82="IRPJ",("|M300|"&amp;LEFT(C82,FIND("-",C82)-1)&amp;"|"&amp;RIGHT(C82,LEN(C82)-FIND("-",C82))&amp;"|"&amp;LEFT(D82,1)&amp;"|"&amp;LEFT(B82,1)&amp;"|"&amp;Tabela_BaseM[[#This Row],[Valor]]&amp;"|"&amp;Tabela_BaseM[[#This Row],[HISTÓRICO]]&amp;"|"),("|M350|"&amp;LEFT(C82,FIND("-",C82)-1)&amp;"|"&amp;RIGHT(C82,LEN(C82)-FIND("-",C82))&amp;"|"&amp;LEFT(D82,1)&amp;"|"&amp;LEFT(B82,1)&amp;"|"&amp;Tabela_BaseM[[#This Row],[Valor]]&amp;"|"&amp;Tabela_BaseM[[#This Row],[HISTÓRICO]]&amp;"|"))</f>
        <v>|M300|101|(-) Varia  o cambial ativa - regra geral|E|3|7529714,87|Variacao cambial ativa nao realizada no periodo|</v>
      </c>
    </row>
    <row r="83" spans="1:17" x14ac:dyDescent="0.25">
      <c r="A83" t="s">
        <v>21</v>
      </c>
      <c r="B83" t="s">
        <v>30</v>
      </c>
      <c r="C83" t="s">
        <v>291</v>
      </c>
      <c r="D83" t="s">
        <v>426</v>
      </c>
      <c r="E83" t="s">
        <v>1003</v>
      </c>
      <c r="F83">
        <v>3260802</v>
      </c>
      <c r="G83" t="s">
        <v>1050</v>
      </c>
      <c r="H83" t="s">
        <v>1044</v>
      </c>
      <c r="J83" s="11">
        <v>45382</v>
      </c>
      <c r="K83">
        <v>254849.69</v>
      </c>
      <c r="L83" t="str">
        <f>IF(A83="IRPJ",IF(LEFT(B83,1)="1","|M305|",IF(LEFT(B83,1)="2","|M310|",IF(AND(LEFT(B83,1)="3",Tabela_BaseM[[#This Row],[CONTA PARTE B]]&lt;&gt;""),"|M305|",IF(LEFT(B83,1)="4","|M312|","")))),      IF(LEFT(B83,1)="1","|M355|",IF(LEFT(B83,1)="2","|M360|",IF(AND(LEFT(B83,1)="3",Tabela_BaseM[[#This Row],[CONTA PARTE B]]&lt;&gt;""),"|M355|",IF(LEFT(B83,1)="4","|M362|","")))))</f>
        <v>|M305|</v>
      </c>
      <c r="M83" t="str">
        <f>IF(LEFT(Tabela_BaseM[[#This Row],[TIPO RELACIONAMENTO]],1)="3",(IF(A83="IRPJ",IF(LEFT(B83,1)="1","|M305|",IF(LEFT(B83,1)="2","|M310|",IF(LEFT(B83,1)="3","|M310|",IF(LEFT(B83,1)="4","|M312|","")))),IF(LEFT(B83,1)="1","|M355|",IF(LEFT(B83,1)="2","|M360|",IF(LEFT(B83,1)="3","|M360|",IF(LEFT(B83,1)="4","|M362|","")))))),"")</f>
        <v>|M310|</v>
      </c>
      <c r="N8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CAMBIAL|254849,69|C|</v>
      </c>
      <c r="O8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|M310|3260802||254849,69|C|</v>
      </c>
      <c r="P8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3" t="str">
        <f>IF(A83="IRPJ",("|M300|"&amp;LEFT(C83,FIND("-",C83)-1)&amp;"|"&amp;RIGHT(C83,LEN(C83)-FIND("-",C83))&amp;"|"&amp;LEFT(D83,1)&amp;"|"&amp;LEFT(B83,1)&amp;"|"&amp;Tabela_BaseM[[#This Row],[Valor]]&amp;"|"&amp;Tabela_BaseM[[#This Row],[HISTÓRICO]]&amp;"|"),("|M350|"&amp;LEFT(C83,FIND("-",C83)-1)&amp;"|"&amp;RIGHT(C83,LEN(C83)-FIND("-",C83))&amp;"|"&amp;LEFT(D83,1)&amp;"|"&amp;LEFT(B83,1)&amp;"|"&amp;Tabela_BaseM[[#This Row],[Valor]]&amp;"|"&amp;Tabela_BaseM[[#This Row],[HISTÓRICO]]&amp;"|"))</f>
        <v>|M300|101|(-) Varia  o cambial ativa - regra geral|E|3|254849,69|Variacao cambial ativa nao realizada no periodo|</v>
      </c>
    </row>
    <row r="84" spans="1:17" x14ac:dyDescent="0.25">
      <c r="A84" t="s">
        <v>21</v>
      </c>
      <c r="B84" t="s">
        <v>30</v>
      </c>
      <c r="C84" t="s">
        <v>291</v>
      </c>
      <c r="D84" t="s">
        <v>426</v>
      </c>
      <c r="E84" t="s">
        <v>1003</v>
      </c>
      <c r="F84">
        <v>3260402</v>
      </c>
      <c r="G84" t="s">
        <v>1001</v>
      </c>
      <c r="H84" t="s">
        <v>1044</v>
      </c>
      <c r="J84" s="11">
        <v>45382</v>
      </c>
      <c r="K84">
        <v>780591.94</v>
      </c>
      <c r="L84" t="str">
        <f>IF(A84="IRPJ",IF(LEFT(B84,1)="1","|M305|",IF(LEFT(B84,1)="2","|M310|",IF(AND(LEFT(B84,1)="3",Tabela_BaseM[[#This Row],[CONTA PARTE B]]&lt;&gt;""),"|M305|",IF(LEFT(B84,1)="4","|M312|","")))),      IF(LEFT(B84,1)="1","|M355|",IF(LEFT(B84,1)="2","|M360|",IF(AND(LEFT(B84,1)="3",Tabela_BaseM[[#This Row],[CONTA PARTE B]]&lt;&gt;""),"|M355|",IF(LEFT(B84,1)="4","|M362|","")))))</f>
        <v>|M305|</v>
      </c>
      <c r="M84" t="str">
        <f>IF(LEFT(Tabela_BaseM[[#This Row],[TIPO RELACIONAMENTO]],1)="3",(IF(A84="IRPJ",IF(LEFT(B84,1)="1","|M305|",IF(LEFT(B84,1)="2","|M310|",IF(LEFT(B84,1)="3","|M310|",IF(LEFT(B84,1)="4","|M312|","")))),IF(LEFT(B84,1)="1","|M355|",IF(LEFT(B84,1)="2","|M360|",IF(LEFT(B84,1)="3","|M360|",IF(LEFT(B84,1)="4","|M362|","")))))),"")</f>
        <v>|M310|</v>
      </c>
      <c r="N8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CAMBIAL|780591,94|C|</v>
      </c>
      <c r="O8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|M310|3260402||780591,94|C|</v>
      </c>
      <c r="P8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4" t="str">
        <f>IF(A84="IRPJ",("|M300|"&amp;LEFT(C84,FIND("-",C84)-1)&amp;"|"&amp;RIGHT(C84,LEN(C84)-FIND("-",C84))&amp;"|"&amp;LEFT(D84,1)&amp;"|"&amp;LEFT(B84,1)&amp;"|"&amp;Tabela_BaseM[[#This Row],[Valor]]&amp;"|"&amp;Tabela_BaseM[[#This Row],[HISTÓRICO]]&amp;"|"),("|M350|"&amp;LEFT(C84,FIND("-",C84)-1)&amp;"|"&amp;RIGHT(C84,LEN(C84)-FIND("-",C84))&amp;"|"&amp;LEFT(D84,1)&amp;"|"&amp;LEFT(B84,1)&amp;"|"&amp;Tabela_BaseM[[#This Row],[Valor]]&amp;"|"&amp;Tabela_BaseM[[#This Row],[HISTÓRICO]]&amp;"|"))</f>
        <v>|M300|101|(-) Varia  o cambial ativa - regra geral|E|3|780591,94|Variacao cambial ativa nao realizada no periodo|</v>
      </c>
    </row>
    <row r="85" spans="1:17" x14ac:dyDescent="0.25">
      <c r="A85" t="s">
        <v>21</v>
      </c>
      <c r="B85" t="s">
        <v>30</v>
      </c>
      <c r="C85" t="s">
        <v>292</v>
      </c>
      <c r="D85" t="s">
        <v>426</v>
      </c>
      <c r="E85" t="s">
        <v>1005</v>
      </c>
      <c r="F85">
        <v>3260401</v>
      </c>
      <c r="G85" t="s">
        <v>1042</v>
      </c>
      <c r="H85" t="s">
        <v>1044</v>
      </c>
      <c r="J85" s="11">
        <v>45382</v>
      </c>
      <c r="K85">
        <v>865052.72</v>
      </c>
      <c r="L85" t="str">
        <f>IF(A85="IRPJ",IF(LEFT(B85,1)="1","|M305|",IF(LEFT(B85,1)="2","|M310|",IF(AND(LEFT(B85,1)="3",Tabela_BaseM[[#This Row],[CONTA PARTE B]]&lt;&gt;""),"|M305|",IF(LEFT(B85,1)="4","|M312|","")))),      IF(LEFT(B85,1)="1","|M355|",IF(LEFT(B85,1)="2","|M360|",IF(AND(LEFT(B85,1)="3",Tabela_BaseM[[#This Row],[CONTA PARTE B]]&lt;&gt;""),"|M355|",IF(LEFT(B85,1)="4","|M362|","")))))</f>
        <v>|M305|</v>
      </c>
      <c r="M85" t="str">
        <f>IF(LEFT(Tabela_BaseM[[#This Row],[TIPO RELACIONAMENTO]],1)="3",(IF(A85="IRPJ",IF(LEFT(B85,1)="1","|M305|",IF(LEFT(B85,1)="2","|M310|",IF(LEFT(B85,1)="3","|M310|",IF(LEFT(B85,1)="4","|M312|","")))),IF(LEFT(B85,1)="1","|M355|",IF(LEFT(B85,1)="2","|M360|",IF(LEFT(B85,1)="3","|M360|",IF(LEFT(B85,1)="4","|M362|","")))))),"")</f>
        <v>|M310|</v>
      </c>
      <c r="N8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CAMBIAL|865052,72|C|</v>
      </c>
      <c r="O8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|M310|3260401||865052,72|C|</v>
      </c>
      <c r="P8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5" t="str">
        <f>IF(A85="IRPJ",("|M300|"&amp;LEFT(C85,FIND("-",C85)-1)&amp;"|"&amp;RIGHT(C85,LEN(C85)-FIND("-",C85))&amp;"|"&amp;LEFT(D85,1)&amp;"|"&amp;LEFT(B85,1)&amp;"|"&amp;Tabela_BaseM[[#This Row],[Valor]]&amp;"|"&amp;Tabela_BaseM[[#This Row],[HISTÓRICO]]&amp;"|"),("|M350|"&amp;LEFT(C85,FIND("-",C85)-1)&amp;"|"&amp;RIGHT(C85,LEN(C85)-FIND("-",C85))&amp;"|"&amp;LEFT(D85,1)&amp;"|"&amp;LEFT(B85,1)&amp;"|"&amp;Tabela_BaseM[[#This Row],[Valor]]&amp;"|"&amp;Tabela_BaseM[[#This Row],[HISTÓRICO]]&amp;"|"))</f>
        <v>|M300|102|(-) Varia  o cambial passiva - regra geral|E|3|865052,72|Variacao cambial passiva realizada no periodo|</v>
      </c>
    </row>
    <row r="86" spans="1:17" x14ac:dyDescent="0.25">
      <c r="A86" t="s">
        <v>21</v>
      </c>
      <c r="B86" t="s">
        <v>22</v>
      </c>
      <c r="C86" t="s">
        <v>344</v>
      </c>
      <c r="D86" t="s">
        <v>426</v>
      </c>
      <c r="E86" t="s">
        <v>1006</v>
      </c>
      <c r="F86">
        <v>3210704</v>
      </c>
      <c r="G86" t="s">
        <v>1072</v>
      </c>
      <c r="J86" s="11">
        <v>45382</v>
      </c>
      <c r="K86">
        <v>3829.47</v>
      </c>
      <c r="L86" t="str">
        <f>IF(A86="IRPJ",IF(LEFT(B86,1)="1","|M305|",IF(LEFT(B86,1)="2","|M310|",IF(AND(LEFT(B86,1)="3",Tabela_BaseM[[#This Row],[CONTA PARTE B]]&lt;&gt;""),"|M305|",IF(LEFT(B86,1)="4","|M312|","")))),      IF(LEFT(B86,1)="1","|M355|",IF(LEFT(B86,1)="2","|M360|",IF(AND(LEFT(B86,1)="3",Tabela_BaseM[[#This Row],[CONTA PARTE B]]&lt;&gt;""),"|M355|",IF(LEFT(B86,1)="4","|M362|","")))))</f>
        <v>|M310|</v>
      </c>
      <c r="M86" t="str">
        <f>IF(LEFT(Tabela_BaseM[[#This Row],[TIPO RELACIONAMENTO]],1)="3",(IF(A86="IRPJ",IF(LEFT(B86,1)="1","|M305|",IF(LEFT(B86,1)="2","|M310|",IF(LEFT(B86,1)="3","|M310|",IF(LEFT(B86,1)="4","|M312|","")))),IF(LEFT(B86,1)="1","|M355|",IF(LEFT(B86,1)="2","|M360|",IF(LEFT(B86,1)="3","|M360|",IF(LEFT(B86,1)="4","|M362|","")))))),"")</f>
        <v/>
      </c>
      <c r="N8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|M310|3210704||3829,47|C|</v>
      </c>
      <c r="O8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8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6" t="str">
        <f>IF(A86="IRPJ",("|M300|"&amp;LEFT(C86,FIND("-",C86)-1)&amp;"|"&amp;RIGHT(C86,LEN(C86)-FIND("-",C86))&amp;"|"&amp;LEFT(D86,1)&amp;"|"&amp;LEFT(B86,1)&amp;"|"&amp;Tabela_BaseM[[#This Row],[Valor]]&amp;"|"&amp;Tabela_BaseM[[#This Row],[HISTÓRICO]]&amp;"|"),("|M350|"&amp;LEFT(C86,FIND("-",C86)-1)&amp;"|"&amp;RIGHT(C86,LEN(C86)-FIND("-",C86))&amp;"|"&amp;LEFT(D86,1)&amp;"|"&amp;LEFT(B86,1)&amp;"|"&amp;Tabela_BaseM[[#This Row],[Valor]]&amp;"|"&amp;Tabela_BaseM[[#This Row],[HISTÓRICO]]&amp;"|"))</f>
        <v>|M300|134.15|(-) Arrendamento mercantil - PJ arrendat ria - contrapresta  es pagas ou creditadas de contratos n o tipificados como arrendamento|E|2|3829,47|Contraprestacoes pagas de aluguel no periodo|</v>
      </c>
    </row>
    <row r="87" spans="1:17" x14ac:dyDescent="0.25">
      <c r="A87" t="s">
        <v>21</v>
      </c>
      <c r="B87" t="s">
        <v>22</v>
      </c>
      <c r="C87" t="s">
        <v>77</v>
      </c>
      <c r="D87" t="s">
        <v>425</v>
      </c>
      <c r="E87" t="s">
        <v>1031</v>
      </c>
      <c r="F87">
        <v>3260210</v>
      </c>
      <c r="G87" t="s">
        <v>1030</v>
      </c>
      <c r="J87" s="11">
        <v>45382</v>
      </c>
      <c r="K87">
        <v>29227.42</v>
      </c>
      <c r="L87" t="str">
        <f>IF(A87="IRPJ",IF(LEFT(B87,1)="1","|M305|",IF(LEFT(B87,1)="2","|M310|",IF(AND(LEFT(B87,1)="3",Tabela_BaseM[[#This Row],[CONTA PARTE B]]&lt;&gt;""),"|M305|",IF(LEFT(B87,1)="4","|M312|","")))),      IF(LEFT(B87,1)="1","|M355|",IF(LEFT(B87,1)="2","|M360|",IF(AND(LEFT(B87,1)="3",Tabela_BaseM[[#This Row],[CONTA PARTE B]]&lt;&gt;""),"|M355|",IF(LEFT(B87,1)="4","|M362|","")))))</f>
        <v>|M310|</v>
      </c>
      <c r="M87" t="str">
        <f>IF(LEFT(Tabela_BaseM[[#This Row],[TIPO RELACIONAMENTO]],1)="3",(IF(A87="IRPJ",IF(LEFT(B87,1)="1","|M305|",IF(LEFT(B87,1)="2","|M310|",IF(LEFT(B87,1)="3","|M310|",IF(LEFT(B87,1)="4","|M312|","")))),IF(LEFT(B87,1)="1","|M355|",IF(LEFT(B87,1)="2","|M360|",IF(LEFT(B87,1)="3","|M360|",IF(LEFT(B87,1)="4","|M362|","")))))),"")</f>
        <v/>
      </c>
      <c r="N8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|M310|3260210||29227,42|D|</v>
      </c>
      <c r="O8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8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7" t="str">
        <f>IF(A87="IRPJ",("|M300|"&amp;LEFT(C87,FIND("-",C87)-1)&amp;"|"&amp;RIGHT(C87,LEN(C87)-FIND("-",C87))&amp;"|"&amp;LEFT(D87,1)&amp;"|"&amp;LEFT(B87,1)&amp;"|"&amp;Tabela_BaseM[[#This Row],[Valor]]&amp;"|"&amp;Tabela_BaseM[[#This Row],[HISTÓRICO]]&amp;"|"),("|M350|"&amp;LEFT(C87,FIND("-",C87)-1)&amp;"|"&amp;RIGHT(C87,LEN(C87)-FIND("-",C87))&amp;"|"&amp;LEFT(D87,1)&amp;"|"&amp;LEFT(B87,1)&amp;"|"&amp;Tabela_BaseM[[#This Row],[Valor]]&amp;"|"&amp;Tabela_BaseM[[#This Row],[HISTÓRICO]]&amp;"|"))</f>
        <v>|M300|13|Regras de subcapitaliza  o - ajustes decorrentes de empr stimos com pessoa f sica ou jur dica|A|2|29227,42|Juros sobre emprestimo matriz no periodo|</v>
      </c>
    </row>
    <row r="88" spans="1:17" x14ac:dyDescent="0.25">
      <c r="A88" t="s">
        <v>21</v>
      </c>
      <c r="B88" t="s">
        <v>30</v>
      </c>
      <c r="C88" t="s">
        <v>376</v>
      </c>
      <c r="D88" t="s">
        <v>426</v>
      </c>
      <c r="E88" t="s">
        <v>1067</v>
      </c>
      <c r="F88">
        <v>3211404</v>
      </c>
      <c r="G88" t="s">
        <v>1070</v>
      </c>
      <c r="H88">
        <v>1130306</v>
      </c>
      <c r="J88" s="11">
        <v>45382</v>
      </c>
      <c r="K88">
        <v>152789.76999999999</v>
      </c>
      <c r="L88" t="str">
        <f>IF(A88="IRPJ",IF(LEFT(B88,1)="1","|M305|",IF(LEFT(B88,1)="2","|M310|",IF(AND(LEFT(B88,1)="3",Tabela_BaseM[[#This Row],[CONTA PARTE B]]&lt;&gt;""),"|M305|",IF(LEFT(B88,1)="4","|M312|","")))),      IF(LEFT(B88,1)="1","|M355|",IF(LEFT(B88,1)="2","|M360|",IF(AND(LEFT(B88,1)="3",Tabela_BaseM[[#This Row],[CONTA PARTE B]]&lt;&gt;""),"|M355|",IF(LEFT(B88,1)="4","|M362|","")))))</f>
        <v>|M305|</v>
      </c>
      <c r="M88" t="str">
        <f>IF(LEFT(Tabela_BaseM[[#This Row],[TIPO RELACIONAMENTO]],1)="3",(IF(A88="IRPJ",IF(LEFT(B88,1)="1","|M305|",IF(LEFT(B88,1)="2","|M310|",IF(LEFT(B88,1)="3","|M310|",IF(LEFT(B88,1)="4","|M312|","")))),IF(LEFT(B88,1)="1","|M355|",IF(LEFT(B88,1)="2","|M360|",IF(LEFT(B88,1)="3","|M360|",IF(LEFT(B88,1)="4","|M362|","")))))),"")</f>
        <v>|M310|</v>
      </c>
      <c r="N8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|M305|1130306|152789,77|C|</v>
      </c>
      <c r="O8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|M310|3211404||152789,77|C|</v>
      </c>
      <c r="P8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8" t="str">
        <f>IF(A88="IRPJ",("|M300|"&amp;LEFT(C88,FIND("-",C88)-1)&amp;"|"&amp;RIGHT(C88,LEN(C88)-FIND("-",C88))&amp;"|"&amp;LEFT(D88,1)&amp;"|"&amp;LEFT(B88,1)&amp;"|"&amp;Tabela_BaseM[[#This Row],[Valor]]&amp;"|"&amp;Tabela_BaseM[[#This Row],[HISTÓRICO]]&amp;"|"),("|M350|"&amp;LEFT(C88,FIND("-",C88)-1)&amp;"|"&amp;RIGHT(C88,LEN(C88)-FIND("-",C88))&amp;"|"&amp;LEFT(D88,1)&amp;"|"&amp;LEFT(B88,1)&amp;"|"&amp;Tabela_BaseM[[#This Row],[Valor]]&amp;"|"&amp;Tabela_BaseM[[#This Row],[HISTÓRICO]]&amp;"|"))</f>
        <v>|M300|159|(-) CPC 47 - Ajustes de Receita Bruta|E|3|152789,77|Ajuste cut-off no periodo|</v>
      </c>
    </row>
    <row r="89" spans="1:17" x14ac:dyDescent="0.25">
      <c r="A89" t="s">
        <v>21</v>
      </c>
      <c r="B89" t="s">
        <v>22</v>
      </c>
      <c r="C89" t="s">
        <v>402</v>
      </c>
      <c r="D89" t="s">
        <v>426</v>
      </c>
      <c r="E89" t="s">
        <v>1079</v>
      </c>
      <c r="F89">
        <v>3260107</v>
      </c>
      <c r="G89" t="s">
        <v>1078</v>
      </c>
      <c r="J89" s="11">
        <v>45382</v>
      </c>
      <c r="K89">
        <v>756999.47</v>
      </c>
      <c r="L89" t="str">
        <f>IF(A89="IRPJ",IF(LEFT(B89,1)="1","|M305|",IF(LEFT(B89,1)="2","|M310|",IF(AND(LEFT(B89,1)="3",Tabela_BaseM[[#This Row],[CONTA PARTE B]]&lt;&gt;""),"|M305|",IF(LEFT(B89,1)="4","|M312|","")))),      IF(LEFT(B89,1)="1","|M355|",IF(LEFT(B89,1)="2","|M360|",IF(AND(LEFT(B89,1)="3",Tabela_BaseM[[#This Row],[CONTA PARTE B]]&lt;&gt;""),"|M355|",IF(LEFT(B89,1)="4","|M362|","")))))</f>
        <v>|M310|</v>
      </c>
      <c r="M89" t="str">
        <f>IF(LEFT(Tabela_BaseM[[#This Row],[TIPO RELACIONAMENTO]],1)="3",(IF(A89="IRPJ",IF(LEFT(B89,1)="1","|M305|",IF(LEFT(B89,1)="2","|M310|",IF(LEFT(B89,1)="3","|M310|",IF(LEFT(B89,1)="4","|M312|","")))),IF(LEFT(B89,1)="1","|M355|",IF(LEFT(B89,1)="2","|M360|",IF(LEFT(B89,1)="3","|M360|",IF(LEFT(B89,1)="4","|M362|","")))))),"")</f>
        <v/>
      </c>
      <c r="N8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|M310|3260107||756999,47|C|</v>
      </c>
      <c r="O8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8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89" t="str">
        <f>IF(A89="IRPJ",("|M300|"&amp;LEFT(C89,FIND("-",C89)-1)&amp;"|"&amp;RIGHT(C89,LEN(C89)-FIND("-",C89))&amp;"|"&amp;LEFT(D89,1)&amp;"|"&amp;LEFT(B89,1)&amp;"|"&amp;Tabela_BaseM[[#This Row],[Valor]]&amp;"|"&amp;Tabela_BaseM[[#This Row],[HISTÓRICO]]&amp;"|"),("|M350|"&amp;LEFT(C89,FIND("-",C89)-1)&amp;"|"&amp;RIGHT(C89,LEN(C89)-FIND("-",C89))&amp;"|"&amp;LEFT(D89,1)&amp;"|"&amp;LEFT(B89,1)&amp;"|"&amp;Tabela_BaseM[[#This Row],[Valor]]&amp;"|"&amp;Tabela_BaseM[[#This Row],[HISTÓRICO]]&amp;"|"))</f>
        <v>|M300|167.01|(-) Outras exclus es - qualquer indicador de relacionamento|E|2|756999,47|Juros ativos de credito extemporaneo e despesas dedutiveis|</v>
      </c>
    </row>
    <row r="90" spans="1:17" x14ac:dyDescent="0.25">
      <c r="A90" t="s">
        <v>21</v>
      </c>
      <c r="B90" t="s">
        <v>30</v>
      </c>
      <c r="C90" t="s">
        <v>81</v>
      </c>
      <c r="D90" t="s">
        <v>425</v>
      </c>
      <c r="E90" t="s">
        <v>1038</v>
      </c>
      <c r="F90">
        <v>3260406</v>
      </c>
      <c r="G90" t="s">
        <v>1046</v>
      </c>
      <c r="H90" t="s">
        <v>1044</v>
      </c>
      <c r="J90" s="11">
        <v>45382</v>
      </c>
      <c r="K90">
        <v>131757.23000000001</v>
      </c>
      <c r="L90" t="str">
        <f>IF(A90="IRPJ",IF(LEFT(B90,1)="1","|M305|",IF(LEFT(B90,1)="2","|M310|",IF(AND(LEFT(B90,1)="3",Tabela_BaseM[[#This Row],[CONTA PARTE B]]&lt;&gt;""),"|M305|",IF(LEFT(B90,1)="4","|M312|","")))),      IF(LEFT(B90,1)="1","|M355|",IF(LEFT(B90,1)="2","|M360|",IF(AND(LEFT(B90,1)="3",Tabela_BaseM[[#This Row],[CONTA PARTE B]]&lt;&gt;""),"|M355|",IF(LEFT(B90,1)="4","|M362|","")))))</f>
        <v>|M305|</v>
      </c>
      <c r="M90" t="str">
        <f>IF(LEFT(Tabela_BaseM[[#This Row],[TIPO RELACIONAMENTO]],1)="3",(IF(A90="IRPJ",IF(LEFT(B90,1)="1","|M305|",IF(LEFT(B90,1)="2","|M310|",IF(LEFT(B90,1)="3","|M310|",IF(LEFT(B90,1)="4","|M312|","")))),IF(LEFT(B90,1)="1","|M355|",IF(LEFT(B90,1)="2","|M360|",IF(LEFT(B90,1)="3","|M360|",IF(LEFT(B90,1)="4","|M362|","")))))),"")</f>
        <v>|M310|</v>
      </c>
      <c r="N9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CAMBIAL|131757,23|D|</v>
      </c>
      <c r="O9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|M310|3260406||131757,23|D|</v>
      </c>
      <c r="P9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0" t="str">
        <f>IF(A90="IRPJ",("|M300|"&amp;LEFT(C90,FIND("-",C90)-1)&amp;"|"&amp;RIGHT(C90,LEN(C90)-FIND("-",C90))&amp;"|"&amp;LEFT(D90,1)&amp;"|"&amp;LEFT(B90,1)&amp;"|"&amp;Tabela_BaseM[[#This Row],[Valor]]&amp;"|"&amp;Tabela_BaseM[[#This Row],[HISTÓRICO]]&amp;"|"),("|M350|"&amp;LEFT(C90,FIND("-",C90)-1)&amp;"|"&amp;RIGHT(C90,LEN(C90)-FIND("-",C90))&amp;"|"&amp;LEFT(D90,1)&amp;"|"&amp;LEFT(B90,1)&amp;"|"&amp;Tabela_BaseM[[#This Row],[Valor]]&amp;"|"&amp;Tabela_BaseM[[#This Row],[HISTÓRICO]]&amp;"|"))</f>
        <v>|M300|16|Varia  o cambial passiva - regra geral - valor evidenciado no registro L300 de acordo com o regime de compet ncia|A|3|131757,23|Variacao cambial nao realizada no periodo|</v>
      </c>
    </row>
    <row r="91" spans="1:17" x14ac:dyDescent="0.25">
      <c r="A91" t="s">
        <v>21</v>
      </c>
      <c r="B91" t="s">
        <v>30</v>
      </c>
      <c r="C91" t="s">
        <v>81</v>
      </c>
      <c r="D91" t="s">
        <v>425</v>
      </c>
      <c r="E91" t="s">
        <v>1038</v>
      </c>
      <c r="F91">
        <v>3260403</v>
      </c>
      <c r="G91" t="s">
        <v>1043</v>
      </c>
      <c r="H91" t="s">
        <v>1044</v>
      </c>
      <c r="J91" s="11">
        <v>45382</v>
      </c>
      <c r="K91">
        <v>1735123.59</v>
      </c>
      <c r="L91" t="str">
        <f>IF(A91="IRPJ",IF(LEFT(B91,1)="1","|M305|",IF(LEFT(B91,1)="2","|M310|",IF(AND(LEFT(B91,1)="3",Tabela_BaseM[[#This Row],[CONTA PARTE B]]&lt;&gt;""),"|M305|",IF(LEFT(B91,1)="4","|M312|","")))),      IF(LEFT(B91,1)="1","|M355|",IF(LEFT(B91,1)="2","|M360|",IF(AND(LEFT(B91,1)="3",Tabela_BaseM[[#This Row],[CONTA PARTE B]]&lt;&gt;""),"|M355|",IF(LEFT(B91,1)="4","|M362|","")))))</f>
        <v>|M305|</v>
      </c>
      <c r="M91" t="str">
        <f>IF(LEFT(Tabela_BaseM[[#This Row],[TIPO RELACIONAMENTO]],1)="3",(IF(A91="IRPJ",IF(LEFT(B91,1)="1","|M305|",IF(LEFT(B91,1)="2","|M310|",IF(LEFT(B91,1)="3","|M310|",IF(LEFT(B91,1)="4","|M312|","")))),IF(LEFT(B91,1)="1","|M355|",IF(LEFT(B91,1)="2","|M360|",IF(LEFT(B91,1)="3","|M360|",IF(LEFT(B91,1)="4","|M362|","")))))),"")</f>
        <v>|M310|</v>
      </c>
      <c r="N9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CAMBIAL|1735123,59|D|</v>
      </c>
      <c r="O9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|M310|3260403||1735123,59|D|</v>
      </c>
      <c r="P9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1" t="str">
        <f>IF(A91="IRPJ",("|M300|"&amp;LEFT(C91,FIND("-",C91)-1)&amp;"|"&amp;RIGHT(C91,LEN(C91)-FIND("-",C91))&amp;"|"&amp;LEFT(D91,1)&amp;"|"&amp;LEFT(B91,1)&amp;"|"&amp;Tabela_BaseM[[#This Row],[Valor]]&amp;"|"&amp;Tabela_BaseM[[#This Row],[HISTÓRICO]]&amp;"|"),("|M350|"&amp;LEFT(C91,FIND("-",C91)-1)&amp;"|"&amp;RIGHT(C91,LEN(C91)-FIND("-",C91))&amp;"|"&amp;LEFT(D91,1)&amp;"|"&amp;LEFT(B91,1)&amp;"|"&amp;Tabela_BaseM[[#This Row],[Valor]]&amp;"|"&amp;Tabela_BaseM[[#This Row],[HISTÓRICO]]&amp;"|"))</f>
        <v>|M300|16|Varia  o cambial passiva - regra geral - valor evidenciado no registro L300 de acordo com o regime de compet ncia|A|3|1735123,59|Variacao cambial nao realizada no periodo|</v>
      </c>
    </row>
    <row r="92" spans="1:17" x14ac:dyDescent="0.25">
      <c r="A92" t="s">
        <v>21</v>
      </c>
      <c r="B92" t="s">
        <v>30</v>
      </c>
      <c r="C92" t="s">
        <v>81</v>
      </c>
      <c r="D92" t="s">
        <v>425</v>
      </c>
      <c r="E92" t="s">
        <v>1038</v>
      </c>
      <c r="F92">
        <v>3260401</v>
      </c>
      <c r="G92" t="s">
        <v>1042</v>
      </c>
      <c r="H92" t="s">
        <v>1044</v>
      </c>
      <c r="J92" s="11">
        <v>45382</v>
      </c>
      <c r="K92">
        <v>912883.65</v>
      </c>
      <c r="L92" t="str">
        <f>IF(A92="IRPJ",IF(LEFT(B92,1)="1","|M305|",IF(LEFT(B92,1)="2","|M310|",IF(AND(LEFT(B92,1)="3",Tabela_BaseM[[#This Row],[CONTA PARTE B]]&lt;&gt;""),"|M305|",IF(LEFT(B92,1)="4","|M312|","")))),      IF(LEFT(B92,1)="1","|M355|",IF(LEFT(B92,1)="2","|M360|",IF(AND(LEFT(B92,1)="3",Tabela_BaseM[[#This Row],[CONTA PARTE B]]&lt;&gt;""),"|M355|",IF(LEFT(B92,1)="4","|M362|","")))))</f>
        <v>|M305|</v>
      </c>
      <c r="M92" t="str">
        <f>IF(LEFT(Tabela_BaseM[[#This Row],[TIPO RELACIONAMENTO]],1)="3",(IF(A92="IRPJ",IF(LEFT(B92,1)="1","|M305|",IF(LEFT(B92,1)="2","|M310|",IF(LEFT(B92,1)="3","|M310|",IF(LEFT(B92,1)="4","|M312|","")))),IF(LEFT(B92,1)="1","|M355|",IF(LEFT(B92,1)="2","|M360|",IF(LEFT(B92,1)="3","|M360|",IF(LEFT(B92,1)="4","|M362|","")))))),"")</f>
        <v>|M310|</v>
      </c>
      <c r="N9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CAMBIAL|912883,65|D|</v>
      </c>
      <c r="O9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|M310|3260401||912883,65|D|</v>
      </c>
      <c r="P9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2" t="str">
        <f>IF(A92="IRPJ",("|M300|"&amp;LEFT(C92,FIND("-",C92)-1)&amp;"|"&amp;RIGHT(C92,LEN(C92)-FIND("-",C92))&amp;"|"&amp;LEFT(D92,1)&amp;"|"&amp;LEFT(B92,1)&amp;"|"&amp;Tabela_BaseM[[#This Row],[Valor]]&amp;"|"&amp;Tabela_BaseM[[#This Row],[HISTÓRICO]]&amp;"|"),("|M350|"&amp;LEFT(C92,FIND("-",C92)-1)&amp;"|"&amp;RIGHT(C92,LEN(C92)-FIND("-",C92))&amp;"|"&amp;LEFT(D92,1)&amp;"|"&amp;LEFT(B92,1)&amp;"|"&amp;Tabela_BaseM[[#This Row],[Valor]]&amp;"|"&amp;Tabela_BaseM[[#This Row],[HISTÓRICO]]&amp;"|"))</f>
        <v>|M300|16|Varia  o cambial passiva - regra geral - valor evidenciado no registro L300 de acordo com o regime de compet ncia|A|3|912883,65|Variacao cambial nao realizada no periodo|</v>
      </c>
    </row>
    <row r="93" spans="1:17" x14ac:dyDescent="0.25">
      <c r="A93" t="s">
        <v>21</v>
      </c>
      <c r="B93" t="s">
        <v>30</v>
      </c>
      <c r="C93" t="s">
        <v>81</v>
      </c>
      <c r="D93" t="s">
        <v>425</v>
      </c>
      <c r="E93" t="s">
        <v>1038</v>
      </c>
      <c r="F93">
        <v>3260801</v>
      </c>
      <c r="G93" t="s">
        <v>1048</v>
      </c>
      <c r="H93" t="s">
        <v>1044</v>
      </c>
      <c r="J93" s="11">
        <v>45382</v>
      </c>
      <c r="K93">
        <v>2428.7800000000002</v>
      </c>
      <c r="L93" t="str">
        <f>IF(A93="IRPJ",IF(LEFT(B93,1)="1","|M305|",IF(LEFT(B93,1)="2","|M310|",IF(AND(LEFT(B93,1)="3",Tabela_BaseM[[#This Row],[CONTA PARTE B]]&lt;&gt;""),"|M305|",IF(LEFT(B93,1)="4","|M312|","")))),      IF(LEFT(B93,1)="1","|M355|",IF(LEFT(B93,1)="2","|M360|",IF(AND(LEFT(B93,1)="3",Tabela_BaseM[[#This Row],[CONTA PARTE B]]&lt;&gt;""),"|M355|",IF(LEFT(B93,1)="4","|M362|","")))))</f>
        <v>|M305|</v>
      </c>
      <c r="M93" t="str">
        <f>IF(LEFT(Tabela_BaseM[[#This Row],[TIPO RELACIONAMENTO]],1)="3",(IF(A93="IRPJ",IF(LEFT(B93,1)="1","|M305|",IF(LEFT(B93,1)="2","|M310|",IF(LEFT(B93,1)="3","|M310|",IF(LEFT(B93,1)="4","|M312|","")))),IF(LEFT(B93,1)="1","|M355|",IF(LEFT(B93,1)="2","|M360|",IF(LEFT(B93,1)="3","|M360|",IF(LEFT(B93,1)="4","|M362|","")))))),"")</f>
        <v>|M310|</v>
      </c>
      <c r="N9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CAMBIAL|2428,78|D|</v>
      </c>
      <c r="O9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|M310|3260801||2428,78|D|</v>
      </c>
      <c r="P9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3" t="str">
        <f>IF(A93="IRPJ",("|M300|"&amp;LEFT(C93,FIND("-",C93)-1)&amp;"|"&amp;RIGHT(C93,LEN(C93)-FIND("-",C93))&amp;"|"&amp;LEFT(D93,1)&amp;"|"&amp;LEFT(B93,1)&amp;"|"&amp;Tabela_BaseM[[#This Row],[Valor]]&amp;"|"&amp;Tabela_BaseM[[#This Row],[HISTÓRICO]]&amp;"|"),("|M350|"&amp;LEFT(C93,FIND("-",C93)-1)&amp;"|"&amp;RIGHT(C93,LEN(C93)-FIND("-",C93))&amp;"|"&amp;LEFT(D93,1)&amp;"|"&amp;LEFT(B93,1)&amp;"|"&amp;Tabela_BaseM[[#This Row],[Valor]]&amp;"|"&amp;Tabela_BaseM[[#This Row],[HISTÓRICO]]&amp;"|"))</f>
        <v>|M300|16|Varia  o cambial passiva - regra geral - valor evidenciado no registro L300 de acordo com o regime de compet ncia|A|3|2428,78|Variacao cambial nao realizada no periodo|</v>
      </c>
    </row>
    <row r="94" spans="1:17" x14ac:dyDescent="0.25">
      <c r="A94" t="s">
        <v>21</v>
      </c>
      <c r="B94" t="s">
        <v>30</v>
      </c>
      <c r="C94" t="s">
        <v>31</v>
      </c>
      <c r="D94" t="s">
        <v>425</v>
      </c>
      <c r="E94" t="s">
        <v>430</v>
      </c>
      <c r="F94" s="24">
        <v>3150202</v>
      </c>
      <c r="G94" t="s">
        <v>1026</v>
      </c>
      <c r="H94">
        <v>2130304</v>
      </c>
      <c r="J94" s="11">
        <v>45382</v>
      </c>
      <c r="K94">
        <v>215057.86000000002</v>
      </c>
      <c r="L94" t="str">
        <f>IF(A94="IRPJ",IF(LEFT(B94,1)="1","|M305|",IF(LEFT(B94,1)="2","|M310|",IF(AND(LEFT(B94,1)="3",Tabela_BaseM[[#This Row],[CONTA PARTE B]]&lt;&gt;""),"|M305|",IF(LEFT(B94,1)="4","|M312|","")))),      IF(LEFT(B94,1)="1","|M355|",IF(LEFT(B94,1)="2","|M360|",IF(AND(LEFT(B94,1)="3",Tabela_BaseM[[#This Row],[CONTA PARTE B]]&lt;&gt;""),"|M355|",IF(LEFT(B94,1)="4","|M362|","")))))</f>
        <v>|M305|</v>
      </c>
      <c r="M94" t="str">
        <f>IF(LEFT(Tabela_BaseM[[#This Row],[TIPO RELACIONAMENTO]],1)="3",(IF(A94="IRPJ",IF(LEFT(B94,1)="1","|M305|",IF(LEFT(B94,1)="2","|M310|",IF(LEFT(B94,1)="3","|M310|",IF(LEFT(B94,1)="4","|M312|","")))),IF(LEFT(B94,1)="1","|M355|",IF(LEFT(B94,1)="2","|M360|",IF(LEFT(B94,1)="3","|M360|",IF(LEFT(B94,1)="4","|M362|","")))))),"")</f>
        <v>|M310|</v>
      </c>
      <c r="N9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|M305|2130304|215057,86|D|</v>
      </c>
      <c r="O9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|M310|3150202||215057,86|D|</v>
      </c>
      <c r="P9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4" t="str">
        <f>IF(A94="IRPJ",("|M300|"&amp;LEFT(C94,FIND("-",C94)-1)&amp;"|"&amp;RIGHT(C94,LEN(C94)-FIND("-",C94))&amp;"|"&amp;LEFT(D94,1)&amp;"|"&amp;LEFT(B94,1)&amp;"|"&amp;Tabela_BaseM[[#This Row],[Valor]]&amp;"|"&amp;Tabela_BaseM[[#This Row],[HISTÓRICO]]&amp;"|"),("|M350|"&amp;LEFT(C94,FIND("-",C94)-1)&amp;"|"&amp;RIGHT(C94,LEN(C94)-FIND("-",C94))&amp;"|"&amp;LEFT(D94,1)&amp;"|"&amp;LEFT(B94,1)&amp;"|"&amp;Tabela_BaseM[[#This Row],[Valor]]&amp;"|"&amp;Tabela_BaseM[[#This Row],[HISTÓRICO]]&amp;"|"))</f>
        <v>|M300|6|Provis es ou perdas estimadas n o dedut veis|A|3|215057,86|Provisoes no período|</v>
      </c>
    </row>
    <row r="95" spans="1:17" x14ac:dyDescent="0.25">
      <c r="A95" t="s">
        <v>21</v>
      </c>
      <c r="B95" t="s">
        <v>30</v>
      </c>
      <c r="C95" t="s">
        <v>31</v>
      </c>
      <c r="D95" t="s">
        <v>425</v>
      </c>
      <c r="E95" t="s">
        <v>430</v>
      </c>
      <c r="F95">
        <v>3160406</v>
      </c>
      <c r="G95" t="s">
        <v>1089</v>
      </c>
      <c r="H95">
        <v>1130609</v>
      </c>
      <c r="J95" s="11">
        <v>45382</v>
      </c>
      <c r="K95">
        <v>3868.3999999999942</v>
      </c>
      <c r="L95" t="str">
        <f>IF(A95="IRPJ",IF(LEFT(B95,1)="1","|M305|",IF(LEFT(B95,1)="2","|M310|",IF(AND(LEFT(B95,1)="3",Tabela_BaseM[[#This Row],[CONTA PARTE B]]&lt;&gt;""),"|M305|",IF(LEFT(B95,1)="4","|M312|","")))),      IF(LEFT(B95,1)="1","|M355|",IF(LEFT(B95,1)="2","|M360|",IF(AND(LEFT(B95,1)="3",Tabela_BaseM[[#This Row],[CONTA PARTE B]]&lt;&gt;""),"|M355|",IF(LEFT(B95,1)="4","|M362|","")))))</f>
        <v>|M305|</v>
      </c>
      <c r="M95" t="str">
        <f>IF(LEFT(Tabela_BaseM[[#This Row],[TIPO RELACIONAMENTO]],1)="3",(IF(A95="IRPJ",IF(LEFT(B95,1)="1","|M305|",IF(LEFT(B95,1)="2","|M310|",IF(LEFT(B95,1)="3","|M310|",IF(LEFT(B95,1)="4","|M312|","")))),IF(LEFT(B95,1)="1","|M355|",IF(LEFT(B95,1)="2","|M360|",IF(LEFT(B95,1)="3","|M360|",IF(LEFT(B95,1)="4","|M362|","")))))),"")</f>
        <v>|M310|</v>
      </c>
      <c r="N9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|M305|1130609|3868,39999999999|D|</v>
      </c>
      <c r="O9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|M310|3160406||3868,39999999999|D|</v>
      </c>
      <c r="P9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5" t="str">
        <f>IF(A95="IRPJ",("|M300|"&amp;LEFT(C95,FIND("-",C95)-1)&amp;"|"&amp;RIGHT(C95,LEN(C95)-FIND("-",C95))&amp;"|"&amp;LEFT(D95,1)&amp;"|"&amp;LEFT(B95,1)&amp;"|"&amp;Tabela_BaseM[[#This Row],[Valor]]&amp;"|"&amp;Tabela_BaseM[[#This Row],[HISTÓRICO]]&amp;"|"),("|M350|"&amp;LEFT(C95,FIND("-",C95)-1)&amp;"|"&amp;RIGHT(C95,LEN(C95)-FIND("-",C95))&amp;"|"&amp;LEFT(D95,1)&amp;"|"&amp;LEFT(B95,1)&amp;"|"&amp;Tabela_BaseM[[#This Row],[Valor]]&amp;"|"&amp;Tabela_BaseM[[#This Row],[HISTÓRICO]]&amp;"|"))</f>
        <v>|M300|6|Provis es ou perdas estimadas n o dedut veis|A|3|3868,39999999999|Provisoes no período|</v>
      </c>
    </row>
    <row r="96" spans="1:17" x14ac:dyDescent="0.25">
      <c r="A96" t="s">
        <v>21</v>
      </c>
      <c r="B96" t="s">
        <v>30</v>
      </c>
      <c r="C96" t="s">
        <v>31</v>
      </c>
      <c r="D96" t="s">
        <v>425</v>
      </c>
      <c r="E96" t="s">
        <v>430</v>
      </c>
      <c r="F96">
        <v>3210201</v>
      </c>
      <c r="G96" t="s">
        <v>1058</v>
      </c>
      <c r="H96">
        <v>2130301</v>
      </c>
      <c r="J96" s="11">
        <v>45382</v>
      </c>
      <c r="K96">
        <v>453150</v>
      </c>
      <c r="L96" t="str">
        <f>IF(A96="IRPJ",IF(LEFT(B96,1)="1","|M305|",IF(LEFT(B96,1)="2","|M310|",IF(AND(LEFT(B96,1)="3",Tabela_BaseM[[#This Row],[CONTA PARTE B]]&lt;&gt;""),"|M305|",IF(LEFT(B96,1)="4","|M312|","")))),      IF(LEFT(B96,1)="1","|M355|",IF(LEFT(B96,1)="2","|M360|",IF(AND(LEFT(B96,1)="3",Tabela_BaseM[[#This Row],[CONTA PARTE B]]&lt;&gt;""),"|M355|",IF(LEFT(B96,1)="4","|M362|","")))))</f>
        <v>|M305|</v>
      </c>
      <c r="M96" t="str">
        <f>IF(LEFT(Tabela_BaseM[[#This Row],[TIPO RELACIONAMENTO]],1)="3",(IF(A96="IRPJ",IF(LEFT(B96,1)="1","|M305|",IF(LEFT(B96,1)="2","|M310|",IF(LEFT(B96,1)="3","|M310|",IF(LEFT(B96,1)="4","|M312|","")))),IF(LEFT(B96,1)="1","|M355|",IF(LEFT(B96,1)="2","|M360|",IF(LEFT(B96,1)="3","|M360|",IF(LEFT(B96,1)="4","|M362|","")))))),"")</f>
        <v>|M310|</v>
      </c>
      <c r="N9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|M305|2130301|453150|D|</v>
      </c>
      <c r="O9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|M310|3210201||453150|D|</v>
      </c>
      <c r="P9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6" t="str">
        <f>IF(A96="IRPJ",("|M300|"&amp;LEFT(C96,FIND("-",C96)-1)&amp;"|"&amp;RIGHT(C96,LEN(C96)-FIND("-",C96))&amp;"|"&amp;LEFT(D96,1)&amp;"|"&amp;LEFT(B96,1)&amp;"|"&amp;Tabela_BaseM[[#This Row],[Valor]]&amp;"|"&amp;Tabela_BaseM[[#This Row],[HISTÓRICO]]&amp;"|"),("|M350|"&amp;LEFT(C96,FIND("-",C96)-1)&amp;"|"&amp;RIGHT(C96,LEN(C96)-FIND("-",C96))&amp;"|"&amp;LEFT(D96,1)&amp;"|"&amp;LEFT(B96,1)&amp;"|"&amp;Tabela_BaseM[[#This Row],[Valor]]&amp;"|"&amp;Tabela_BaseM[[#This Row],[HISTÓRICO]]&amp;"|"))</f>
        <v>|M300|6|Provis es ou perdas estimadas n o dedut veis|A|3|453150|Provisoes no período|</v>
      </c>
    </row>
    <row r="97" spans="1:17" x14ac:dyDescent="0.25">
      <c r="A97" t="s">
        <v>21</v>
      </c>
      <c r="B97" t="s">
        <v>30</v>
      </c>
      <c r="C97" t="s">
        <v>31</v>
      </c>
      <c r="D97" t="s">
        <v>425</v>
      </c>
      <c r="E97" t="s">
        <v>430</v>
      </c>
      <c r="F97">
        <v>3230304</v>
      </c>
      <c r="G97" t="s">
        <v>1055</v>
      </c>
      <c r="H97">
        <v>21405</v>
      </c>
      <c r="J97" s="11">
        <v>45382</v>
      </c>
      <c r="K97">
        <v>2955108.87</v>
      </c>
      <c r="L97" t="str">
        <f>IF(A97="IRPJ",IF(LEFT(B97,1)="1","|M305|",IF(LEFT(B97,1)="2","|M310|",IF(AND(LEFT(B97,1)="3",Tabela_BaseM[[#This Row],[CONTA PARTE B]]&lt;&gt;""),"|M305|",IF(LEFT(B97,1)="4","|M312|","")))),      IF(LEFT(B97,1)="1","|M355|",IF(LEFT(B97,1)="2","|M360|",IF(AND(LEFT(B97,1)="3",Tabela_BaseM[[#This Row],[CONTA PARTE B]]&lt;&gt;""),"|M355|",IF(LEFT(B97,1)="4","|M362|","")))))</f>
        <v>|M305|</v>
      </c>
      <c r="M97" t="str">
        <f>IF(LEFT(Tabela_BaseM[[#This Row],[TIPO RELACIONAMENTO]],1)="3",(IF(A97="IRPJ",IF(LEFT(B97,1)="1","|M305|",IF(LEFT(B97,1)="2","|M310|",IF(LEFT(B97,1)="3","|M310|",IF(LEFT(B97,1)="4","|M312|","")))),IF(LEFT(B97,1)="1","|M355|",IF(LEFT(B97,1)="2","|M360|",IF(LEFT(B97,1)="3","|M360|",IF(LEFT(B97,1)="4","|M362|","")))))),"")</f>
        <v>|M310|</v>
      </c>
      <c r="N9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|M305|21405|2955108,87|D|</v>
      </c>
      <c r="O9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|M310|3230304||2955108,87|D|</v>
      </c>
      <c r="P9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7" t="str">
        <f>IF(A97="IRPJ",("|M300|"&amp;LEFT(C97,FIND("-",C97)-1)&amp;"|"&amp;RIGHT(C97,LEN(C97)-FIND("-",C97))&amp;"|"&amp;LEFT(D97,1)&amp;"|"&amp;LEFT(B97,1)&amp;"|"&amp;Tabela_BaseM[[#This Row],[Valor]]&amp;"|"&amp;Tabela_BaseM[[#This Row],[HISTÓRICO]]&amp;"|"),("|M350|"&amp;LEFT(C97,FIND("-",C97)-1)&amp;"|"&amp;RIGHT(C97,LEN(C97)-FIND("-",C97))&amp;"|"&amp;LEFT(D97,1)&amp;"|"&amp;LEFT(B97,1)&amp;"|"&amp;Tabela_BaseM[[#This Row],[Valor]]&amp;"|"&amp;Tabela_BaseM[[#This Row],[HISTÓRICO]]&amp;"|"))</f>
        <v>|M300|6|Provis es ou perdas estimadas n o dedut veis|A|3|2955108,87|Provisoes no período|</v>
      </c>
    </row>
    <row r="98" spans="1:17" x14ac:dyDescent="0.25">
      <c r="A98" t="s">
        <v>21</v>
      </c>
      <c r="B98" t="s">
        <v>30</v>
      </c>
      <c r="C98" t="s">
        <v>31</v>
      </c>
      <c r="D98" t="s">
        <v>425</v>
      </c>
      <c r="E98" t="s">
        <v>430</v>
      </c>
      <c r="F98">
        <v>3230307</v>
      </c>
      <c r="G98" t="s">
        <v>1057</v>
      </c>
      <c r="H98">
        <v>21405</v>
      </c>
      <c r="J98" s="11">
        <v>45382</v>
      </c>
      <c r="K98">
        <v>2145.42</v>
      </c>
      <c r="L98" t="str">
        <f>IF(A98="IRPJ",IF(LEFT(B98,1)="1","|M305|",IF(LEFT(B98,1)="2","|M310|",IF(AND(LEFT(B98,1)="3",Tabela_BaseM[[#This Row],[CONTA PARTE B]]&lt;&gt;""),"|M305|",IF(LEFT(B98,1)="4","|M312|","")))),      IF(LEFT(B98,1)="1","|M355|",IF(LEFT(B98,1)="2","|M360|",IF(AND(LEFT(B98,1)="3",Tabela_BaseM[[#This Row],[CONTA PARTE B]]&lt;&gt;""),"|M355|",IF(LEFT(B98,1)="4","|M362|","")))))</f>
        <v>|M305|</v>
      </c>
      <c r="M98" t="str">
        <f>IF(LEFT(Tabela_BaseM[[#This Row],[TIPO RELACIONAMENTO]],1)="3",(IF(A98="IRPJ",IF(LEFT(B98,1)="1","|M305|",IF(LEFT(B98,1)="2","|M310|",IF(LEFT(B98,1)="3","|M310|",IF(LEFT(B98,1)="4","|M312|","")))),IF(LEFT(B98,1)="1","|M355|",IF(LEFT(B98,1)="2","|M360|",IF(LEFT(B98,1)="3","|M360|",IF(LEFT(B98,1)="4","|M362|","")))))),"")</f>
        <v>|M310|</v>
      </c>
      <c r="N9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|M305|21405|2145,42|D|</v>
      </c>
      <c r="O9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|M310|3230307||2145,42|D|</v>
      </c>
      <c r="P9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8" t="str">
        <f>IF(A98="IRPJ",("|M300|"&amp;LEFT(C98,FIND("-",C98)-1)&amp;"|"&amp;RIGHT(C98,LEN(C98)-FIND("-",C98))&amp;"|"&amp;LEFT(D98,1)&amp;"|"&amp;LEFT(B98,1)&amp;"|"&amp;Tabela_BaseM[[#This Row],[Valor]]&amp;"|"&amp;Tabela_BaseM[[#This Row],[HISTÓRICO]]&amp;"|"),("|M350|"&amp;LEFT(C98,FIND("-",C98)-1)&amp;"|"&amp;RIGHT(C98,LEN(C98)-FIND("-",C98))&amp;"|"&amp;LEFT(D98,1)&amp;"|"&amp;LEFT(B98,1)&amp;"|"&amp;Tabela_BaseM[[#This Row],[Valor]]&amp;"|"&amp;Tabela_BaseM[[#This Row],[HISTÓRICO]]&amp;"|"))</f>
        <v>|M300|6|Provis es ou perdas estimadas n o dedut veis|A|3|2145,42|Provisoes no período|</v>
      </c>
    </row>
    <row r="99" spans="1:17" x14ac:dyDescent="0.25">
      <c r="A99" t="s">
        <v>21</v>
      </c>
      <c r="B99" t="s">
        <v>30</v>
      </c>
      <c r="C99" t="s">
        <v>31</v>
      </c>
      <c r="D99" t="s">
        <v>425</v>
      </c>
      <c r="E99" t="s">
        <v>430</v>
      </c>
      <c r="F99">
        <v>3230305</v>
      </c>
      <c r="G99" t="s">
        <v>1056</v>
      </c>
      <c r="H99">
        <v>21405</v>
      </c>
      <c r="J99" s="11">
        <v>45382</v>
      </c>
      <c r="K99">
        <v>497.35</v>
      </c>
      <c r="L99" t="str">
        <f>IF(A99="IRPJ",IF(LEFT(B99,1)="1","|M305|",IF(LEFT(B99,1)="2","|M310|",IF(AND(LEFT(B99,1)="3",Tabela_BaseM[[#This Row],[CONTA PARTE B]]&lt;&gt;""),"|M305|",IF(LEFT(B99,1)="4","|M312|","")))),      IF(LEFT(B99,1)="1","|M355|",IF(LEFT(B99,1)="2","|M360|",IF(AND(LEFT(B99,1)="3",Tabela_BaseM[[#This Row],[CONTA PARTE B]]&lt;&gt;""),"|M355|",IF(LEFT(B99,1)="4","|M362|","")))))</f>
        <v>|M305|</v>
      </c>
      <c r="M99" t="str">
        <f>IF(LEFT(Tabela_BaseM[[#This Row],[TIPO RELACIONAMENTO]],1)="3",(IF(A99="IRPJ",IF(LEFT(B99,1)="1","|M305|",IF(LEFT(B99,1)="2","|M310|",IF(LEFT(B99,1)="3","|M310|",IF(LEFT(B99,1)="4","|M312|","")))),IF(LEFT(B99,1)="1","|M355|",IF(LEFT(B99,1)="2","|M360|",IF(LEFT(B99,1)="3","|M360|",IF(LEFT(B99,1)="4","|M362|","")))))),"")</f>
        <v>|M310|</v>
      </c>
      <c r="N9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|M305|21405|497,35|D|</v>
      </c>
      <c r="O9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|M310|3230305||497,35|D|</v>
      </c>
      <c r="P9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99" t="str">
        <f>IF(A99="IRPJ",("|M300|"&amp;LEFT(C99,FIND("-",C99)-1)&amp;"|"&amp;RIGHT(C99,LEN(C99)-FIND("-",C99))&amp;"|"&amp;LEFT(D99,1)&amp;"|"&amp;LEFT(B99,1)&amp;"|"&amp;Tabela_BaseM[[#This Row],[Valor]]&amp;"|"&amp;Tabela_BaseM[[#This Row],[HISTÓRICO]]&amp;"|"),("|M350|"&amp;LEFT(C99,FIND("-",C99)-1)&amp;"|"&amp;RIGHT(C99,LEN(C99)-FIND("-",C99))&amp;"|"&amp;LEFT(D99,1)&amp;"|"&amp;LEFT(B99,1)&amp;"|"&amp;Tabela_BaseM[[#This Row],[Valor]]&amp;"|"&amp;Tabela_BaseM[[#This Row],[HISTÓRICO]]&amp;"|"))</f>
        <v>|M300|6|Provis es ou perdas estimadas n o dedut veis|A|3|497,35|Provisoes no período|</v>
      </c>
    </row>
    <row r="100" spans="1:17" x14ac:dyDescent="0.25">
      <c r="A100" t="s">
        <v>21</v>
      </c>
      <c r="B100" t="s">
        <v>30</v>
      </c>
      <c r="C100" t="s">
        <v>31</v>
      </c>
      <c r="D100" t="s">
        <v>425</v>
      </c>
      <c r="E100" t="s">
        <v>430</v>
      </c>
      <c r="F100">
        <v>3230306</v>
      </c>
      <c r="G100" t="s">
        <v>1056</v>
      </c>
      <c r="H100">
        <v>21405</v>
      </c>
      <c r="J100" s="11">
        <v>45382</v>
      </c>
      <c r="K100">
        <v>154485.92000000001</v>
      </c>
      <c r="L100" t="str">
        <f>IF(A100="IRPJ",IF(LEFT(B100,1)="1","|M305|",IF(LEFT(B100,1)="2","|M310|",IF(AND(LEFT(B100,1)="3",Tabela_BaseM[[#This Row],[CONTA PARTE B]]&lt;&gt;""),"|M305|",IF(LEFT(B100,1)="4","|M312|","")))),      IF(LEFT(B100,1)="1","|M355|",IF(LEFT(B100,1)="2","|M360|",IF(AND(LEFT(B100,1)="3",Tabela_BaseM[[#This Row],[CONTA PARTE B]]&lt;&gt;""),"|M355|",IF(LEFT(B100,1)="4","|M362|","")))))</f>
        <v>|M305|</v>
      </c>
      <c r="M100" t="str">
        <f>IF(LEFT(Tabela_BaseM[[#This Row],[TIPO RELACIONAMENTO]],1)="3",(IF(A100="IRPJ",IF(LEFT(B100,1)="1","|M305|",IF(LEFT(B100,1)="2","|M310|",IF(LEFT(B100,1)="3","|M310|",IF(LEFT(B100,1)="4","|M312|","")))),IF(LEFT(B100,1)="1","|M355|",IF(LEFT(B100,1)="2","|M360|",IF(LEFT(B100,1)="3","|M360|",IF(LEFT(B100,1)="4","|M362|","")))))),"")</f>
        <v>|M310|</v>
      </c>
      <c r="N10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|M305|21405|154485,92|D|</v>
      </c>
      <c r="O10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|M310|3230306||154485,92|D|</v>
      </c>
      <c r="P10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0" t="str">
        <f>IF(A100="IRPJ",("|M300|"&amp;LEFT(C100,FIND("-",C100)-1)&amp;"|"&amp;RIGHT(C100,LEN(C100)-FIND("-",C100))&amp;"|"&amp;LEFT(D100,1)&amp;"|"&amp;LEFT(B100,1)&amp;"|"&amp;Tabela_BaseM[[#This Row],[Valor]]&amp;"|"&amp;Tabela_BaseM[[#This Row],[HISTÓRICO]]&amp;"|"),("|M350|"&amp;LEFT(C100,FIND("-",C100)-1)&amp;"|"&amp;RIGHT(C100,LEN(C100)-FIND("-",C100))&amp;"|"&amp;LEFT(D100,1)&amp;"|"&amp;LEFT(B100,1)&amp;"|"&amp;Tabela_BaseM[[#This Row],[Valor]]&amp;"|"&amp;Tabela_BaseM[[#This Row],[HISTÓRICO]]&amp;"|"))</f>
        <v>|M300|6|Provis es ou perdas estimadas n o dedut veis|A|3|154485,92|Provisoes no período|</v>
      </c>
    </row>
    <row r="101" spans="1:17" x14ac:dyDescent="0.25">
      <c r="A101" t="s">
        <v>21</v>
      </c>
      <c r="B101" t="s">
        <v>22</v>
      </c>
      <c r="C101" t="s">
        <v>44</v>
      </c>
      <c r="D101" t="s">
        <v>425</v>
      </c>
      <c r="E101" t="s">
        <v>1095</v>
      </c>
      <c r="F101">
        <v>3211305</v>
      </c>
      <c r="G101" t="s">
        <v>1011</v>
      </c>
      <c r="J101" s="11">
        <v>45382</v>
      </c>
      <c r="K101">
        <v>5763.2000000000044</v>
      </c>
      <c r="L101" t="str">
        <f>IF(A101="IRPJ",IF(LEFT(B101,1)="1","|M305|",IF(LEFT(B101,1)="2","|M310|",IF(AND(LEFT(B101,1)="3",Tabela_BaseM[[#This Row],[CONTA PARTE B]]&lt;&gt;""),"|M305|",IF(LEFT(B101,1)="4","|M312|","")))),      IF(LEFT(B101,1)="1","|M355|",IF(LEFT(B101,1)="2","|M360|",IF(AND(LEFT(B101,1)="3",Tabela_BaseM[[#This Row],[CONTA PARTE B]]&lt;&gt;""),"|M355|",IF(LEFT(B101,1)="4","|M362|","")))))</f>
        <v>|M310|</v>
      </c>
      <c r="M101" t="str">
        <f>IF(LEFT(Tabela_BaseM[[#This Row],[TIPO RELACIONAMENTO]],1)="3",(IF(A101="IRPJ",IF(LEFT(B101,1)="1","|M305|",IF(LEFT(B101,1)="2","|M310|",IF(LEFT(B101,1)="3","|M310|",IF(LEFT(B101,1)="4","|M312|","")))),IF(LEFT(B101,1)="1","|M355|",IF(LEFT(B101,1)="2","|M360|",IF(LEFT(B101,1)="3","|M360|",IF(LEFT(B101,1)="4","|M362|","")))))),"")</f>
        <v/>
      </c>
      <c r="N10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|M310|3211305||5763,2|D|</v>
      </c>
      <c r="O10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1" t="str">
        <f>IF(A101="IRPJ",("|M300|"&amp;LEFT(C101,FIND("-",C101)-1)&amp;"|"&amp;RIGHT(C101,LEN(C101)-FIND("-",C101))&amp;"|"&amp;LEFT(D101,1)&amp;"|"&amp;LEFT(B101,1)&amp;"|"&amp;Tabela_BaseM[[#This Row],[Valor]]&amp;"|"&amp;Tabela_BaseM[[#This Row],[HISTÓRICO]]&amp;"|"),("|M350|"&amp;LEFT(C101,FIND("-",C101)-1)&amp;"|"&amp;RIGHT(C101,LEN(C101)-FIND("-",C101))&amp;"|"&amp;LEFT(D101,1)&amp;"|"&amp;LEFT(B101,1)&amp;"|"&amp;Tabela_BaseM[[#This Row],[Valor]]&amp;"|"&amp;Tabela_BaseM[[#This Row],[HISTÓRICO]]&amp;"|"))</f>
        <v>|M300|8.13|Doa  es a entidades civis - parcelas n o dedut veis|A|2|5763,2|Contribuicoes a associacoes no periodo|</v>
      </c>
    </row>
    <row r="102" spans="1:17" x14ac:dyDescent="0.25">
      <c r="A102" t="s">
        <v>21</v>
      </c>
      <c r="B102" t="s">
        <v>22</v>
      </c>
      <c r="C102" t="s">
        <v>44</v>
      </c>
      <c r="D102" t="s">
        <v>425</v>
      </c>
      <c r="E102" t="s">
        <v>1095</v>
      </c>
      <c r="F102">
        <v>3211304</v>
      </c>
      <c r="G102" t="s">
        <v>1009</v>
      </c>
      <c r="J102" s="11">
        <v>45382</v>
      </c>
      <c r="K102">
        <v>1277.0999999999999</v>
      </c>
      <c r="L102" t="str">
        <f>IF(A102="IRPJ",IF(LEFT(B102,1)="1","|M305|",IF(LEFT(B102,1)="2","|M310|",IF(AND(LEFT(B102,1)="3",Tabela_BaseM[[#This Row],[CONTA PARTE B]]&lt;&gt;""),"|M305|",IF(LEFT(B102,1)="4","|M312|","")))),      IF(LEFT(B102,1)="1","|M355|",IF(LEFT(B102,1)="2","|M360|",IF(AND(LEFT(B102,1)="3",Tabela_BaseM[[#This Row],[CONTA PARTE B]]&lt;&gt;""),"|M355|",IF(LEFT(B102,1)="4","|M362|","")))))</f>
        <v>|M310|</v>
      </c>
      <c r="M102" t="str">
        <f>IF(LEFT(Tabela_BaseM[[#This Row],[TIPO RELACIONAMENTO]],1)="3",(IF(A102="IRPJ",IF(LEFT(B102,1)="1","|M305|",IF(LEFT(B102,1)="2","|M310|",IF(LEFT(B102,1)="3","|M310|",IF(LEFT(B102,1)="4","|M312|","")))),IF(LEFT(B102,1)="1","|M355|",IF(LEFT(B102,1)="2","|M360|",IF(LEFT(B102,1)="3","|M360|",IF(LEFT(B102,1)="4","|M362|","")))))),"")</f>
        <v/>
      </c>
      <c r="N10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|M310|3211304||1277,1|D|</v>
      </c>
      <c r="O10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2" t="str">
        <f>IF(A102="IRPJ",("|M300|"&amp;LEFT(C102,FIND("-",C102)-1)&amp;"|"&amp;RIGHT(C102,LEN(C102)-FIND("-",C102))&amp;"|"&amp;LEFT(D102,1)&amp;"|"&amp;LEFT(B102,1)&amp;"|"&amp;Tabela_BaseM[[#This Row],[Valor]]&amp;"|"&amp;Tabela_BaseM[[#This Row],[HISTÓRICO]]&amp;"|"),("|M350|"&amp;LEFT(C102,FIND("-",C102)-1)&amp;"|"&amp;RIGHT(C102,LEN(C102)-FIND("-",C102))&amp;"|"&amp;LEFT(D102,1)&amp;"|"&amp;LEFT(B102,1)&amp;"|"&amp;Tabela_BaseM[[#This Row],[Valor]]&amp;"|"&amp;Tabela_BaseM[[#This Row],[HISTÓRICO]]&amp;"|"))</f>
        <v>|M300|8.13|Doa  es a entidades civis - parcelas n o dedut veis|A|2|1277,1|Contribuicoes a associacoes no periodo|</v>
      </c>
    </row>
    <row r="103" spans="1:17" x14ac:dyDescent="0.25">
      <c r="A103" t="s">
        <v>21</v>
      </c>
      <c r="B103" t="s">
        <v>22</v>
      </c>
      <c r="C103" t="s">
        <v>56</v>
      </c>
      <c r="D103" t="s">
        <v>425</v>
      </c>
      <c r="E103" t="s">
        <v>1022</v>
      </c>
      <c r="F103">
        <v>3230106</v>
      </c>
      <c r="G103" t="s">
        <v>1021</v>
      </c>
      <c r="J103" s="11">
        <v>45382</v>
      </c>
      <c r="K103">
        <v>59345.13</v>
      </c>
      <c r="L103" t="str">
        <f>IF(A103="IRPJ",IF(LEFT(B103,1)="1","|M305|",IF(LEFT(B103,1)="2","|M310|",IF(AND(LEFT(B103,1)="3",Tabela_BaseM[[#This Row],[CONTA PARTE B]]&lt;&gt;""),"|M305|",IF(LEFT(B103,1)="4","|M312|","")))),      IF(LEFT(B103,1)="1","|M355|",IF(LEFT(B103,1)="2","|M360|",IF(AND(LEFT(B103,1)="3",Tabela_BaseM[[#This Row],[CONTA PARTE B]]&lt;&gt;""),"|M355|",IF(LEFT(B103,1)="4","|M362|","")))))</f>
        <v>|M310|</v>
      </c>
      <c r="M103" t="str">
        <f>IF(LEFT(Tabela_BaseM[[#This Row],[TIPO RELACIONAMENTO]],1)="3",(IF(A103="IRPJ",IF(LEFT(B103,1)="1","|M305|",IF(LEFT(B103,1)="2","|M310|",IF(LEFT(B103,1)="3","|M310|",IF(LEFT(B103,1)="4","|M312|","")))),IF(LEFT(B103,1)="1","|M355|",IF(LEFT(B103,1)="2","|M360|",IF(LEFT(B103,1)="3","|M360|",IF(LEFT(B103,1)="4","|M362|","")))))),"")</f>
        <v/>
      </c>
      <c r="N10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|M310|3230106||59345,13|D|</v>
      </c>
      <c r="O10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3" t="str">
        <f>IF(A103="IRPJ",("|M300|"&amp;LEFT(C103,FIND("-",C103)-1)&amp;"|"&amp;RIGHT(C103,LEN(C103)-FIND("-",C103))&amp;"|"&amp;LEFT(D103,1)&amp;"|"&amp;LEFT(B103,1)&amp;"|"&amp;Tabela_BaseM[[#This Row],[Valor]]&amp;"|"&amp;Tabela_BaseM[[#This Row],[HISTÓRICO]]&amp;"|"),("|M350|"&amp;LEFT(C103,FIND("-",C103)-1)&amp;"|"&amp;RIGHT(C103,LEN(C103)-FIND("-",C103))&amp;"|"&amp;LEFT(D103,1)&amp;"|"&amp;LEFT(B103,1)&amp;"|"&amp;Tabela_BaseM[[#This Row],[Valor]]&amp;"|"&amp;Tabela_BaseM[[#This Row],[HISTÓRICO]]&amp;"|"))</f>
        <v>|M300|8.60|Multas por infra  es fiscais|A|2|59345,13|Multas por infracoes fiscais no periodo|</v>
      </c>
    </row>
    <row r="104" spans="1:17" x14ac:dyDescent="0.25">
      <c r="A104" t="s">
        <v>21</v>
      </c>
      <c r="B104" t="s">
        <v>22</v>
      </c>
      <c r="C104" t="s">
        <v>56</v>
      </c>
      <c r="D104" t="s">
        <v>425</v>
      </c>
      <c r="E104" t="s">
        <v>1022</v>
      </c>
      <c r="F104">
        <v>3230108</v>
      </c>
      <c r="G104" t="s">
        <v>1019</v>
      </c>
      <c r="J104" s="11">
        <v>45382</v>
      </c>
      <c r="K104">
        <v>30067.75</v>
      </c>
      <c r="L104" t="str">
        <f>IF(A104="IRPJ",IF(LEFT(B104,1)="1","|M305|",IF(LEFT(B104,1)="2","|M310|",IF(AND(LEFT(B104,1)="3",Tabela_BaseM[[#This Row],[CONTA PARTE B]]&lt;&gt;""),"|M305|",IF(LEFT(B104,1)="4","|M312|","")))),      IF(LEFT(B104,1)="1","|M355|",IF(LEFT(B104,1)="2","|M360|",IF(AND(LEFT(B104,1)="3",Tabela_BaseM[[#This Row],[CONTA PARTE B]]&lt;&gt;""),"|M355|",IF(LEFT(B104,1)="4","|M362|","")))))</f>
        <v>|M310|</v>
      </c>
      <c r="M104" t="str">
        <f>IF(LEFT(Tabela_BaseM[[#This Row],[TIPO RELACIONAMENTO]],1)="3",(IF(A104="IRPJ",IF(LEFT(B104,1)="1","|M305|",IF(LEFT(B104,1)="2","|M310|",IF(LEFT(B104,1)="3","|M310|",IF(LEFT(B104,1)="4","|M312|","")))),IF(LEFT(B104,1)="1","|M355|",IF(LEFT(B104,1)="2","|M360|",IF(LEFT(B104,1)="3","|M360|",IF(LEFT(B104,1)="4","|M362|","")))))),"")</f>
        <v/>
      </c>
      <c r="N10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|M310|3230108||30067,75|D|</v>
      </c>
      <c r="O10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4" t="str">
        <f>IF(A104="IRPJ",("|M300|"&amp;LEFT(C104,FIND("-",C104)-1)&amp;"|"&amp;RIGHT(C104,LEN(C104)-FIND("-",C104))&amp;"|"&amp;LEFT(D104,1)&amp;"|"&amp;LEFT(B104,1)&amp;"|"&amp;Tabela_BaseM[[#This Row],[Valor]]&amp;"|"&amp;Tabela_BaseM[[#This Row],[HISTÓRICO]]&amp;"|"),("|M350|"&amp;LEFT(C104,FIND("-",C104)-1)&amp;"|"&amp;RIGHT(C104,LEN(C104)-FIND("-",C104))&amp;"|"&amp;LEFT(D104,1)&amp;"|"&amp;LEFT(B104,1)&amp;"|"&amp;Tabela_BaseM[[#This Row],[Valor]]&amp;"|"&amp;Tabela_BaseM[[#This Row],[HISTÓRICO]]&amp;"|"))</f>
        <v>|M300|8.60|Multas por infra  es fiscais|A|2|30067,75|Multas por infracoes fiscais no periodo|</v>
      </c>
    </row>
    <row r="105" spans="1:17" x14ac:dyDescent="0.25">
      <c r="A105" t="s">
        <v>21</v>
      </c>
      <c r="B105" t="s">
        <v>22</v>
      </c>
      <c r="C105" t="s">
        <v>27</v>
      </c>
      <c r="D105" t="s">
        <v>425</v>
      </c>
      <c r="E105" t="s">
        <v>526</v>
      </c>
      <c r="F105">
        <v>3211505</v>
      </c>
      <c r="G105" t="s">
        <v>1024</v>
      </c>
      <c r="J105" s="11">
        <v>45382</v>
      </c>
      <c r="K105">
        <v>32666.309999999998</v>
      </c>
      <c r="L105" t="str">
        <f>IF(A105="IRPJ",IF(LEFT(B105,1)="1","|M305|",IF(LEFT(B105,1)="2","|M310|",IF(AND(LEFT(B105,1)="3",Tabela_BaseM[[#This Row],[CONTA PARTE B]]&lt;&gt;""),"|M305|",IF(LEFT(B105,1)="4","|M312|","")))),      IF(LEFT(B105,1)="1","|M355|",IF(LEFT(B105,1)="2","|M360|",IF(AND(LEFT(B105,1)="3",Tabela_BaseM[[#This Row],[CONTA PARTE B]]&lt;&gt;""),"|M355|",IF(LEFT(B105,1)="4","|M362|","")))))</f>
        <v>|M310|</v>
      </c>
      <c r="M105" t="str">
        <f>IF(LEFT(Tabela_BaseM[[#This Row],[TIPO RELACIONAMENTO]],1)="3",(IF(A105="IRPJ",IF(LEFT(B105,1)="1","|M305|",IF(LEFT(B105,1)="2","|M310|",IF(LEFT(B105,1)="3","|M310|",IF(LEFT(B105,1)="4","|M312|","")))),IF(LEFT(B105,1)="1","|M355|",IF(LEFT(B105,1)="2","|M360|",IF(LEFT(B105,1)="3","|M360|",IF(LEFT(B105,1)="4","|M362|","")))))),"")</f>
        <v/>
      </c>
      <c r="N10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|M310|3211505||32666,31|D|</v>
      </c>
      <c r="O10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5" t="str">
        <f>IF(A105="IRPJ",("|M300|"&amp;LEFT(C105,FIND("-",C105)-1)&amp;"|"&amp;RIGHT(C105,LEN(C105)-FIND("-",C105))&amp;"|"&amp;LEFT(D105,1)&amp;"|"&amp;LEFT(B105,1)&amp;"|"&amp;Tabela_BaseM[[#This Row],[Valor]]&amp;"|"&amp;Tabela_BaseM[[#This Row],[HISTÓRICO]]&amp;"|"),("|M350|"&amp;LEFT(C105,FIND("-",C105)-1)&amp;"|"&amp;RIGHT(C105,LEN(C105)-FIND("-",C105))&amp;"|"&amp;LEFT(D105,1)&amp;"|"&amp;LEFT(B105,1)&amp;"|"&amp;Tabela_BaseM[[#This Row],[Valor]]&amp;"|"&amp;Tabela_BaseM[[#This Row],[HISTÓRICO]]&amp;"|"))</f>
        <v>|M300|8.75|Remunera  o de s cios|A|2|32666,31|Remuneracoes a socios|</v>
      </c>
    </row>
    <row r="106" spans="1:17" x14ac:dyDescent="0.25">
      <c r="A106" t="s">
        <v>21</v>
      </c>
      <c r="B106" t="s">
        <v>22</v>
      </c>
      <c r="C106" t="s">
        <v>23</v>
      </c>
      <c r="D106" t="s">
        <v>425</v>
      </c>
      <c r="E106" t="s">
        <v>527</v>
      </c>
      <c r="F106">
        <v>3211005</v>
      </c>
      <c r="G106" t="s">
        <v>24</v>
      </c>
      <c r="J106" s="11">
        <v>45382</v>
      </c>
      <c r="K106">
        <v>11952.380000000001</v>
      </c>
      <c r="L106" t="str">
        <f>IF(A106="IRPJ",IF(LEFT(B106,1)="1","|M305|",IF(LEFT(B106,1)="2","|M310|",IF(AND(LEFT(B106,1)="3",Tabela_BaseM[[#This Row],[CONTA PARTE B]]&lt;&gt;""),"|M305|",IF(LEFT(B106,1)="4","|M312|","")))),      IF(LEFT(B106,1)="1","|M355|",IF(LEFT(B106,1)="2","|M360|",IF(AND(LEFT(B106,1)="3",Tabela_BaseM[[#This Row],[CONTA PARTE B]]&lt;&gt;""),"|M355|",IF(LEFT(B106,1)="4","|M362|","")))))</f>
        <v>|M310|</v>
      </c>
      <c r="M106" t="str">
        <f>IF(LEFT(Tabela_BaseM[[#This Row],[TIPO RELACIONAMENTO]],1)="3",(IF(A106="IRPJ",IF(LEFT(B106,1)="1","|M305|",IF(LEFT(B106,1)="2","|M310|",IF(LEFT(B106,1)="3","|M310|",IF(LEFT(B106,1)="4","|M312|","")))),IF(LEFT(B106,1)="1","|M355|",IF(LEFT(B106,1)="2","|M360|",IF(LEFT(B106,1)="3","|M360|",IF(LEFT(B106,1)="4","|M362|","")))))),"")</f>
        <v/>
      </c>
      <c r="N10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|M310|3211005||11952,38|D|</v>
      </c>
      <c r="O10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6" t="str">
        <f>IF(A106="IRPJ",("|M300|"&amp;LEFT(C106,FIND("-",C106)-1)&amp;"|"&amp;RIGHT(C106,LEN(C106)-FIND("-",C106))&amp;"|"&amp;LEFT(D106,1)&amp;"|"&amp;LEFT(B106,1)&amp;"|"&amp;Tabela_BaseM[[#This Row],[Valor]]&amp;"|"&amp;Tabela_BaseM[[#This Row],[HISTÓRICO]]&amp;"|"),("|M350|"&amp;LEFT(C106,FIND("-",C106)-1)&amp;"|"&amp;RIGHT(C106,LEN(C106)-FIND("-",C106))&amp;"|"&amp;LEFT(D106,1)&amp;"|"&amp;LEFT(B106,1)&amp;"|"&amp;Tabela_BaseM[[#This Row],[Valor]]&amp;"|"&amp;Tabela_BaseM[[#This Row],[HISTÓRICO]]&amp;"|"))</f>
        <v>|M300|8|Despesas n o necess rias|A|2|11952,38|Despesas nao dedutiveis no periodo|</v>
      </c>
    </row>
    <row r="107" spans="1:17" x14ac:dyDescent="0.25">
      <c r="A107" t="s">
        <v>21</v>
      </c>
      <c r="B107" t="s">
        <v>22</v>
      </c>
      <c r="C107" t="s">
        <v>23</v>
      </c>
      <c r="D107" t="s">
        <v>425</v>
      </c>
      <c r="E107" t="s">
        <v>527</v>
      </c>
      <c r="F107">
        <v>3150106</v>
      </c>
      <c r="G107" t="s">
        <v>1015</v>
      </c>
      <c r="J107" s="11">
        <v>45382</v>
      </c>
      <c r="K107">
        <v>25721.760000000009</v>
      </c>
      <c r="L107" t="str">
        <f>IF(A107="IRPJ",IF(LEFT(B107,1)="1","|M305|",IF(LEFT(B107,1)="2","|M310|",IF(AND(LEFT(B107,1)="3",Tabela_BaseM[[#This Row],[CONTA PARTE B]]&lt;&gt;""),"|M305|",IF(LEFT(B107,1)="4","|M312|","")))),      IF(LEFT(B107,1)="1","|M355|",IF(LEFT(B107,1)="2","|M360|",IF(AND(LEFT(B107,1)="3",Tabela_BaseM[[#This Row],[CONTA PARTE B]]&lt;&gt;""),"|M355|",IF(LEFT(B107,1)="4","|M362|","")))))</f>
        <v>|M310|</v>
      </c>
      <c r="M107" t="str">
        <f>IF(LEFT(Tabela_BaseM[[#This Row],[TIPO RELACIONAMENTO]],1)="3",(IF(A107="IRPJ",IF(LEFT(B107,1)="1","|M305|",IF(LEFT(B107,1)="2","|M310|",IF(LEFT(B107,1)="3","|M310|",IF(LEFT(B107,1)="4","|M312|","")))),IF(LEFT(B107,1)="1","|M355|",IF(LEFT(B107,1)="2","|M360|",IF(LEFT(B107,1)="3","|M360|",IF(LEFT(B107,1)="4","|M362|","")))))),"")</f>
        <v/>
      </c>
      <c r="N10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|M310|3150106||25721,76|D|</v>
      </c>
      <c r="O10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0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7" t="str">
        <f>IF(A107="IRPJ",("|M300|"&amp;LEFT(C107,FIND("-",C107)-1)&amp;"|"&amp;RIGHT(C107,LEN(C107)-FIND("-",C107))&amp;"|"&amp;LEFT(D107,1)&amp;"|"&amp;LEFT(B107,1)&amp;"|"&amp;Tabela_BaseM[[#This Row],[Valor]]&amp;"|"&amp;Tabela_BaseM[[#This Row],[HISTÓRICO]]&amp;"|"),("|M350|"&amp;LEFT(C107,FIND("-",C107)-1)&amp;"|"&amp;RIGHT(C107,LEN(C107)-FIND("-",C107))&amp;"|"&amp;LEFT(D107,1)&amp;"|"&amp;LEFT(B107,1)&amp;"|"&amp;Tabela_BaseM[[#This Row],[Valor]]&amp;"|"&amp;Tabela_BaseM[[#This Row],[HISTÓRICO]]&amp;"|"))</f>
        <v>|M300|8|Despesas n o necess rias|A|2|25721,76|Despesas nao dedutiveis no periodo|</v>
      </c>
    </row>
    <row r="108" spans="1:17" x14ac:dyDescent="0.25">
      <c r="A108" t="s">
        <v>21</v>
      </c>
      <c r="B108" t="s">
        <v>30</v>
      </c>
      <c r="C108" t="s">
        <v>32</v>
      </c>
      <c r="D108" t="s">
        <v>426</v>
      </c>
      <c r="E108" t="s">
        <v>998</v>
      </c>
      <c r="F108">
        <v>3160403</v>
      </c>
      <c r="G108" t="s">
        <v>1090</v>
      </c>
      <c r="H108">
        <v>1130604</v>
      </c>
      <c r="J108" s="11">
        <v>45382</v>
      </c>
      <c r="K108">
        <v>8392.99</v>
      </c>
      <c r="L108" t="str">
        <f>IF(A108="IRPJ",IF(LEFT(B108,1)="1","|M305|",IF(LEFT(B108,1)="2","|M310|",IF(AND(LEFT(B108,1)="3",Tabela_BaseM[[#This Row],[CONTA PARTE B]]&lt;&gt;""),"|M305|",IF(LEFT(B108,1)="4","|M312|","")))),      IF(LEFT(B108,1)="1","|M355|",IF(LEFT(B108,1)="2","|M360|",IF(AND(LEFT(B108,1)="3",Tabela_BaseM[[#This Row],[CONTA PARTE B]]&lt;&gt;""),"|M355|",IF(LEFT(B108,1)="4","|M362|","")))))</f>
        <v>|M305|</v>
      </c>
      <c r="M108" t="str">
        <f>IF(LEFT(Tabela_BaseM[[#This Row],[TIPO RELACIONAMENTO]],1)="3",(IF(A108="IRPJ",IF(LEFT(B108,1)="1","|M305|",IF(LEFT(B108,1)="2","|M310|",IF(LEFT(B108,1)="3","|M310|",IF(LEFT(B108,1)="4","|M312|","")))),IF(LEFT(B108,1)="1","|M355|",IF(LEFT(B108,1)="2","|M360|",IF(LEFT(B108,1)="3","|M360|",IF(LEFT(B108,1)="4","|M362|","")))))),"")</f>
        <v>|M310|</v>
      </c>
      <c r="N10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|M305|1130604|8392,99|C|</v>
      </c>
      <c r="O10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|M310|3160403||8392,99|C|</v>
      </c>
      <c r="P10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8" t="str">
        <f>IF(A108="IRPJ",("|M300|"&amp;LEFT(C108,FIND("-",C108)-1)&amp;"|"&amp;RIGHT(C108,LEN(C108)-FIND("-",C108))&amp;"|"&amp;LEFT(D108,1)&amp;"|"&amp;LEFT(B108,1)&amp;"|"&amp;Tabela_BaseM[[#This Row],[Valor]]&amp;"|"&amp;Tabela_BaseM[[#This Row],[HISTÓRICO]]&amp;"|"),("|M350|"&amp;LEFT(C108,FIND("-",C108)-1)&amp;"|"&amp;RIGHT(C108,LEN(C108)-FIND("-",C108))&amp;"|"&amp;LEFT(D108,1)&amp;"|"&amp;LEFT(B108,1)&amp;"|"&amp;Tabela_BaseM[[#This Row],[Valor]]&amp;"|"&amp;Tabela_BaseM[[#This Row],[HISTÓRICO]]&amp;"|"))</f>
        <v>|M300|95|(-) Revers o ou uso de provis es ou perdas estimadas n o dedut veis|E|3|8392,99|Reversao de provisoes no periodo|</v>
      </c>
    </row>
    <row r="109" spans="1:17" x14ac:dyDescent="0.25">
      <c r="A109" t="s">
        <v>21</v>
      </c>
      <c r="B109" t="s">
        <v>30</v>
      </c>
      <c r="C109" t="s">
        <v>32</v>
      </c>
      <c r="D109" t="s">
        <v>426</v>
      </c>
      <c r="E109" t="s">
        <v>998</v>
      </c>
      <c r="F109">
        <v>3150201</v>
      </c>
      <c r="G109" t="s">
        <v>1028</v>
      </c>
      <c r="H109">
        <v>2130308</v>
      </c>
      <c r="J109" s="11">
        <v>45382</v>
      </c>
      <c r="K109">
        <v>44133.86</v>
      </c>
      <c r="L109" t="str">
        <f>IF(A109="IRPJ",IF(LEFT(B109,1)="1","|M305|",IF(LEFT(B109,1)="2","|M310|",IF(AND(LEFT(B109,1)="3",Tabela_BaseM[[#This Row],[CONTA PARTE B]]&lt;&gt;""),"|M305|",IF(LEFT(B109,1)="4","|M312|","")))),      IF(LEFT(B109,1)="1","|M355|",IF(LEFT(B109,1)="2","|M360|",IF(AND(LEFT(B109,1)="3",Tabela_BaseM[[#This Row],[CONTA PARTE B]]&lt;&gt;""),"|M355|",IF(LEFT(B109,1)="4","|M362|","")))))</f>
        <v>|M305|</v>
      </c>
      <c r="M109" t="str">
        <f>IF(LEFT(Tabela_BaseM[[#This Row],[TIPO RELACIONAMENTO]],1)="3",(IF(A109="IRPJ",IF(LEFT(B109,1)="1","|M305|",IF(LEFT(B109,1)="2","|M310|",IF(LEFT(B109,1)="3","|M310|",IF(LEFT(B109,1)="4","|M312|","")))),IF(LEFT(B109,1)="1","|M355|",IF(LEFT(B109,1)="2","|M360|",IF(LEFT(B109,1)="3","|M360|",IF(LEFT(B109,1)="4","|M362|","")))))),"")</f>
        <v>|M310|</v>
      </c>
      <c r="N10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|M305|2130308|44133,86|C|</v>
      </c>
      <c r="O10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|M310|3150201||44133,86|C|</v>
      </c>
      <c r="P10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09" t="str">
        <f>IF(A109="IRPJ",("|M300|"&amp;LEFT(C109,FIND("-",C109)-1)&amp;"|"&amp;RIGHT(C109,LEN(C109)-FIND("-",C109))&amp;"|"&amp;LEFT(D109,1)&amp;"|"&amp;LEFT(B109,1)&amp;"|"&amp;Tabela_BaseM[[#This Row],[Valor]]&amp;"|"&amp;Tabela_BaseM[[#This Row],[HISTÓRICO]]&amp;"|"),("|M350|"&amp;LEFT(C109,FIND("-",C109)-1)&amp;"|"&amp;RIGHT(C109,LEN(C109)-FIND("-",C109))&amp;"|"&amp;LEFT(D109,1)&amp;"|"&amp;LEFT(B109,1)&amp;"|"&amp;Tabela_BaseM[[#This Row],[Valor]]&amp;"|"&amp;Tabela_BaseM[[#This Row],[HISTÓRICO]]&amp;"|"))</f>
        <v>|M300|95|(-) Revers o ou uso de provis es ou perdas estimadas n o dedut veis|E|3|44133,86|Reversao de provisoes no periodo|</v>
      </c>
    </row>
    <row r="110" spans="1:17" x14ac:dyDescent="0.25">
      <c r="A110" t="s">
        <v>21</v>
      </c>
      <c r="B110" t="s">
        <v>30</v>
      </c>
      <c r="C110" t="s">
        <v>32</v>
      </c>
      <c r="D110" t="s">
        <v>426</v>
      </c>
      <c r="E110" t="s">
        <v>998</v>
      </c>
      <c r="F110">
        <v>3160408</v>
      </c>
      <c r="G110" t="s">
        <v>1088</v>
      </c>
      <c r="H110">
        <v>1130608</v>
      </c>
      <c r="J110" s="11">
        <v>45382</v>
      </c>
      <c r="K110">
        <v>225582.5</v>
      </c>
      <c r="L110" t="str">
        <f>IF(A110="IRPJ",IF(LEFT(B110,1)="1","|M305|",IF(LEFT(B110,1)="2","|M310|",IF(AND(LEFT(B110,1)="3",Tabela_BaseM[[#This Row],[CONTA PARTE B]]&lt;&gt;""),"|M305|",IF(LEFT(B110,1)="4","|M312|","")))),      IF(LEFT(B110,1)="1","|M355|",IF(LEFT(B110,1)="2","|M360|",IF(AND(LEFT(B110,1)="3",Tabela_BaseM[[#This Row],[CONTA PARTE B]]&lt;&gt;""),"|M355|",IF(LEFT(B110,1)="4","|M362|","")))))</f>
        <v>|M305|</v>
      </c>
      <c r="M110" t="str">
        <f>IF(LEFT(Tabela_BaseM[[#This Row],[TIPO RELACIONAMENTO]],1)="3",(IF(A110="IRPJ",IF(LEFT(B110,1)="1","|M305|",IF(LEFT(B110,1)="2","|M310|",IF(LEFT(B110,1)="3","|M310|",IF(LEFT(B110,1)="4","|M312|","")))),IF(LEFT(B110,1)="1","|M355|",IF(LEFT(B110,1)="2","|M360|",IF(LEFT(B110,1)="3","|M360|",IF(LEFT(B110,1)="4","|M362|","")))))),"")</f>
        <v>|M310|</v>
      </c>
      <c r="N11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|M305|1130608|225582,5|C|</v>
      </c>
      <c r="O11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|M310|3160408||225582,5|C|</v>
      </c>
      <c r="P11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0" t="str">
        <f>IF(A110="IRPJ",("|M300|"&amp;LEFT(C110,FIND("-",C110)-1)&amp;"|"&amp;RIGHT(C110,LEN(C110)-FIND("-",C110))&amp;"|"&amp;LEFT(D110,1)&amp;"|"&amp;LEFT(B110,1)&amp;"|"&amp;Tabela_BaseM[[#This Row],[Valor]]&amp;"|"&amp;Tabela_BaseM[[#This Row],[HISTÓRICO]]&amp;"|"),("|M350|"&amp;LEFT(C110,FIND("-",C110)-1)&amp;"|"&amp;RIGHT(C110,LEN(C110)-FIND("-",C110))&amp;"|"&amp;LEFT(D110,1)&amp;"|"&amp;LEFT(B110,1)&amp;"|"&amp;Tabela_BaseM[[#This Row],[Valor]]&amp;"|"&amp;Tabela_BaseM[[#This Row],[HISTÓRICO]]&amp;"|"))</f>
        <v>|M300|95|(-) Revers o ou uso de provis es ou perdas estimadas n o dedut veis|E|3|225582,5|Reversao de provisoes no periodo|</v>
      </c>
    </row>
    <row r="111" spans="1:17" x14ac:dyDescent="0.25">
      <c r="A111" t="s">
        <v>21</v>
      </c>
      <c r="B111" t="s">
        <v>30</v>
      </c>
      <c r="C111" t="s">
        <v>32</v>
      </c>
      <c r="D111" t="s">
        <v>426</v>
      </c>
      <c r="E111" t="s">
        <v>998</v>
      </c>
      <c r="F111">
        <v>3211607</v>
      </c>
      <c r="G111" t="s">
        <v>1094</v>
      </c>
      <c r="H111">
        <v>2130307</v>
      </c>
      <c r="J111" s="11">
        <v>45382</v>
      </c>
      <c r="K111">
        <v>151934.1</v>
      </c>
      <c r="L111" t="str">
        <f>IF(A111="IRPJ",IF(LEFT(B111,1)="1","|M305|",IF(LEFT(B111,1)="2","|M310|",IF(AND(LEFT(B111,1)="3",Tabela_BaseM[[#This Row],[CONTA PARTE B]]&lt;&gt;""),"|M305|",IF(LEFT(B111,1)="4","|M312|","")))),      IF(LEFT(B111,1)="1","|M355|",IF(LEFT(B111,1)="2","|M360|",IF(AND(LEFT(B111,1)="3",Tabela_BaseM[[#This Row],[CONTA PARTE B]]&lt;&gt;""),"|M355|",IF(LEFT(B111,1)="4","|M362|","")))))</f>
        <v>|M305|</v>
      </c>
      <c r="M111" t="str">
        <f>IF(LEFT(Tabela_BaseM[[#This Row],[TIPO RELACIONAMENTO]],1)="3",(IF(A111="IRPJ",IF(LEFT(B111,1)="1","|M305|",IF(LEFT(B111,1)="2","|M310|",IF(LEFT(B111,1)="3","|M310|",IF(LEFT(B111,1)="4","|M312|","")))),IF(LEFT(B111,1)="1","|M355|",IF(LEFT(B111,1)="2","|M360|",IF(LEFT(B111,1)="3","|M360|",IF(LEFT(B111,1)="4","|M362|","")))))),"")</f>
        <v>|M310|</v>
      </c>
      <c r="N11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|M305|2130307|151934,1|C|</v>
      </c>
      <c r="O11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|M310|3211607||151934,1|C|</v>
      </c>
      <c r="P11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1" t="str">
        <f>IF(A111="IRPJ",("|M300|"&amp;LEFT(C111,FIND("-",C111)-1)&amp;"|"&amp;RIGHT(C111,LEN(C111)-FIND("-",C111))&amp;"|"&amp;LEFT(D111,1)&amp;"|"&amp;LEFT(B111,1)&amp;"|"&amp;Tabela_BaseM[[#This Row],[Valor]]&amp;"|"&amp;Tabela_BaseM[[#This Row],[HISTÓRICO]]&amp;"|"),("|M350|"&amp;LEFT(C111,FIND("-",C111)-1)&amp;"|"&amp;RIGHT(C111,LEN(C111)-FIND("-",C111))&amp;"|"&amp;LEFT(D111,1)&amp;"|"&amp;LEFT(B111,1)&amp;"|"&amp;Tabela_BaseM[[#This Row],[Valor]]&amp;"|"&amp;Tabela_BaseM[[#This Row],[HISTÓRICO]]&amp;"|"))</f>
        <v>|M300|95|(-) Revers o ou uso de provis es ou perdas estimadas n o dedut veis|E|3|151934,1|Reversao de provisoes no periodo|</v>
      </c>
    </row>
    <row r="112" spans="1:17" x14ac:dyDescent="0.25">
      <c r="A112" t="s">
        <v>21</v>
      </c>
      <c r="B112" t="s">
        <v>30</v>
      </c>
      <c r="C112" t="s">
        <v>32</v>
      </c>
      <c r="D112" t="s">
        <v>426</v>
      </c>
      <c r="E112" t="s">
        <v>998</v>
      </c>
      <c r="F112">
        <v>3211606</v>
      </c>
      <c r="G112" t="s">
        <v>1093</v>
      </c>
      <c r="H112">
        <v>2130307</v>
      </c>
      <c r="J112" s="11">
        <v>45382</v>
      </c>
      <c r="K112">
        <v>628602.18999999994</v>
      </c>
      <c r="L112" t="str">
        <f>IF(A112="IRPJ",IF(LEFT(B112,1)="1","|M305|",IF(LEFT(B112,1)="2","|M310|",IF(AND(LEFT(B112,1)="3",Tabela_BaseM[[#This Row],[CONTA PARTE B]]&lt;&gt;""),"|M305|",IF(LEFT(B112,1)="4","|M312|","")))),      IF(LEFT(B112,1)="1","|M355|",IF(LEFT(B112,1)="2","|M360|",IF(AND(LEFT(B112,1)="3",Tabela_BaseM[[#This Row],[CONTA PARTE B]]&lt;&gt;""),"|M355|",IF(LEFT(B112,1)="4","|M362|","")))))</f>
        <v>|M305|</v>
      </c>
      <c r="M112" t="str">
        <f>IF(LEFT(Tabela_BaseM[[#This Row],[TIPO RELACIONAMENTO]],1)="3",(IF(A112="IRPJ",IF(LEFT(B112,1)="1","|M305|",IF(LEFT(B112,1)="2","|M310|",IF(LEFT(B112,1)="3","|M310|",IF(LEFT(B112,1)="4","|M312|","")))),IF(LEFT(B112,1)="1","|M355|",IF(LEFT(B112,1)="2","|M360|",IF(LEFT(B112,1)="3","|M360|",IF(LEFT(B112,1)="4","|M362|","")))))),"")</f>
        <v>|M310|</v>
      </c>
      <c r="N11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|M305|2130307|628602,19|C|</v>
      </c>
      <c r="O11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|M310|3211606||628602,19|C|</v>
      </c>
      <c r="P11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2" t="str">
        <f>IF(A112="IRPJ",("|M300|"&amp;LEFT(C112,FIND("-",C112)-1)&amp;"|"&amp;RIGHT(C112,LEN(C112)-FIND("-",C112))&amp;"|"&amp;LEFT(D112,1)&amp;"|"&amp;LEFT(B112,1)&amp;"|"&amp;Tabela_BaseM[[#This Row],[Valor]]&amp;"|"&amp;Tabela_BaseM[[#This Row],[HISTÓRICO]]&amp;"|"),("|M350|"&amp;LEFT(C112,FIND("-",C112)-1)&amp;"|"&amp;RIGHT(C112,LEN(C112)-FIND("-",C112))&amp;"|"&amp;LEFT(D112,1)&amp;"|"&amp;LEFT(B112,1)&amp;"|"&amp;Tabela_BaseM[[#This Row],[Valor]]&amp;"|"&amp;Tabela_BaseM[[#This Row],[HISTÓRICO]]&amp;"|"))</f>
        <v>|M300|95|(-) Revers o ou uso de provis es ou perdas estimadas n o dedut veis|E|3|628602,19|Reversao de provisoes no periodo|</v>
      </c>
    </row>
    <row r="113" spans="1:17" x14ac:dyDescent="0.25">
      <c r="A113" t="s">
        <v>21</v>
      </c>
      <c r="B113" t="s">
        <v>30</v>
      </c>
      <c r="C113" t="s">
        <v>32</v>
      </c>
      <c r="D113" t="s">
        <v>426</v>
      </c>
      <c r="E113" t="s">
        <v>998</v>
      </c>
      <c r="F113">
        <v>3160405</v>
      </c>
      <c r="G113" t="s">
        <v>1092</v>
      </c>
      <c r="H113">
        <v>1130602</v>
      </c>
      <c r="J113" s="11">
        <v>45382</v>
      </c>
      <c r="K113">
        <v>644521.43000000005</v>
      </c>
      <c r="L113" t="str">
        <f>IF(A113="IRPJ",IF(LEFT(B113,1)="1","|M305|",IF(LEFT(B113,1)="2","|M310|",IF(AND(LEFT(B113,1)="3",Tabela_BaseM[[#This Row],[CONTA PARTE B]]&lt;&gt;""),"|M305|",IF(LEFT(B113,1)="4","|M312|","")))),      IF(LEFT(B113,1)="1","|M355|",IF(LEFT(B113,1)="2","|M360|",IF(AND(LEFT(B113,1)="3",Tabela_BaseM[[#This Row],[CONTA PARTE B]]&lt;&gt;""),"|M355|",IF(LEFT(B113,1)="4","|M362|","")))))</f>
        <v>|M305|</v>
      </c>
      <c r="M113" t="str">
        <f>IF(LEFT(Tabela_BaseM[[#This Row],[TIPO RELACIONAMENTO]],1)="3",(IF(A113="IRPJ",IF(LEFT(B113,1)="1","|M305|",IF(LEFT(B113,1)="2","|M310|",IF(LEFT(B113,1)="3","|M310|",IF(LEFT(B113,1)="4","|M312|","")))),IF(LEFT(B113,1)="1","|M355|",IF(LEFT(B113,1)="2","|M360|",IF(LEFT(B113,1)="3","|M360|",IF(LEFT(B113,1)="4","|M362|","")))))),"")</f>
        <v>|M310|</v>
      </c>
      <c r="N11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|M305|1130602|644521,43|C|</v>
      </c>
      <c r="O11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|M310|3160405||644521,43|C|</v>
      </c>
      <c r="P11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3" t="str">
        <f>IF(A113="IRPJ",("|M300|"&amp;LEFT(C113,FIND("-",C113)-1)&amp;"|"&amp;RIGHT(C113,LEN(C113)-FIND("-",C113))&amp;"|"&amp;LEFT(D113,1)&amp;"|"&amp;LEFT(B113,1)&amp;"|"&amp;Tabela_BaseM[[#This Row],[Valor]]&amp;"|"&amp;Tabela_BaseM[[#This Row],[HISTÓRICO]]&amp;"|"),("|M350|"&amp;LEFT(C113,FIND("-",C113)-1)&amp;"|"&amp;RIGHT(C113,LEN(C113)-FIND("-",C113))&amp;"|"&amp;LEFT(D113,1)&amp;"|"&amp;LEFT(B113,1)&amp;"|"&amp;Tabela_BaseM[[#This Row],[Valor]]&amp;"|"&amp;Tabela_BaseM[[#This Row],[HISTÓRICO]]&amp;"|"))</f>
        <v>|M300|95|(-) Revers o ou uso de provis es ou perdas estimadas n o dedut veis|E|3|644521,43|Reversao de provisoes no periodo|</v>
      </c>
    </row>
    <row r="114" spans="1:17" x14ac:dyDescent="0.25">
      <c r="A114" t="s">
        <v>21</v>
      </c>
      <c r="B114" t="s">
        <v>30</v>
      </c>
      <c r="C114" t="s">
        <v>32</v>
      </c>
      <c r="D114" t="s">
        <v>426</v>
      </c>
      <c r="E114" t="s">
        <v>998</v>
      </c>
      <c r="F114">
        <v>3160401</v>
      </c>
      <c r="G114" t="s">
        <v>1087</v>
      </c>
      <c r="H114">
        <v>1130601</v>
      </c>
      <c r="J114" s="11">
        <v>45382</v>
      </c>
      <c r="K114">
        <v>99923.6</v>
      </c>
      <c r="L114" t="str">
        <f>IF(A114="IRPJ",IF(LEFT(B114,1)="1","|M305|",IF(LEFT(B114,1)="2","|M310|",IF(AND(LEFT(B114,1)="3",Tabela_BaseM[[#This Row],[CONTA PARTE B]]&lt;&gt;""),"|M305|",IF(LEFT(B114,1)="4","|M312|","")))),      IF(LEFT(B114,1)="1","|M355|",IF(LEFT(B114,1)="2","|M360|",IF(AND(LEFT(B114,1)="3",Tabela_BaseM[[#This Row],[CONTA PARTE B]]&lt;&gt;""),"|M355|",IF(LEFT(B114,1)="4","|M362|","")))))</f>
        <v>|M305|</v>
      </c>
      <c r="M114" t="str">
        <f>IF(LEFT(Tabela_BaseM[[#This Row],[TIPO RELACIONAMENTO]],1)="3",(IF(A114="IRPJ",IF(LEFT(B114,1)="1","|M305|",IF(LEFT(B114,1)="2","|M310|",IF(LEFT(B114,1)="3","|M310|",IF(LEFT(B114,1)="4","|M312|","")))),IF(LEFT(B114,1)="1","|M355|",IF(LEFT(B114,1)="2","|M360|",IF(LEFT(B114,1)="3","|M360|",IF(LEFT(B114,1)="4","|M362|","")))))),"")</f>
        <v>|M310|</v>
      </c>
      <c r="N11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|M305|1130601|99923,6|C|</v>
      </c>
      <c r="O11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|M310|3160401||99923,6|C|</v>
      </c>
      <c r="P11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4" t="str">
        <f>IF(A114="IRPJ",("|M300|"&amp;LEFT(C114,FIND("-",C114)-1)&amp;"|"&amp;RIGHT(C114,LEN(C114)-FIND("-",C114))&amp;"|"&amp;LEFT(D114,1)&amp;"|"&amp;LEFT(B114,1)&amp;"|"&amp;Tabela_BaseM[[#This Row],[Valor]]&amp;"|"&amp;Tabela_BaseM[[#This Row],[HISTÓRICO]]&amp;"|"),("|M350|"&amp;LEFT(C114,FIND("-",C114)-1)&amp;"|"&amp;RIGHT(C114,LEN(C114)-FIND("-",C114))&amp;"|"&amp;LEFT(D114,1)&amp;"|"&amp;LEFT(B114,1)&amp;"|"&amp;Tabela_BaseM[[#This Row],[Valor]]&amp;"|"&amp;Tabela_BaseM[[#This Row],[HISTÓRICO]]&amp;"|"))</f>
        <v>|M300|95|(-) Revers o ou uso de provis es ou perdas estimadas n o dedut veis|E|3|99923,6|Reversao de provisoes no periodo|</v>
      </c>
    </row>
    <row r="115" spans="1:17" x14ac:dyDescent="0.25">
      <c r="A115" t="s">
        <v>21</v>
      </c>
      <c r="B115" t="s">
        <v>30</v>
      </c>
      <c r="C115" t="s">
        <v>32</v>
      </c>
      <c r="D115" t="s">
        <v>426</v>
      </c>
      <c r="E115" t="s">
        <v>998</v>
      </c>
      <c r="F115">
        <v>3211603</v>
      </c>
      <c r="G115" t="s">
        <v>1063</v>
      </c>
      <c r="H115">
        <v>2130307</v>
      </c>
      <c r="J115" s="11">
        <v>45382</v>
      </c>
      <c r="K115">
        <v>953179.63</v>
      </c>
      <c r="L115" t="str">
        <f>IF(A115="IRPJ",IF(LEFT(B115,1)="1","|M305|",IF(LEFT(B115,1)="2","|M310|",IF(AND(LEFT(B115,1)="3",Tabela_BaseM[[#This Row],[CONTA PARTE B]]&lt;&gt;""),"|M305|",IF(LEFT(B115,1)="4","|M312|","")))),      IF(LEFT(B115,1)="1","|M355|",IF(LEFT(B115,1)="2","|M360|",IF(AND(LEFT(B115,1)="3",Tabela_BaseM[[#This Row],[CONTA PARTE B]]&lt;&gt;""),"|M355|",IF(LEFT(B115,1)="4","|M362|","")))))</f>
        <v>|M305|</v>
      </c>
      <c r="M115" t="str">
        <f>IF(LEFT(Tabela_BaseM[[#This Row],[TIPO RELACIONAMENTO]],1)="3",(IF(A115="IRPJ",IF(LEFT(B115,1)="1","|M305|",IF(LEFT(B115,1)="2","|M310|",IF(LEFT(B115,1)="3","|M310|",IF(LEFT(B115,1)="4","|M312|","")))),IF(LEFT(B115,1)="1","|M355|",IF(LEFT(B115,1)="2","|M360|",IF(LEFT(B115,1)="3","|M360|",IF(LEFT(B115,1)="4","|M362|","")))))),"")</f>
        <v>|M310|</v>
      </c>
      <c r="N11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|M305|2130307|953179,63|C|</v>
      </c>
      <c r="O11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|M310|3211603||953179,63|C|</v>
      </c>
      <c r="P11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5" t="str">
        <f>IF(A115="IRPJ",("|M300|"&amp;LEFT(C115,FIND("-",C115)-1)&amp;"|"&amp;RIGHT(C115,LEN(C115)-FIND("-",C115))&amp;"|"&amp;LEFT(D115,1)&amp;"|"&amp;LEFT(B115,1)&amp;"|"&amp;Tabela_BaseM[[#This Row],[Valor]]&amp;"|"&amp;Tabela_BaseM[[#This Row],[HISTÓRICO]]&amp;"|"),("|M350|"&amp;LEFT(C115,FIND("-",C115)-1)&amp;"|"&amp;RIGHT(C115,LEN(C115)-FIND("-",C115))&amp;"|"&amp;LEFT(D115,1)&amp;"|"&amp;LEFT(B115,1)&amp;"|"&amp;Tabela_BaseM[[#This Row],[Valor]]&amp;"|"&amp;Tabela_BaseM[[#This Row],[HISTÓRICO]]&amp;"|"))</f>
        <v>|M300|95|(-) Revers o ou uso de provis es ou perdas estimadas n o dedut veis|E|3|953179,63|Reversao de provisoes no periodo|</v>
      </c>
    </row>
    <row r="116" spans="1:17" x14ac:dyDescent="0.25">
      <c r="A116" t="s">
        <v>21</v>
      </c>
      <c r="B116" t="s">
        <v>30</v>
      </c>
      <c r="C116" t="s">
        <v>32</v>
      </c>
      <c r="D116" t="s">
        <v>426</v>
      </c>
      <c r="E116" t="s">
        <v>998</v>
      </c>
      <c r="F116">
        <v>3211602</v>
      </c>
      <c r="G116" t="s">
        <v>1027</v>
      </c>
      <c r="H116">
        <v>21405</v>
      </c>
      <c r="J116" s="11">
        <v>45382</v>
      </c>
      <c r="K116">
        <v>35000</v>
      </c>
      <c r="L116" t="str">
        <f>IF(A116="IRPJ",IF(LEFT(B116,1)="1","|M305|",IF(LEFT(B116,1)="2","|M310|",IF(AND(LEFT(B116,1)="3",Tabela_BaseM[[#This Row],[CONTA PARTE B]]&lt;&gt;""),"|M305|",IF(LEFT(B116,1)="4","|M312|","")))),      IF(LEFT(B116,1)="1","|M355|",IF(LEFT(B116,1)="2","|M360|",IF(AND(LEFT(B116,1)="3",Tabela_BaseM[[#This Row],[CONTA PARTE B]]&lt;&gt;""),"|M355|",IF(LEFT(B116,1)="4","|M362|","")))))</f>
        <v>|M305|</v>
      </c>
      <c r="M116" t="str">
        <f>IF(LEFT(Tabela_BaseM[[#This Row],[TIPO RELACIONAMENTO]],1)="3",(IF(A116="IRPJ",IF(LEFT(B116,1)="1","|M305|",IF(LEFT(B116,1)="2","|M310|",IF(LEFT(B116,1)="3","|M310|",IF(LEFT(B116,1)="4","|M312|","")))),IF(LEFT(B116,1)="1","|M355|",IF(LEFT(B116,1)="2","|M360|",IF(LEFT(B116,1)="3","|M360|",IF(LEFT(B116,1)="4","|M362|","")))))),"")</f>
        <v>|M310|</v>
      </c>
      <c r="N11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|M305|21405|35000|C|</v>
      </c>
      <c r="O11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|M310|3211602||35000|C|</v>
      </c>
      <c r="P11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6" t="str">
        <f>IF(A116="IRPJ",("|M300|"&amp;LEFT(C116,FIND("-",C116)-1)&amp;"|"&amp;RIGHT(C116,LEN(C116)-FIND("-",C116))&amp;"|"&amp;LEFT(D116,1)&amp;"|"&amp;LEFT(B116,1)&amp;"|"&amp;Tabela_BaseM[[#This Row],[Valor]]&amp;"|"&amp;Tabela_BaseM[[#This Row],[HISTÓRICO]]&amp;"|"),("|M350|"&amp;LEFT(C116,FIND("-",C116)-1)&amp;"|"&amp;RIGHT(C116,LEN(C116)-FIND("-",C116))&amp;"|"&amp;LEFT(D116,1)&amp;"|"&amp;LEFT(B116,1)&amp;"|"&amp;Tabela_BaseM[[#This Row],[Valor]]&amp;"|"&amp;Tabela_BaseM[[#This Row],[HISTÓRICO]]&amp;"|"))</f>
        <v>|M300|95|(-) Revers o ou uso de provis es ou perdas estimadas n o dedut veis|E|3|35000|Reversao de provisoes no periodo|</v>
      </c>
    </row>
    <row r="117" spans="1:17" x14ac:dyDescent="0.25">
      <c r="A117" t="s">
        <v>21</v>
      </c>
      <c r="B117" t="s">
        <v>30</v>
      </c>
      <c r="C117" t="s">
        <v>32</v>
      </c>
      <c r="D117" t="s">
        <v>426</v>
      </c>
      <c r="E117" t="s">
        <v>998</v>
      </c>
      <c r="F117">
        <v>3210202</v>
      </c>
      <c r="G117" t="s">
        <v>1059</v>
      </c>
      <c r="H117">
        <v>2130302</v>
      </c>
      <c r="J117" s="11">
        <v>45382</v>
      </c>
      <c r="K117">
        <v>337294.02</v>
      </c>
      <c r="L117" t="str">
        <f>IF(A117="IRPJ",IF(LEFT(B117,1)="1","|M305|",IF(LEFT(B117,1)="2","|M310|",IF(AND(LEFT(B117,1)="3",Tabela_BaseM[[#This Row],[CONTA PARTE B]]&lt;&gt;""),"|M305|",IF(LEFT(B117,1)="4","|M312|","")))),      IF(LEFT(B117,1)="1","|M355|",IF(LEFT(B117,1)="2","|M360|",IF(AND(LEFT(B117,1)="3",Tabela_BaseM[[#This Row],[CONTA PARTE B]]&lt;&gt;""),"|M355|",IF(LEFT(B117,1)="4","|M362|","")))))</f>
        <v>|M305|</v>
      </c>
      <c r="M117" t="str">
        <f>IF(LEFT(Tabela_BaseM[[#This Row],[TIPO RELACIONAMENTO]],1)="3",(IF(A117="IRPJ",IF(LEFT(B117,1)="1","|M305|",IF(LEFT(B117,1)="2","|M310|",IF(LEFT(B117,1)="3","|M310|",IF(LEFT(B117,1)="4","|M312|","")))),IF(LEFT(B117,1)="1","|M355|",IF(LEFT(B117,1)="2","|M360|",IF(LEFT(B117,1)="3","|M360|",IF(LEFT(B117,1)="4","|M362|","")))))),"")</f>
        <v>|M310|</v>
      </c>
      <c r="N11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|M305|2130302|337294,02|C|</v>
      </c>
      <c r="O11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|M310|3210202||337294,02|C|</v>
      </c>
      <c r="P11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7" t="str">
        <f>IF(A117="IRPJ",("|M300|"&amp;LEFT(C117,FIND("-",C117)-1)&amp;"|"&amp;RIGHT(C117,LEN(C117)-FIND("-",C117))&amp;"|"&amp;LEFT(D117,1)&amp;"|"&amp;LEFT(B117,1)&amp;"|"&amp;Tabela_BaseM[[#This Row],[Valor]]&amp;"|"&amp;Tabela_BaseM[[#This Row],[HISTÓRICO]]&amp;"|"),("|M350|"&amp;LEFT(C117,FIND("-",C117)-1)&amp;"|"&amp;RIGHT(C117,LEN(C117)-FIND("-",C117))&amp;"|"&amp;LEFT(D117,1)&amp;"|"&amp;LEFT(B117,1)&amp;"|"&amp;Tabela_BaseM[[#This Row],[Valor]]&amp;"|"&amp;Tabela_BaseM[[#This Row],[HISTÓRICO]]&amp;"|"))</f>
        <v>|M300|95|(-) Revers o ou uso de provis es ou perdas estimadas n o dedut veis|E|3|337294,02|Reversao de provisoes no periodo|</v>
      </c>
    </row>
    <row r="118" spans="1:17" x14ac:dyDescent="0.25">
      <c r="A118" t="s">
        <v>21</v>
      </c>
      <c r="B118" t="s">
        <v>30</v>
      </c>
      <c r="C118" t="s">
        <v>32</v>
      </c>
      <c r="D118" t="s">
        <v>426</v>
      </c>
      <c r="E118" t="s">
        <v>998</v>
      </c>
      <c r="F118">
        <v>3210204</v>
      </c>
      <c r="G118" t="s">
        <v>1060</v>
      </c>
      <c r="H118">
        <v>2130303</v>
      </c>
      <c r="J118" s="11">
        <v>45382</v>
      </c>
      <c r="K118">
        <v>9959.16</v>
      </c>
      <c r="L118" t="str">
        <f>IF(A118="IRPJ",IF(LEFT(B118,1)="1","|M305|",IF(LEFT(B118,1)="2","|M310|",IF(AND(LEFT(B118,1)="3",Tabela_BaseM[[#This Row],[CONTA PARTE B]]&lt;&gt;""),"|M305|",IF(LEFT(B118,1)="4","|M312|","")))),      IF(LEFT(B118,1)="1","|M355|",IF(LEFT(B118,1)="2","|M360|",IF(AND(LEFT(B118,1)="3",Tabela_BaseM[[#This Row],[CONTA PARTE B]]&lt;&gt;""),"|M355|",IF(LEFT(B118,1)="4","|M362|","")))))</f>
        <v>|M305|</v>
      </c>
      <c r="M118" t="str">
        <f>IF(LEFT(Tabela_BaseM[[#This Row],[TIPO RELACIONAMENTO]],1)="3",(IF(A118="IRPJ",IF(LEFT(B118,1)="1","|M305|",IF(LEFT(B118,1)="2","|M310|",IF(LEFT(B118,1)="3","|M310|",IF(LEFT(B118,1)="4","|M312|","")))),IF(LEFT(B118,1)="1","|M355|",IF(LEFT(B118,1)="2","|M360|",IF(LEFT(B118,1)="3","|M360|",IF(LEFT(B118,1)="4","|M362|","")))))),"")</f>
        <v>|M310|</v>
      </c>
      <c r="N11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|M305|2130303|9959,16|C|</v>
      </c>
      <c r="O11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|M310|3210204||9959,16|C|</v>
      </c>
      <c r="P11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8" t="str">
        <f>IF(A118="IRPJ",("|M300|"&amp;LEFT(C118,FIND("-",C118)-1)&amp;"|"&amp;RIGHT(C118,LEN(C118)-FIND("-",C118))&amp;"|"&amp;LEFT(D118,1)&amp;"|"&amp;LEFT(B118,1)&amp;"|"&amp;Tabela_BaseM[[#This Row],[Valor]]&amp;"|"&amp;Tabela_BaseM[[#This Row],[HISTÓRICO]]&amp;"|"),("|M350|"&amp;LEFT(C118,FIND("-",C118)-1)&amp;"|"&amp;RIGHT(C118,LEN(C118)-FIND("-",C118))&amp;"|"&amp;LEFT(D118,1)&amp;"|"&amp;LEFT(B118,1)&amp;"|"&amp;Tabela_BaseM[[#This Row],[Valor]]&amp;"|"&amp;Tabela_BaseM[[#This Row],[HISTÓRICO]]&amp;"|"))</f>
        <v>|M300|95|(-) Revers o ou uso de provis es ou perdas estimadas n o dedut veis|E|3|9959,16|Reversao de provisoes no periodo|</v>
      </c>
    </row>
    <row r="119" spans="1:17" x14ac:dyDescent="0.25">
      <c r="A119" t="s">
        <v>21</v>
      </c>
      <c r="B119" t="s">
        <v>30</v>
      </c>
      <c r="C119" t="s">
        <v>32</v>
      </c>
      <c r="D119" t="s">
        <v>426</v>
      </c>
      <c r="E119" t="s">
        <v>998</v>
      </c>
      <c r="F119">
        <v>3160404</v>
      </c>
      <c r="G119" t="s">
        <v>1091</v>
      </c>
      <c r="H119">
        <v>1130603</v>
      </c>
      <c r="J119" s="11">
        <v>45382</v>
      </c>
      <c r="K119">
        <v>144850.35</v>
      </c>
      <c r="L119" t="str">
        <f>IF(A119="IRPJ",IF(LEFT(B119,1)="1","|M305|",IF(LEFT(B119,1)="2","|M310|",IF(AND(LEFT(B119,1)="3",Tabela_BaseM[[#This Row],[CONTA PARTE B]]&lt;&gt;""),"|M305|",IF(LEFT(B119,1)="4","|M312|","")))),      IF(LEFT(B119,1)="1","|M355|",IF(LEFT(B119,1)="2","|M360|",IF(AND(LEFT(B119,1)="3",Tabela_BaseM[[#This Row],[CONTA PARTE B]]&lt;&gt;""),"|M355|",IF(LEFT(B119,1)="4","|M362|","")))))</f>
        <v>|M305|</v>
      </c>
      <c r="M119" t="str">
        <f>IF(LEFT(Tabela_BaseM[[#This Row],[TIPO RELACIONAMENTO]],1)="3",(IF(A119="IRPJ",IF(LEFT(B119,1)="1","|M305|",IF(LEFT(B119,1)="2","|M310|",IF(LEFT(B119,1)="3","|M310|",IF(LEFT(B119,1)="4","|M312|","")))),IF(LEFT(B119,1)="1","|M355|",IF(LEFT(B119,1)="2","|M360|",IF(LEFT(B119,1)="3","|M360|",IF(LEFT(B119,1)="4","|M362|","")))))),"")</f>
        <v>|M310|</v>
      </c>
      <c r="N11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|M305|1130603|144850,35|C|</v>
      </c>
      <c r="O11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|M310|3160404||144850,35|C|</v>
      </c>
      <c r="P11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19" t="str">
        <f>IF(A119="IRPJ",("|M300|"&amp;LEFT(C119,FIND("-",C119)-1)&amp;"|"&amp;RIGHT(C119,LEN(C119)-FIND("-",C119))&amp;"|"&amp;LEFT(D119,1)&amp;"|"&amp;LEFT(B119,1)&amp;"|"&amp;Tabela_BaseM[[#This Row],[Valor]]&amp;"|"&amp;Tabela_BaseM[[#This Row],[HISTÓRICO]]&amp;"|"),("|M350|"&amp;LEFT(C119,FIND("-",C119)-1)&amp;"|"&amp;RIGHT(C119,LEN(C119)-FIND("-",C119))&amp;"|"&amp;LEFT(D119,1)&amp;"|"&amp;LEFT(B119,1)&amp;"|"&amp;Tabela_BaseM[[#This Row],[Valor]]&amp;"|"&amp;Tabela_BaseM[[#This Row],[HISTÓRICO]]&amp;"|"))</f>
        <v>|M300|95|(-) Revers o ou uso de provis es ou perdas estimadas n o dedut veis|E|3|144850,35|Reversao de provisoes no periodo|</v>
      </c>
    </row>
    <row r="120" spans="1:17" x14ac:dyDescent="0.25">
      <c r="A120" t="s">
        <v>21</v>
      </c>
      <c r="B120" t="s">
        <v>30</v>
      </c>
      <c r="C120" t="s">
        <v>32</v>
      </c>
      <c r="D120" t="s">
        <v>426</v>
      </c>
      <c r="E120" t="s">
        <v>998</v>
      </c>
      <c r="F120">
        <v>3220101</v>
      </c>
      <c r="G120" t="s">
        <v>1062</v>
      </c>
      <c r="H120">
        <v>1120201</v>
      </c>
      <c r="J120" s="11">
        <v>45382</v>
      </c>
      <c r="K120">
        <v>140551.66</v>
      </c>
      <c r="L120" t="str">
        <f>IF(A120="IRPJ",IF(LEFT(B120,1)="1","|M305|",IF(LEFT(B120,1)="2","|M310|",IF(AND(LEFT(B120,1)="3",Tabela_BaseM[[#This Row],[CONTA PARTE B]]&lt;&gt;""),"|M305|",IF(LEFT(B120,1)="4","|M312|","")))),      IF(LEFT(B120,1)="1","|M355|",IF(LEFT(B120,1)="2","|M360|",IF(AND(LEFT(B120,1)="3",Tabela_BaseM[[#This Row],[CONTA PARTE B]]&lt;&gt;""),"|M355|",IF(LEFT(B120,1)="4","|M362|","")))))</f>
        <v>|M305|</v>
      </c>
      <c r="M120" t="str">
        <f>IF(LEFT(Tabela_BaseM[[#This Row],[TIPO RELACIONAMENTO]],1)="3",(IF(A120="IRPJ",IF(LEFT(B120,1)="1","|M305|",IF(LEFT(B120,1)="2","|M310|",IF(LEFT(B120,1)="3","|M310|",IF(LEFT(B120,1)="4","|M312|","")))),IF(LEFT(B120,1)="1","|M355|",IF(LEFT(B120,1)="2","|M360|",IF(LEFT(B120,1)="3","|M360|",IF(LEFT(B120,1)="4","|M362|","")))))),"")</f>
        <v>|M310|</v>
      </c>
      <c r="N12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|M305|1120201|140551,66|C|</v>
      </c>
      <c r="O12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|M310|3220101||140551,66|C|</v>
      </c>
      <c r="P12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20" t="str">
        <f>IF(A120="IRPJ",("|M300|"&amp;LEFT(C120,FIND("-",C120)-1)&amp;"|"&amp;RIGHT(C120,LEN(C120)-FIND("-",C120))&amp;"|"&amp;LEFT(D120,1)&amp;"|"&amp;LEFT(B120,1)&amp;"|"&amp;Tabela_BaseM[[#This Row],[Valor]]&amp;"|"&amp;Tabela_BaseM[[#This Row],[HISTÓRICO]]&amp;"|"),("|M350|"&amp;LEFT(C120,FIND("-",C120)-1)&amp;"|"&amp;RIGHT(C120,LEN(C120)-FIND("-",C120))&amp;"|"&amp;LEFT(D120,1)&amp;"|"&amp;LEFT(B120,1)&amp;"|"&amp;Tabela_BaseM[[#This Row],[Valor]]&amp;"|"&amp;Tabela_BaseM[[#This Row],[HISTÓRICO]]&amp;"|"))</f>
        <v>|M300|95|(-) Revers o ou uso de provis es ou perdas estimadas n o dedut veis|E|3|140551,66|Reversao de provisoes no periodo|</v>
      </c>
    </row>
    <row r="121" spans="1:17" x14ac:dyDescent="0.25">
      <c r="A121" t="s">
        <v>21</v>
      </c>
      <c r="B121" t="s">
        <v>22</v>
      </c>
      <c r="C121" t="s">
        <v>253</v>
      </c>
      <c r="D121" t="s">
        <v>426</v>
      </c>
      <c r="E121" t="s">
        <v>1081</v>
      </c>
      <c r="F121">
        <v>3290104</v>
      </c>
      <c r="G121" t="s">
        <v>1082</v>
      </c>
      <c r="J121" s="11">
        <v>45382</v>
      </c>
      <c r="K121">
        <v>4000000</v>
      </c>
      <c r="L121" t="str">
        <f>IF(A121="IRPJ",IF(LEFT(B121,1)="1","|M305|",IF(LEFT(B121,1)="2","|M310|",IF(AND(LEFT(B121,1)="3",Tabela_BaseM[[#This Row],[CONTA PARTE B]]&lt;&gt;""),"|M305|",IF(LEFT(B121,1)="4","|M312|","")))),      IF(LEFT(B121,1)="1","|M355|",IF(LEFT(B121,1)="2","|M360|",IF(AND(LEFT(B121,1)="3",Tabela_BaseM[[#This Row],[CONTA PARTE B]]&lt;&gt;""),"|M355|",IF(LEFT(B121,1)="4","|M362|","")))))</f>
        <v>|M310|</v>
      </c>
      <c r="M121" t="str">
        <f>IF(LEFT(Tabela_BaseM[[#This Row],[TIPO RELACIONAMENTO]],1)="3",(IF(A121="IRPJ",IF(LEFT(B121,1)="1","|M305|",IF(LEFT(B121,1)="2","|M310|",IF(LEFT(B121,1)="3","|M310|",IF(LEFT(B121,1)="4","|M312|","")))),IF(LEFT(B121,1)="1","|M355|",IF(LEFT(B121,1)="2","|M360|",IF(LEFT(B121,1)="3","|M360|",IF(LEFT(B121,1)="4","|M362|","")))))),"")</f>
        <v/>
      </c>
      <c r="N12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|M310|3290104||4000000|C|</v>
      </c>
      <c r="O12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2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|M030|01032024|31032024|A03|</v>
      </c>
      <c r="Q121" t="str">
        <f>IF(A121="IRPJ",("|M300|"&amp;LEFT(C121,FIND("-",C121)-1)&amp;"|"&amp;RIGHT(C121,LEN(C121)-FIND("-",C121))&amp;"|"&amp;LEFT(D121,1)&amp;"|"&amp;LEFT(B121,1)&amp;"|"&amp;Tabela_BaseM[[#This Row],[Valor]]&amp;"|"&amp;Tabela_BaseM[[#This Row],[HISTÓRICO]]&amp;"|"),("|M350|"&amp;LEFT(C121,FIND("-",C121)-1)&amp;"|"&amp;RIGHT(C121,LEN(C121)-FIND("-",C121))&amp;"|"&amp;LEFT(D121,1)&amp;"|"&amp;LEFT(B121,1)&amp;"|"&amp;Tabela_BaseM[[#This Row],[Valor]]&amp;"|"&amp;Tabela_BaseM[[#This Row],[HISTÓRICO]]&amp;"|"))</f>
        <v>|M300|96|(-) Lucros e dividendos derivados de investimentos avaliados pelo custo de aquisi  o|E|2|4000000|Dividendos recebidos no periodo|</v>
      </c>
    </row>
    <row r="122" spans="1:17" x14ac:dyDescent="0.25">
      <c r="A122" t="s">
        <v>21</v>
      </c>
      <c r="B122" t="s">
        <v>30</v>
      </c>
      <c r="C122" t="s">
        <v>291</v>
      </c>
      <c r="D122" t="s">
        <v>426</v>
      </c>
      <c r="E122" t="s">
        <v>1003</v>
      </c>
      <c r="F122">
        <v>3260803</v>
      </c>
      <c r="G122" t="s">
        <v>1052</v>
      </c>
      <c r="H122" t="s">
        <v>1044</v>
      </c>
      <c r="J122" s="11">
        <v>45412</v>
      </c>
      <c r="K122">
        <v>352792.28</v>
      </c>
      <c r="L122" t="str">
        <f>IF(A122="IRPJ",IF(LEFT(B122,1)="1","|M305|",IF(LEFT(B122,1)="2","|M310|",IF(AND(LEFT(B122,1)="3",Tabela_BaseM[[#This Row],[CONTA PARTE B]]&lt;&gt;""),"|M305|",IF(LEFT(B122,1)="4","|M312|","")))),      IF(LEFT(B122,1)="1","|M355|",IF(LEFT(B122,1)="2","|M360|",IF(AND(LEFT(B122,1)="3",Tabela_BaseM[[#This Row],[CONTA PARTE B]]&lt;&gt;""),"|M355|",IF(LEFT(B122,1)="4","|M362|","")))))</f>
        <v>|M305|</v>
      </c>
      <c r="M122" t="str">
        <f>IF(LEFT(Tabela_BaseM[[#This Row],[TIPO RELACIONAMENTO]],1)="3",(IF(A122="IRPJ",IF(LEFT(B122,1)="1","|M305|",IF(LEFT(B122,1)="2","|M310|",IF(LEFT(B122,1)="3","|M310|",IF(LEFT(B122,1)="4","|M312|","")))),IF(LEFT(B122,1)="1","|M355|",IF(LEFT(B122,1)="2","|M360|",IF(LEFT(B122,1)="3","|M360|",IF(LEFT(B122,1)="4","|M362|","")))))),"")</f>
        <v>|M310|</v>
      </c>
      <c r="N12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CAMBIAL|352792,28|C|</v>
      </c>
      <c r="O12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|M310|3260803||352792,28|C|</v>
      </c>
      <c r="P12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2" t="str">
        <f>IF(A122="IRPJ",("|M300|"&amp;LEFT(C122,FIND("-",C122)-1)&amp;"|"&amp;RIGHT(C122,LEN(C122)-FIND("-",C122))&amp;"|"&amp;LEFT(D122,1)&amp;"|"&amp;LEFT(B122,1)&amp;"|"&amp;Tabela_BaseM[[#This Row],[Valor]]&amp;"|"&amp;Tabela_BaseM[[#This Row],[HISTÓRICO]]&amp;"|"),("|M350|"&amp;LEFT(C122,FIND("-",C122)-1)&amp;"|"&amp;RIGHT(C122,LEN(C122)-FIND("-",C122))&amp;"|"&amp;LEFT(D122,1)&amp;"|"&amp;LEFT(B122,1)&amp;"|"&amp;Tabela_BaseM[[#This Row],[Valor]]&amp;"|"&amp;Tabela_BaseM[[#This Row],[HISTÓRICO]]&amp;"|"))</f>
        <v>|M300|101|(-) Varia  o cambial ativa - regra geral|E|3|352792,28|Variacao cambial ativa nao realizada no periodo|</v>
      </c>
    </row>
    <row r="123" spans="1:17" x14ac:dyDescent="0.25">
      <c r="A123" t="s">
        <v>21</v>
      </c>
      <c r="B123" t="s">
        <v>30</v>
      </c>
      <c r="C123" t="s">
        <v>291</v>
      </c>
      <c r="D123" t="s">
        <v>426</v>
      </c>
      <c r="E123" t="s">
        <v>1003</v>
      </c>
      <c r="F123">
        <v>3260301</v>
      </c>
      <c r="G123" t="s">
        <v>1040</v>
      </c>
      <c r="H123" t="s">
        <v>1044</v>
      </c>
      <c r="J123" s="11">
        <v>45412</v>
      </c>
      <c r="K123">
        <v>282477.92</v>
      </c>
      <c r="L123" t="str">
        <f>IF(A123="IRPJ",IF(LEFT(B123,1)="1","|M305|",IF(LEFT(B123,1)="2","|M310|",IF(AND(LEFT(B123,1)="3",Tabela_BaseM[[#This Row],[CONTA PARTE B]]&lt;&gt;""),"|M305|",IF(LEFT(B123,1)="4","|M312|","")))),      IF(LEFT(B123,1)="1","|M355|",IF(LEFT(B123,1)="2","|M360|",IF(AND(LEFT(B123,1)="3",Tabela_BaseM[[#This Row],[CONTA PARTE B]]&lt;&gt;""),"|M355|",IF(LEFT(B123,1)="4","|M362|","")))))</f>
        <v>|M305|</v>
      </c>
      <c r="M123" t="str">
        <f>IF(LEFT(Tabela_BaseM[[#This Row],[TIPO RELACIONAMENTO]],1)="3",(IF(A123="IRPJ",IF(LEFT(B123,1)="1","|M305|",IF(LEFT(B123,1)="2","|M310|",IF(LEFT(B123,1)="3","|M310|",IF(LEFT(B123,1)="4","|M312|","")))),IF(LEFT(B123,1)="1","|M355|",IF(LEFT(B123,1)="2","|M360|",IF(LEFT(B123,1)="3","|M360|",IF(LEFT(B123,1)="4","|M362|","")))))),"")</f>
        <v>|M310|</v>
      </c>
      <c r="N12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CAMBIAL|282477,92|C|</v>
      </c>
      <c r="O12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|M310|3260301||282477,92|C|</v>
      </c>
      <c r="P12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3" t="str">
        <f>IF(A123="IRPJ",("|M300|"&amp;LEFT(C123,FIND("-",C123)-1)&amp;"|"&amp;RIGHT(C123,LEN(C123)-FIND("-",C123))&amp;"|"&amp;LEFT(D123,1)&amp;"|"&amp;LEFT(B123,1)&amp;"|"&amp;Tabela_BaseM[[#This Row],[Valor]]&amp;"|"&amp;Tabela_BaseM[[#This Row],[HISTÓRICO]]&amp;"|"),("|M350|"&amp;LEFT(C123,FIND("-",C123)-1)&amp;"|"&amp;RIGHT(C123,LEN(C123)-FIND("-",C123))&amp;"|"&amp;LEFT(D123,1)&amp;"|"&amp;LEFT(B123,1)&amp;"|"&amp;Tabela_BaseM[[#This Row],[Valor]]&amp;"|"&amp;Tabela_BaseM[[#This Row],[HISTÓRICO]]&amp;"|"))</f>
        <v>|M300|101|(-) Varia  o cambial ativa - regra geral|E|3|282477,92|Variacao cambial ativa nao realizada no periodo|</v>
      </c>
    </row>
    <row r="124" spans="1:17" x14ac:dyDescent="0.25">
      <c r="A124" t="s">
        <v>21</v>
      </c>
      <c r="B124" t="s">
        <v>30</v>
      </c>
      <c r="C124" t="s">
        <v>291</v>
      </c>
      <c r="D124" t="s">
        <v>426</v>
      </c>
      <c r="E124" t="s">
        <v>1003</v>
      </c>
      <c r="F124">
        <v>3260802</v>
      </c>
      <c r="G124" t="s">
        <v>1050</v>
      </c>
      <c r="H124" t="s">
        <v>1044</v>
      </c>
      <c r="J124" s="11">
        <v>45412</v>
      </c>
      <c r="K124">
        <v>3088.15</v>
      </c>
      <c r="L124" t="str">
        <f>IF(A124="IRPJ",IF(LEFT(B124,1)="1","|M305|",IF(LEFT(B124,1)="2","|M310|",IF(AND(LEFT(B124,1)="3",Tabela_BaseM[[#This Row],[CONTA PARTE B]]&lt;&gt;""),"|M305|",IF(LEFT(B124,1)="4","|M312|","")))),      IF(LEFT(B124,1)="1","|M355|",IF(LEFT(B124,1)="2","|M360|",IF(AND(LEFT(B124,1)="3",Tabela_BaseM[[#This Row],[CONTA PARTE B]]&lt;&gt;""),"|M355|",IF(LEFT(B124,1)="4","|M362|","")))))</f>
        <v>|M305|</v>
      </c>
      <c r="M124" t="str">
        <f>IF(LEFT(Tabela_BaseM[[#This Row],[TIPO RELACIONAMENTO]],1)="3",(IF(A124="IRPJ",IF(LEFT(B124,1)="1","|M305|",IF(LEFT(B124,1)="2","|M310|",IF(LEFT(B124,1)="3","|M310|",IF(LEFT(B124,1)="4","|M312|","")))),IF(LEFT(B124,1)="1","|M355|",IF(LEFT(B124,1)="2","|M360|",IF(LEFT(B124,1)="3","|M360|",IF(LEFT(B124,1)="4","|M362|","")))))),"")</f>
        <v>|M310|</v>
      </c>
      <c r="N12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CAMBIAL|3088,15|C|</v>
      </c>
      <c r="O12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|M310|3260802||3088,15|C|</v>
      </c>
      <c r="P12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4" t="str">
        <f>IF(A124="IRPJ",("|M300|"&amp;LEFT(C124,FIND("-",C124)-1)&amp;"|"&amp;RIGHT(C124,LEN(C124)-FIND("-",C124))&amp;"|"&amp;LEFT(D124,1)&amp;"|"&amp;LEFT(B124,1)&amp;"|"&amp;Tabela_BaseM[[#This Row],[Valor]]&amp;"|"&amp;Tabela_BaseM[[#This Row],[HISTÓRICO]]&amp;"|"),("|M350|"&amp;LEFT(C124,FIND("-",C124)-1)&amp;"|"&amp;RIGHT(C124,LEN(C124)-FIND("-",C124))&amp;"|"&amp;LEFT(D124,1)&amp;"|"&amp;LEFT(B124,1)&amp;"|"&amp;Tabela_BaseM[[#This Row],[Valor]]&amp;"|"&amp;Tabela_BaseM[[#This Row],[HISTÓRICO]]&amp;"|"))</f>
        <v>|M300|101|(-) Varia  o cambial ativa - regra geral|E|3|3088,15|Variacao cambial ativa nao realizada no periodo|</v>
      </c>
    </row>
    <row r="125" spans="1:17" x14ac:dyDescent="0.25">
      <c r="A125" t="s">
        <v>21</v>
      </c>
      <c r="B125" t="s">
        <v>30</v>
      </c>
      <c r="C125" t="s">
        <v>291</v>
      </c>
      <c r="D125" t="s">
        <v>426</v>
      </c>
      <c r="E125" t="s">
        <v>1003</v>
      </c>
      <c r="F125">
        <v>3260801</v>
      </c>
      <c r="G125" t="s">
        <v>1048</v>
      </c>
      <c r="H125" t="s">
        <v>1044</v>
      </c>
      <c r="J125" s="11">
        <v>45412</v>
      </c>
      <c r="K125">
        <v>28.55</v>
      </c>
      <c r="L125" t="str">
        <f>IF(A125="IRPJ",IF(LEFT(B125,1)="1","|M305|",IF(LEFT(B125,1)="2","|M310|",IF(AND(LEFT(B125,1)="3",Tabela_BaseM[[#This Row],[CONTA PARTE B]]&lt;&gt;""),"|M305|",IF(LEFT(B125,1)="4","|M312|","")))),      IF(LEFT(B125,1)="1","|M355|",IF(LEFT(B125,1)="2","|M360|",IF(AND(LEFT(B125,1)="3",Tabela_BaseM[[#This Row],[CONTA PARTE B]]&lt;&gt;""),"|M355|",IF(LEFT(B125,1)="4","|M362|","")))))</f>
        <v>|M305|</v>
      </c>
      <c r="M125" t="str">
        <f>IF(LEFT(Tabela_BaseM[[#This Row],[TIPO RELACIONAMENTO]],1)="3",(IF(A125="IRPJ",IF(LEFT(B125,1)="1","|M305|",IF(LEFT(B125,1)="2","|M310|",IF(LEFT(B125,1)="3","|M310|",IF(LEFT(B125,1)="4","|M312|","")))),IF(LEFT(B125,1)="1","|M355|",IF(LEFT(B125,1)="2","|M360|",IF(LEFT(B125,1)="3","|M360|",IF(LEFT(B125,1)="4","|M362|","")))))),"")</f>
        <v>|M310|</v>
      </c>
      <c r="N12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CAMBIAL|28,55|C|</v>
      </c>
      <c r="O12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|M310|3260801||28,55|C|</v>
      </c>
      <c r="P12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5" t="str">
        <f>IF(A125="IRPJ",("|M300|"&amp;LEFT(C125,FIND("-",C125)-1)&amp;"|"&amp;RIGHT(C125,LEN(C125)-FIND("-",C125))&amp;"|"&amp;LEFT(D125,1)&amp;"|"&amp;LEFT(B125,1)&amp;"|"&amp;Tabela_BaseM[[#This Row],[Valor]]&amp;"|"&amp;Tabela_BaseM[[#This Row],[HISTÓRICO]]&amp;"|"),("|M350|"&amp;LEFT(C125,FIND("-",C125)-1)&amp;"|"&amp;RIGHT(C125,LEN(C125)-FIND("-",C125))&amp;"|"&amp;LEFT(D125,1)&amp;"|"&amp;LEFT(B125,1)&amp;"|"&amp;Tabela_BaseM[[#This Row],[Valor]]&amp;"|"&amp;Tabela_BaseM[[#This Row],[HISTÓRICO]]&amp;"|"))</f>
        <v>|M300|101|(-) Varia  o cambial ativa - regra geral|E|3|28,55|Variacao cambial ativa nao realizada no periodo|</v>
      </c>
    </row>
    <row r="126" spans="1:17" x14ac:dyDescent="0.25">
      <c r="A126" t="s">
        <v>21</v>
      </c>
      <c r="B126" t="s">
        <v>30</v>
      </c>
      <c r="C126" t="s">
        <v>292</v>
      </c>
      <c r="D126" t="s">
        <v>426</v>
      </c>
      <c r="E126" t="s">
        <v>1005</v>
      </c>
      <c r="F126">
        <v>3260401</v>
      </c>
      <c r="G126" t="s">
        <v>1042</v>
      </c>
      <c r="H126" t="s">
        <v>1044</v>
      </c>
      <c r="J126" s="11">
        <v>45412</v>
      </c>
      <c r="K126">
        <v>1730003.63</v>
      </c>
      <c r="L126" t="str">
        <f>IF(A126="IRPJ",IF(LEFT(B126,1)="1","|M305|",IF(LEFT(B126,1)="2","|M310|",IF(AND(LEFT(B126,1)="3",Tabela_BaseM[[#This Row],[CONTA PARTE B]]&lt;&gt;""),"|M305|",IF(LEFT(B126,1)="4","|M312|","")))),      IF(LEFT(B126,1)="1","|M355|",IF(LEFT(B126,1)="2","|M360|",IF(AND(LEFT(B126,1)="3",Tabela_BaseM[[#This Row],[CONTA PARTE B]]&lt;&gt;""),"|M355|",IF(LEFT(B126,1)="4","|M362|","")))))</f>
        <v>|M305|</v>
      </c>
      <c r="M126" t="str">
        <f>IF(LEFT(Tabela_BaseM[[#This Row],[TIPO RELACIONAMENTO]],1)="3",(IF(A126="IRPJ",IF(LEFT(B126,1)="1","|M305|",IF(LEFT(B126,1)="2","|M310|",IF(LEFT(B126,1)="3","|M310|",IF(LEFT(B126,1)="4","|M312|","")))),IF(LEFT(B126,1)="1","|M355|",IF(LEFT(B126,1)="2","|M360|",IF(LEFT(B126,1)="3","|M360|",IF(LEFT(B126,1)="4","|M362|","")))))),"")</f>
        <v>|M310|</v>
      </c>
      <c r="N12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CAMBIAL|1730003,63|C|</v>
      </c>
      <c r="O12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|M310|3260401||1730003,63|C|</v>
      </c>
      <c r="P12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6" t="str">
        <f>IF(A126="IRPJ",("|M300|"&amp;LEFT(C126,FIND("-",C126)-1)&amp;"|"&amp;RIGHT(C126,LEN(C126)-FIND("-",C126))&amp;"|"&amp;LEFT(D126,1)&amp;"|"&amp;LEFT(B126,1)&amp;"|"&amp;Tabela_BaseM[[#This Row],[Valor]]&amp;"|"&amp;Tabela_BaseM[[#This Row],[HISTÓRICO]]&amp;"|"),("|M350|"&amp;LEFT(C126,FIND("-",C126)-1)&amp;"|"&amp;RIGHT(C126,LEN(C126)-FIND("-",C126))&amp;"|"&amp;LEFT(D126,1)&amp;"|"&amp;LEFT(B126,1)&amp;"|"&amp;Tabela_BaseM[[#This Row],[Valor]]&amp;"|"&amp;Tabela_BaseM[[#This Row],[HISTÓRICO]]&amp;"|"))</f>
        <v>|M300|102|(-) Varia  o cambial passiva - regra geral|E|3|1730003,63|Variacao cambial passiva realizada no periodo|</v>
      </c>
    </row>
    <row r="127" spans="1:17" x14ac:dyDescent="0.25">
      <c r="A127" t="s">
        <v>21</v>
      </c>
      <c r="B127" t="s">
        <v>22</v>
      </c>
      <c r="C127" t="s">
        <v>344</v>
      </c>
      <c r="D127" t="s">
        <v>426</v>
      </c>
      <c r="E127" t="s">
        <v>1006</v>
      </c>
      <c r="F127">
        <v>3210704</v>
      </c>
      <c r="G127" t="s">
        <v>1072</v>
      </c>
      <c r="J127" s="11">
        <v>45412</v>
      </c>
      <c r="K127">
        <v>3829.47</v>
      </c>
      <c r="L127" t="str">
        <f>IF(A127="IRPJ",IF(LEFT(B127,1)="1","|M305|",IF(LEFT(B127,1)="2","|M310|",IF(AND(LEFT(B127,1)="3",Tabela_BaseM[[#This Row],[CONTA PARTE B]]&lt;&gt;""),"|M305|",IF(LEFT(B127,1)="4","|M312|","")))),      IF(LEFT(B127,1)="1","|M355|",IF(LEFT(B127,1)="2","|M360|",IF(AND(LEFT(B127,1)="3",Tabela_BaseM[[#This Row],[CONTA PARTE B]]&lt;&gt;""),"|M355|",IF(LEFT(B127,1)="4","|M362|","")))))</f>
        <v>|M310|</v>
      </c>
      <c r="M127" t="str">
        <f>IF(LEFT(Tabela_BaseM[[#This Row],[TIPO RELACIONAMENTO]],1)="3",(IF(A127="IRPJ",IF(LEFT(B127,1)="1","|M305|",IF(LEFT(B127,1)="2","|M310|",IF(LEFT(B127,1)="3","|M310|",IF(LEFT(B127,1)="4","|M312|","")))),IF(LEFT(B127,1)="1","|M355|",IF(LEFT(B127,1)="2","|M360|",IF(LEFT(B127,1)="3","|M360|",IF(LEFT(B127,1)="4","|M362|","")))))),"")</f>
        <v/>
      </c>
      <c r="N12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|M310|3210704||3829,47|C|</v>
      </c>
      <c r="O12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2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7" t="str">
        <f>IF(A127="IRPJ",("|M300|"&amp;LEFT(C127,FIND("-",C127)-1)&amp;"|"&amp;RIGHT(C127,LEN(C127)-FIND("-",C127))&amp;"|"&amp;LEFT(D127,1)&amp;"|"&amp;LEFT(B127,1)&amp;"|"&amp;Tabela_BaseM[[#This Row],[Valor]]&amp;"|"&amp;Tabela_BaseM[[#This Row],[HISTÓRICO]]&amp;"|"),("|M350|"&amp;LEFT(C127,FIND("-",C127)-1)&amp;"|"&amp;RIGHT(C127,LEN(C127)-FIND("-",C127))&amp;"|"&amp;LEFT(D127,1)&amp;"|"&amp;LEFT(B127,1)&amp;"|"&amp;Tabela_BaseM[[#This Row],[Valor]]&amp;"|"&amp;Tabela_BaseM[[#This Row],[HISTÓRICO]]&amp;"|"))</f>
        <v>|M300|134.15|(-) Arrendamento mercantil - PJ arrendat ria - contrapresta  es pagas ou creditadas de contratos n o tipificados como arrendamento|E|2|3829,47|Contraprestacoes pagas de aluguel no periodo|</v>
      </c>
    </row>
    <row r="128" spans="1:17" x14ac:dyDescent="0.25">
      <c r="A128" t="s">
        <v>21</v>
      </c>
      <c r="B128" t="s">
        <v>22</v>
      </c>
      <c r="C128" t="s">
        <v>77</v>
      </c>
      <c r="D128" t="s">
        <v>425</v>
      </c>
      <c r="E128" t="s">
        <v>1031</v>
      </c>
      <c r="F128">
        <v>3260210</v>
      </c>
      <c r="G128" t="s">
        <v>1030</v>
      </c>
      <c r="J128" s="11">
        <v>45412</v>
      </c>
      <c r="K128">
        <v>1906237.24</v>
      </c>
      <c r="L128" t="str">
        <f>IF(A128="IRPJ",IF(LEFT(B128,1)="1","|M305|",IF(LEFT(B128,1)="2","|M310|",IF(AND(LEFT(B128,1)="3",Tabela_BaseM[[#This Row],[CONTA PARTE B]]&lt;&gt;""),"|M305|",IF(LEFT(B128,1)="4","|M312|","")))),      IF(LEFT(B128,1)="1","|M355|",IF(LEFT(B128,1)="2","|M360|",IF(AND(LEFT(B128,1)="3",Tabela_BaseM[[#This Row],[CONTA PARTE B]]&lt;&gt;""),"|M355|",IF(LEFT(B128,1)="4","|M362|","")))))</f>
        <v>|M310|</v>
      </c>
      <c r="M128" t="str">
        <f>IF(LEFT(Tabela_BaseM[[#This Row],[TIPO RELACIONAMENTO]],1)="3",(IF(A128="IRPJ",IF(LEFT(B128,1)="1","|M305|",IF(LEFT(B128,1)="2","|M310|",IF(LEFT(B128,1)="3","|M310|",IF(LEFT(B128,1)="4","|M312|","")))),IF(LEFT(B128,1)="1","|M355|",IF(LEFT(B128,1)="2","|M360|",IF(LEFT(B128,1)="3","|M360|",IF(LEFT(B128,1)="4","|M362|","")))))),"")</f>
        <v/>
      </c>
      <c r="N12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|M310|3260210||1906237,24|D|</v>
      </c>
      <c r="O12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2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8" t="str">
        <f>IF(A128="IRPJ",("|M300|"&amp;LEFT(C128,FIND("-",C128)-1)&amp;"|"&amp;RIGHT(C128,LEN(C128)-FIND("-",C128))&amp;"|"&amp;LEFT(D128,1)&amp;"|"&amp;LEFT(B128,1)&amp;"|"&amp;Tabela_BaseM[[#This Row],[Valor]]&amp;"|"&amp;Tabela_BaseM[[#This Row],[HISTÓRICO]]&amp;"|"),("|M350|"&amp;LEFT(C128,FIND("-",C128)-1)&amp;"|"&amp;RIGHT(C128,LEN(C128)-FIND("-",C128))&amp;"|"&amp;LEFT(D128,1)&amp;"|"&amp;LEFT(B128,1)&amp;"|"&amp;Tabela_BaseM[[#This Row],[Valor]]&amp;"|"&amp;Tabela_BaseM[[#This Row],[HISTÓRICO]]&amp;"|"))</f>
        <v>|M300|13|Regras de subcapitaliza  o - ajustes decorrentes de empr stimos com pessoa f sica ou jur dica|A|2|1906237,24|Juros sobre emprestimo matriz no periodo|</v>
      </c>
    </row>
    <row r="129" spans="1:17" x14ac:dyDescent="0.25">
      <c r="A129" t="s">
        <v>21</v>
      </c>
      <c r="B129" t="s">
        <v>22</v>
      </c>
      <c r="C129" t="s">
        <v>402</v>
      </c>
      <c r="D129" t="s">
        <v>426</v>
      </c>
      <c r="E129" t="s">
        <v>1079</v>
      </c>
      <c r="F129">
        <v>3260107</v>
      </c>
      <c r="G129" t="s">
        <v>1078</v>
      </c>
      <c r="J129" s="11">
        <v>45412</v>
      </c>
      <c r="K129">
        <v>754223.91</v>
      </c>
      <c r="L129" t="str">
        <f>IF(A129="IRPJ",IF(LEFT(B129,1)="1","|M305|",IF(LEFT(B129,1)="2","|M310|",IF(AND(LEFT(B129,1)="3",Tabela_BaseM[[#This Row],[CONTA PARTE B]]&lt;&gt;""),"|M305|",IF(LEFT(B129,1)="4","|M312|","")))),      IF(LEFT(B129,1)="1","|M355|",IF(LEFT(B129,1)="2","|M360|",IF(AND(LEFT(B129,1)="3",Tabela_BaseM[[#This Row],[CONTA PARTE B]]&lt;&gt;""),"|M355|",IF(LEFT(B129,1)="4","|M362|","")))))</f>
        <v>|M310|</v>
      </c>
      <c r="M129" t="str">
        <f>IF(LEFT(Tabela_BaseM[[#This Row],[TIPO RELACIONAMENTO]],1)="3",(IF(A129="IRPJ",IF(LEFT(B129,1)="1","|M305|",IF(LEFT(B129,1)="2","|M310|",IF(LEFT(B129,1)="3","|M310|",IF(LEFT(B129,1)="4","|M312|","")))),IF(LEFT(B129,1)="1","|M355|",IF(LEFT(B129,1)="2","|M360|",IF(LEFT(B129,1)="3","|M360|",IF(LEFT(B129,1)="4","|M362|","")))))),"")</f>
        <v/>
      </c>
      <c r="N12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|M310|3260107||754223,91|C|</v>
      </c>
      <c r="O12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2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29" t="str">
        <f>IF(A129="IRPJ",("|M300|"&amp;LEFT(C129,FIND("-",C129)-1)&amp;"|"&amp;RIGHT(C129,LEN(C129)-FIND("-",C129))&amp;"|"&amp;LEFT(D129,1)&amp;"|"&amp;LEFT(B129,1)&amp;"|"&amp;Tabela_BaseM[[#This Row],[Valor]]&amp;"|"&amp;Tabela_BaseM[[#This Row],[HISTÓRICO]]&amp;"|"),("|M350|"&amp;LEFT(C129,FIND("-",C129)-1)&amp;"|"&amp;RIGHT(C129,LEN(C129)-FIND("-",C129))&amp;"|"&amp;LEFT(D129,1)&amp;"|"&amp;LEFT(B129,1)&amp;"|"&amp;Tabela_BaseM[[#This Row],[Valor]]&amp;"|"&amp;Tabela_BaseM[[#This Row],[HISTÓRICO]]&amp;"|"))</f>
        <v>|M300|167.01|(-) Outras exclus es - qualquer indicador de relacionamento|E|2|754223,91|Juros ativos de credito extemporaneo e despesas dedutiveis|</v>
      </c>
    </row>
    <row r="130" spans="1:17" x14ac:dyDescent="0.25">
      <c r="A130" t="s">
        <v>21</v>
      </c>
      <c r="B130" t="s">
        <v>22</v>
      </c>
      <c r="C130" t="s">
        <v>402</v>
      </c>
      <c r="D130" t="s">
        <v>426</v>
      </c>
      <c r="E130" t="s">
        <v>1079</v>
      </c>
      <c r="F130">
        <v>3220204</v>
      </c>
      <c r="G130" t="s">
        <v>1014</v>
      </c>
      <c r="J130" s="11">
        <v>45412</v>
      </c>
      <c r="K130">
        <v>299089.03999999998</v>
      </c>
      <c r="L130" t="str">
        <f>IF(A130="IRPJ",IF(LEFT(B130,1)="1","|M305|",IF(LEFT(B130,1)="2","|M310|",IF(AND(LEFT(B130,1)="3",Tabela_BaseM[[#This Row],[CONTA PARTE B]]&lt;&gt;""),"|M305|",IF(LEFT(B130,1)="4","|M312|","")))),      IF(LEFT(B130,1)="1","|M355|",IF(LEFT(B130,1)="2","|M360|",IF(AND(LEFT(B130,1)="3",Tabela_BaseM[[#This Row],[CONTA PARTE B]]&lt;&gt;""),"|M355|",IF(LEFT(B130,1)="4","|M362|","")))))</f>
        <v>|M310|</v>
      </c>
      <c r="M130" t="str">
        <f>IF(LEFT(Tabela_BaseM[[#This Row],[TIPO RELACIONAMENTO]],1)="3",(IF(A130="IRPJ",IF(LEFT(B130,1)="1","|M305|",IF(LEFT(B130,1)="2","|M310|",IF(LEFT(B130,1)="3","|M310|",IF(LEFT(B130,1)="4","|M312|","")))),IF(LEFT(B130,1)="1","|M355|",IF(LEFT(B130,1)="2","|M360|",IF(LEFT(B130,1)="3","|M360|",IF(LEFT(B130,1)="4","|M362|","")))))),"")</f>
        <v/>
      </c>
      <c r="N13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|M310|3220204||299089,04|C|</v>
      </c>
      <c r="O13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3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0" t="str">
        <f>IF(A130="IRPJ",("|M300|"&amp;LEFT(C130,FIND("-",C130)-1)&amp;"|"&amp;RIGHT(C130,LEN(C130)-FIND("-",C130))&amp;"|"&amp;LEFT(D130,1)&amp;"|"&amp;LEFT(B130,1)&amp;"|"&amp;Tabela_BaseM[[#This Row],[Valor]]&amp;"|"&amp;Tabela_BaseM[[#This Row],[HISTÓRICO]]&amp;"|"),("|M350|"&amp;LEFT(C130,FIND("-",C130)-1)&amp;"|"&amp;RIGHT(C130,LEN(C130)-FIND("-",C130))&amp;"|"&amp;LEFT(D130,1)&amp;"|"&amp;LEFT(B130,1)&amp;"|"&amp;Tabela_BaseM[[#This Row],[Valor]]&amp;"|"&amp;Tabela_BaseM[[#This Row],[HISTÓRICO]]&amp;"|"))</f>
        <v>|M300|167.01|(-) Outras exclus es - qualquer indicador de relacionamento|E|2|299089,04|Juros ativos de credito extemporaneo e despesas dedutiveis|</v>
      </c>
    </row>
    <row r="131" spans="1:17" x14ac:dyDescent="0.25">
      <c r="A131" t="s">
        <v>21</v>
      </c>
      <c r="B131" t="s">
        <v>30</v>
      </c>
      <c r="C131" t="s">
        <v>81</v>
      </c>
      <c r="D131" t="s">
        <v>425</v>
      </c>
      <c r="E131" t="s">
        <v>1038</v>
      </c>
      <c r="F131">
        <v>3260406</v>
      </c>
      <c r="G131" t="s">
        <v>1046</v>
      </c>
      <c r="H131" t="s">
        <v>1044</v>
      </c>
      <c r="J131" s="11">
        <v>45412</v>
      </c>
      <c r="K131">
        <v>1025997.51</v>
      </c>
      <c r="L131" t="str">
        <f>IF(A131="IRPJ",IF(LEFT(B131,1)="1","|M305|",IF(LEFT(B131,1)="2","|M310|",IF(AND(LEFT(B131,1)="3",Tabela_BaseM[[#This Row],[CONTA PARTE B]]&lt;&gt;""),"|M305|",IF(LEFT(B131,1)="4","|M312|","")))),      IF(LEFT(B131,1)="1","|M355|",IF(LEFT(B131,1)="2","|M360|",IF(AND(LEFT(B131,1)="3",Tabela_BaseM[[#This Row],[CONTA PARTE B]]&lt;&gt;""),"|M355|",IF(LEFT(B131,1)="4","|M362|","")))))</f>
        <v>|M305|</v>
      </c>
      <c r="M131" t="str">
        <f>IF(LEFT(Tabela_BaseM[[#This Row],[TIPO RELACIONAMENTO]],1)="3",(IF(A131="IRPJ",IF(LEFT(B131,1)="1","|M305|",IF(LEFT(B131,1)="2","|M310|",IF(LEFT(B131,1)="3","|M310|",IF(LEFT(B131,1)="4","|M312|","")))),IF(LEFT(B131,1)="1","|M355|",IF(LEFT(B131,1)="2","|M360|",IF(LEFT(B131,1)="3","|M360|",IF(LEFT(B131,1)="4","|M362|","")))))),"")</f>
        <v>|M310|</v>
      </c>
      <c r="N13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CAMBIAL|1025997,51|D|</v>
      </c>
      <c r="O13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|M310|3260406||1025997,51|D|</v>
      </c>
      <c r="P13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1" t="str">
        <f>IF(A131="IRPJ",("|M300|"&amp;LEFT(C131,FIND("-",C131)-1)&amp;"|"&amp;RIGHT(C131,LEN(C131)-FIND("-",C131))&amp;"|"&amp;LEFT(D131,1)&amp;"|"&amp;LEFT(B131,1)&amp;"|"&amp;Tabela_BaseM[[#This Row],[Valor]]&amp;"|"&amp;Tabela_BaseM[[#This Row],[HISTÓRICO]]&amp;"|"),("|M350|"&amp;LEFT(C131,FIND("-",C131)-1)&amp;"|"&amp;RIGHT(C131,LEN(C131)-FIND("-",C131))&amp;"|"&amp;LEFT(D131,1)&amp;"|"&amp;LEFT(B131,1)&amp;"|"&amp;Tabela_BaseM[[#This Row],[Valor]]&amp;"|"&amp;Tabela_BaseM[[#This Row],[HISTÓRICO]]&amp;"|"))</f>
        <v>|M300|16|Varia  o cambial passiva - regra geral - valor evidenciado no registro L300 de acordo com o regime de compet ncia|A|3|1025997,51|Variacao cambial nao realizada no periodo|</v>
      </c>
    </row>
    <row r="132" spans="1:17" x14ac:dyDescent="0.25">
      <c r="A132" t="s">
        <v>21</v>
      </c>
      <c r="B132" t="s">
        <v>30</v>
      </c>
      <c r="C132" t="s">
        <v>81</v>
      </c>
      <c r="D132" t="s">
        <v>425</v>
      </c>
      <c r="E132" t="s">
        <v>1038</v>
      </c>
      <c r="F132">
        <v>3260302</v>
      </c>
      <c r="G132" t="s">
        <v>1004</v>
      </c>
      <c r="H132" t="s">
        <v>1044</v>
      </c>
      <c r="J132" s="11">
        <v>45412</v>
      </c>
      <c r="K132">
        <v>165508.32</v>
      </c>
      <c r="L132" t="str">
        <f>IF(A132="IRPJ",IF(LEFT(B132,1)="1","|M305|",IF(LEFT(B132,1)="2","|M310|",IF(AND(LEFT(B132,1)="3",Tabela_BaseM[[#This Row],[CONTA PARTE B]]&lt;&gt;""),"|M305|",IF(LEFT(B132,1)="4","|M312|","")))),      IF(LEFT(B132,1)="1","|M355|",IF(LEFT(B132,1)="2","|M360|",IF(AND(LEFT(B132,1)="3",Tabela_BaseM[[#This Row],[CONTA PARTE B]]&lt;&gt;""),"|M355|",IF(LEFT(B132,1)="4","|M362|","")))))</f>
        <v>|M305|</v>
      </c>
      <c r="M132" t="str">
        <f>IF(LEFT(Tabela_BaseM[[#This Row],[TIPO RELACIONAMENTO]],1)="3",(IF(A132="IRPJ",IF(LEFT(B132,1)="1","|M305|",IF(LEFT(B132,1)="2","|M310|",IF(LEFT(B132,1)="3","|M310|",IF(LEFT(B132,1)="4","|M312|","")))),IF(LEFT(B132,1)="1","|M355|",IF(LEFT(B132,1)="2","|M360|",IF(LEFT(B132,1)="3","|M360|",IF(LEFT(B132,1)="4","|M362|","")))))),"")</f>
        <v>|M310|</v>
      </c>
      <c r="N13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CAMBIAL|165508,32|D|</v>
      </c>
      <c r="O13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|M310|3260302||165508,32|D|</v>
      </c>
      <c r="P13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2" t="str">
        <f>IF(A132="IRPJ",("|M300|"&amp;LEFT(C132,FIND("-",C132)-1)&amp;"|"&amp;RIGHT(C132,LEN(C132)-FIND("-",C132))&amp;"|"&amp;LEFT(D132,1)&amp;"|"&amp;LEFT(B132,1)&amp;"|"&amp;Tabela_BaseM[[#This Row],[Valor]]&amp;"|"&amp;Tabela_BaseM[[#This Row],[HISTÓRICO]]&amp;"|"),("|M350|"&amp;LEFT(C132,FIND("-",C132)-1)&amp;"|"&amp;RIGHT(C132,LEN(C132)-FIND("-",C132))&amp;"|"&amp;LEFT(D132,1)&amp;"|"&amp;LEFT(B132,1)&amp;"|"&amp;Tabela_BaseM[[#This Row],[Valor]]&amp;"|"&amp;Tabela_BaseM[[#This Row],[HISTÓRICO]]&amp;"|"))</f>
        <v>|M300|16|Varia  o cambial passiva - regra geral - valor evidenciado no registro L300 de acordo com o regime de compet ncia|A|3|165508,32|Variacao cambial nao realizada no periodo|</v>
      </c>
    </row>
    <row r="133" spans="1:17" x14ac:dyDescent="0.25">
      <c r="A133" t="s">
        <v>21</v>
      </c>
      <c r="B133" t="s">
        <v>30</v>
      </c>
      <c r="C133" t="s">
        <v>81</v>
      </c>
      <c r="D133" t="s">
        <v>425</v>
      </c>
      <c r="E133" t="s">
        <v>1038</v>
      </c>
      <c r="F133">
        <v>3260403</v>
      </c>
      <c r="G133" t="s">
        <v>1043</v>
      </c>
      <c r="H133" t="s">
        <v>1044</v>
      </c>
      <c r="J133" s="11">
        <v>45412</v>
      </c>
      <c r="K133">
        <v>26297603.77</v>
      </c>
      <c r="L133" t="str">
        <f>IF(A133="IRPJ",IF(LEFT(B133,1)="1","|M305|",IF(LEFT(B133,1)="2","|M310|",IF(AND(LEFT(B133,1)="3",Tabela_BaseM[[#This Row],[CONTA PARTE B]]&lt;&gt;""),"|M305|",IF(LEFT(B133,1)="4","|M312|","")))),      IF(LEFT(B133,1)="1","|M355|",IF(LEFT(B133,1)="2","|M360|",IF(AND(LEFT(B133,1)="3",Tabela_BaseM[[#This Row],[CONTA PARTE B]]&lt;&gt;""),"|M355|",IF(LEFT(B133,1)="4","|M362|","")))))</f>
        <v>|M305|</v>
      </c>
      <c r="M133" t="str">
        <f>IF(LEFT(Tabela_BaseM[[#This Row],[TIPO RELACIONAMENTO]],1)="3",(IF(A133="IRPJ",IF(LEFT(B133,1)="1","|M305|",IF(LEFT(B133,1)="2","|M310|",IF(LEFT(B133,1)="3","|M310|",IF(LEFT(B133,1)="4","|M312|","")))),IF(LEFT(B133,1)="1","|M355|",IF(LEFT(B133,1)="2","|M360|",IF(LEFT(B133,1)="3","|M360|",IF(LEFT(B133,1)="4","|M362|","")))))),"")</f>
        <v>|M310|</v>
      </c>
      <c r="N13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CAMBIAL|26297603,77|D|</v>
      </c>
      <c r="O13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|M310|3260403||26297603,77|D|</v>
      </c>
      <c r="P13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3" t="str">
        <f>IF(A133="IRPJ",("|M300|"&amp;LEFT(C133,FIND("-",C133)-1)&amp;"|"&amp;RIGHT(C133,LEN(C133)-FIND("-",C133))&amp;"|"&amp;LEFT(D133,1)&amp;"|"&amp;LEFT(B133,1)&amp;"|"&amp;Tabela_BaseM[[#This Row],[Valor]]&amp;"|"&amp;Tabela_BaseM[[#This Row],[HISTÓRICO]]&amp;"|"),("|M350|"&amp;LEFT(C133,FIND("-",C133)-1)&amp;"|"&amp;RIGHT(C133,LEN(C133)-FIND("-",C133))&amp;"|"&amp;LEFT(D133,1)&amp;"|"&amp;LEFT(B133,1)&amp;"|"&amp;Tabela_BaseM[[#This Row],[Valor]]&amp;"|"&amp;Tabela_BaseM[[#This Row],[HISTÓRICO]]&amp;"|"))</f>
        <v>|M300|16|Varia  o cambial passiva - regra geral - valor evidenciado no registro L300 de acordo com o regime de compet ncia|A|3|26297603,77|Variacao cambial nao realizada no periodo|</v>
      </c>
    </row>
    <row r="134" spans="1:17" x14ac:dyDescent="0.25">
      <c r="A134" t="s">
        <v>21</v>
      </c>
      <c r="B134" t="s">
        <v>30</v>
      </c>
      <c r="C134" t="s">
        <v>81</v>
      </c>
      <c r="D134" t="s">
        <v>425</v>
      </c>
      <c r="E134" t="s">
        <v>1038</v>
      </c>
      <c r="F134">
        <v>3260402</v>
      </c>
      <c r="G134" t="s">
        <v>1001</v>
      </c>
      <c r="H134" t="s">
        <v>1044</v>
      </c>
      <c r="J134" s="11">
        <v>45412</v>
      </c>
      <c r="K134">
        <v>364786.58999999997</v>
      </c>
      <c r="L134" t="str">
        <f>IF(A134="IRPJ",IF(LEFT(B134,1)="1","|M305|",IF(LEFT(B134,1)="2","|M310|",IF(AND(LEFT(B134,1)="3",Tabela_BaseM[[#This Row],[CONTA PARTE B]]&lt;&gt;""),"|M305|",IF(LEFT(B134,1)="4","|M312|","")))),      IF(LEFT(B134,1)="1","|M355|",IF(LEFT(B134,1)="2","|M360|",IF(AND(LEFT(B134,1)="3",Tabela_BaseM[[#This Row],[CONTA PARTE B]]&lt;&gt;""),"|M355|",IF(LEFT(B134,1)="4","|M362|","")))))</f>
        <v>|M305|</v>
      </c>
      <c r="M134" t="str">
        <f>IF(LEFT(Tabela_BaseM[[#This Row],[TIPO RELACIONAMENTO]],1)="3",(IF(A134="IRPJ",IF(LEFT(B134,1)="1","|M305|",IF(LEFT(B134,1)="2","|M310|",IF(LEFT(B134,1)="3","|M310|",IF(LEFT(B134,1)="4","|M312|","")))),IF(LEFT(B134,1)="1","|M355|",IF(LEFT(B134,1)="2","|M360|",IF(LEFT(B134,1)="3","|M360|",IF(LEFT(B134,1)="4","|M362|","")))))),"")</f>
        <v>|M310|</v>
      </c>
      <c r="N13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CAMBIAL|364786,59|D|</v>
      </c>
      <c r="O13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|M310|3260402||364786,59|D|</v>
      </c>
      <c r="P13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4" t="str">
        <f>IF(A134="IRPJ",("|M300|"&amp;LEFT(C134,FIND("-",C134)-1)&amp;"|"&amp;RIGHT(C134,LEN(C134)-FIND("-",C134))&amp;"|"&amp;LEFT(D134,1)&amp;"|"&amp;LEFT(B134,1)&amp;"|"&amp;Tabela_BaseM[[#This Row],[Valor]]&amp;"|"&amp;Tabela_BaseM[[#This Row],[HISTÓRICO]]&amp;"|"),("|M350|"&amp;LEFT(C134,FIND("-",C134)-1)&amp;"|"&amp;RIGHT(C134,LEN(C134)-FIND("-",C134))&amp;"|"&amp;LEFT(D134,1)&amp;"|"&amp;LEFT(B134,1)&amp;"|"&amp;Tabela_BaseM[[#This Row],[Valor]]&amp;"|"&amp;Tabela_BaseM[[#This Row],[HISTÓRICO]]&amp;"|"))</f>
        <v>|M300|16|Varia  o cambial passiva - regra geral - valor evidenciado no registro L300 de acordo com o regime de compet ncia|A|3|364786,59|Variacao cambial nao realizada no periodo|</v>
      </c>
    </row>
    <row r="135" spans="1:17" x14ac:dyDescent="0.25">
      <c r="A135" t="s">
        <v>21</v>
      </c>
      <c r="B135" t="s">
        <v>30</v>
      </c>
      <c r="C135" t="s">
        <v>81</v>
      </c>
      <c r="D135" t="s">
        <v>425</v>
      </c>
      <c r="E135" t="s">
        <v>1038</v>
      </c>
      <c r="F135">
        <v>3260401</v>
      </c>
      <c r="G135" t="s">
        <v>1042</v>
      </c>
      <c r="H135" t="s">
        <v>1044</v>
      </c>
      <c r="J135" s="11">
        <v>45412</v>
      </c>
      <c r="K135">
        <v>986512.59</v>
      </c>
      <c r="L135" t="str">
        <f>IF(A135="IRPJ",IF(LEFT(B135,1)="1","|M305|",IF(LEFT(B135,1)="2","|M310|",IF(AND(LEFT(B135,1)="3",Tabela_BaseM[[#This Row],[CONTA PARTE B]]&lt;&gt;""),"|M305|",IF(LEFT(B135,1)="4","|M312|","")))),      IF(LEFT(B135,1)="1","|M355|",IF(LEFT(B135,1)="2","|M360|",IF(AND(LEFT(B135,1)="3",Tabela_BaseM[[#This Row],[CONTA PARTE B]]&lt;&gt;""),"|M355|",IF(LEFT(B135,1)="4","|M362|","")))))</f>
        <v>|M305|</v>
      </c>
      <c r="M135" t="str">
        <f>IF(LEFT(Tabela_BaseM[[#This Row],[TIPO RELACIONAMENTO]],1)="3",(IF(A135="IRPJ",IF(LEFT(B135,1)="1","|M305|",IF(LEFT(B135,1)="2","|M310|",IF(LEFT(B135,1)="3","|M310|",IF(LEFT(B135,1)="4","|M312|","")))),IF(LEFT(B135,1)="1","|M355|",IF(LEFT(B135,1)="2","|M360|",IF(LEFT(B135,1)="3","|M360|",IF(LEFT(B135,1)="4","|M362|","")))))),"")</f>
        <v>|M310|</v>
      </c>
      <c r="N13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|M305|VAR. CAMBIAL|986512,59|D|</v>
      </c>
      <c r="O13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|M310|3260401||986512,59|D|</v>
      </c>
      <c r="P13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5" t="str">
        <f>IF(A135="IRPJ",("|M300|"&amp;LEFT(C135,FIND("-",C135)-1)&amp;"|"&amp;RIGHT(C135,LEN(C135)-FIND("-",C135))&amp;"|"&amp;LEFT(D135,1)&amp;"|"&amp;LEFT(B135,1)&amp;"|"&amp;Tabela_BaseM[[#This Row],[Valor]]&amp;"|"&amp;Tabela_BaseM[[#This Row],[HISTÓRICO]]&amp;"|"),("|M350|"&amp;LEFT(C135,FIND("-",C135)-1)&amp;"|"&amp;RIGHT(C135,LEN(C135)-FIND("-",C135))&amp;"|"&amp;LEFT(D135,1)&amp;"|"&amp;LEFT(B135,1)&amp;"|"&amp;Tabela_BaseM[[#This Row],[Valor]]&amp;"|"&amp;Tabela_BaseM[[#This Row],[HISTÓRICO]]&amp;"|"))</f>
        <v>|M300|16|Varia  o cambial passiva - regra geral - valor evidenciado no registro L300 de acordo com o regime de compet ncia|A|3|986512,59|Variacao cambial nao realizada no periodo|</v>
      </c>
    </row>
    <row r="136" spans="1:17" x14ac:dyDescent="0.25">
      <c r="A136" t="s">
        <v>21</v>
      </c>
      <c r="B136" t="s">
        <v>30</v>
      </c>
      <c r="C136" t="s">
        <v>31</v>
      </c>
      <c r="D136" t="s">
        <v>425</v>
      </c>
      <c r="E136" t="s">
        <v>430</v>
      </c>
      <c r="F136">
        <v>3230305</v>
      </c>
      <c r="G136" t="s">
        <v>1084</v>
      </c>
      <c r="H136">
        <v>21405</v>
      </c>
      <c r="J136" s="11">
        <v>45412</v>
      </c>
      <c r="K136">
        <v>83886.140000000014</v>
      </c>
      <c r="L136" t="str">
        <f>IF(A136="IRPJ",IF(LEFT(B136,1)="1","|M305|",IF(LEFT(B136,1)="2","|M310|",IF(AND(LEFT(B136,1)="3",Tabela_BaseM[[#This Row],[CONTA PARTE B]]&lt;&gt;""),"|M305|",IF(LEFT(B136,1)="4","|M312|","")))),      IF(LEFT(B136,1)="1","|M355|",IF(LEFT(B136,1)="2","|M360|",IF(AND(LEFT(B136,1)="3",Tabela_BaseM[[#This Row],[CONTA PARTE B]]&lt;&gt;""),"|M355|",IF(LEFT(B136,1)="4","|M362|","")))))</f>
        <v>|M305|</v>
      </c>
      <c r="M136" t="str">
        <f>IF(LEFT(Tabela_BaseM[[#This Row],[TIPO RELACIONAMENTO]],1)="3",(IF(A136="IRPJ",IF(LEFT(B136,1)="1","|M305|",IF(LEFT(B136,1)="2","|M310|",IF(LEFT(B136,1)="3","|M310|",IF(LEFT(B136,1)="4","|M312|","")))),IF(LEFT(B136,1)="1","|M355|",IF(LEFT(B136,1)="2","|M360|",IF(LEFT(B136,1)="3","|M360|",IF(LEFT(B136,1)="4","|M362|","")))))),"")</f>
        <v>|M310|</v>
      </c>
      <c r="N13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|M305|21405|83886,14|D|</v>
      </c>
      <c r="O13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|M310|3230305||83886,14|D|</v>
      </c>
      <c r="P13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6" t="str">
        <f>IF(A136="IRPJ",("|M300|"&amp;LEFT(C136,FIND("-",C136)-1)&amp;"|"&amp;RIGHT(C136,LEN(C136)-FIND("-",C136))&amp;"|"&amp;LEFT(D136,1)&amp;"|"&amp;LEFT(B136,1)&amp;"|"&amp;Tabela_BaseM[[#This Row],[Valor]]&amp;"|"&amp;Tabela_BaseM[[#This Row],[HISTÓRICO]]&amp;"|"),("|M350|"&amp;LEFT(C136,FIND("-",C136)-1)&amp;"|"&amp;RIGHT(C136,LEN(C136)-FIND("-",C136))&amp;"|"&amp;LEFT(D136,1)&amp;"|"&amp;LEFT(B136,1)&amp;"|"&amp;Tabela_BaseM[[#This Row],[Valor]]&amp;"|"&amp;Tabela_BaseM[[#This Row],[HISTÓRICO]]&amp;"|"))</f>
        <v>|M300|6|Provis es ou perdas estimadas n o dedut veis|A|3|83886,14|Provisoes no período|</v>
      </c>
    </row>
    <row r="137" spans="1:17" x14ac:dyDescent="0.25">
      <c r="A137" t="s">
        <v>21</v>
      </c>
      <c r="B137" t="s">
        <v>30</v>
      </c>
      <c r="C137" t="s">
        <v>31</v>
      </c>
      <c r="D137" t="s">
        <v>425</v>
      </c>
      <c r="E137" t="s">
        <v>430</v>
      </c>
      <c r="F137">
        <v>3150202</v>
      </c>
      <c r="G137" t="s">
        <v>1026</v>
      </c>
      <c r="H137">
        <v>2130304</v>
      </c>
      <c r="J137" s="11">
        <v>45412</v>
      </c>
      <c r="K137">
        <v>6607.0100000000093</v>
      </c>
      <c r="L137" t="str">
        <f>IF(A137="IRPJ",IF(LEFT(B137,1)="1","|M305|",IF(LEFT(B137,1)="2","|M310|",IF(AND(LEFT(B137,1)="3",Tabela_BaseM[[#This Row],[CONTA PARTE B]]&lt;&gt;""),"|M305|",IF(LEFT(B137,1)="4","|M312|","")))),      IF(LEFT(B137,1)="1","|M355|",IF(LEFT(B137,1)="2","|M360|",IF(AND(LEFT(B137,1)="3",Tabela_BaseM[[#This Row],[CONTA PARTE B]]&lt;&gt;""),"|M355|",IF(LEFT(B137,1)="4","|M362|","")))))</f>
        <v>|M305|</v>
      </c>
      <c r="M137" t="str">
        <f>IF(LEFT(Tabela_BaseM[[#This Row],[TIPO RELACIONAMENTO]],1)="3",(IF(A137="IRPJ",IF(LEFT(B137,1)="1","|M305|",IF(LEFT(B137,1)="2","|M310|",IF(LEFT(B137,1)="3","|M310|",IF(LEFT(B137,1)="4","|M312|","")))),IF(LEFT(B137,1)="1","|M355|",IF(LEFT(B137,1)="2","|M360|",IF(LEFT(B137,1)="3","|M360|",IF(LEFT(B137,1)="4","|M362|","")))))),"")</f>
        <v>|M310|</v>
      </c>
      <c r="N13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|M305|2130304|6607,01000000001|D|</v>
      </c>
      <c r="O13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|M310|3150202||6607,01000000001|D|</v>
      </c>
      <c r="P13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7" t="str">
        <f>IF(A137="IRPJ",("|M300|"&amp;LEFT(C137,FIND("-",C137)-1)&amp;"|"&amp;RIGHT(C137,LEN(C137)-FIND("-",C137))&amp;"|"&amp;LEFT(D137,1)&amp;"|"&amp;LEFT(B137,1)&amp;"|"&amp;Tabela_BaseM[[#This Row],[Valor]]&amp;"|"&amp;Tabela_BaseM[[#This Row],[HISTÓRICO]]&amp;"|"),("|M350|"&amp;LEFT(C137,FIND("-",C137)-1)&amp;"|"&amp;RIGHT(C137,LEN(C137)-FIND("-",C137))&amp;"|"&amp;LEFT(D137,1)&amp;"|"&amp;LEFT(B137,1)&amp;"|"&amp;Tabela_BaseM[[#This Row],[Valor]]&amp;"|"&amp;Tabela_BaseM[[#This Row],[HISTÓRICO]]&amp;"|"))</f>
        <v>|M300|6|Provis es ou perdas estimadas n o dedut veis|A|3|6607,01000000001|Provisoes no período|</v>
      </c>
    </row>
    <row r="138" spans="1:17" x14ac:dyDescent="0.25">
      <c r="A138" t="s">
        <v>21</v>
      </c>
      <c r="B138" t="s">
        <v>30</v>
      </c>
      <c r="C138" t="s">
        <v>31</v>
      </c>
      <c r="D138" t="s">
        <v>425</v>
      </c>
      <c r="E138" t="s">
        <v>430</v>
      </c>
      <c r="F138">
        <v>3150201</v>
      </c>
      <c r="G138" t="s">
        <v>1028</v>
      </c>
      <c r="H138">
        <v>2130308</v>
      </c>
      <c r="J138" s="11">
        <v>45412</v>
      </c>
      <c r="K138">
        <v>29893.099999999991</v>
      </c>
      <c r="L138" t="str">
        <f>IF(A138="IRPJ",IF(LEFT(B138,1)="1","|M305|",IF(LEFT(B138,1)="2","|M310|",IF(AND(LEFT(B138,1)="3",Tabela_BaseM[[#This Row],[CONTA PARTE B]]&lt;&gt;""),"|M305|",IF(LEFT(B138,1)="4","|M312|","")))),      IF(LEFT(B138,1)="1","|M355|",IF(LEFT(B138,1)="2","|M360|",IF(AND(LEFT(B138,1)="3",Tabela_BaseM[[#This Row],[CONTA PARTE B]]&lt;&gt;""),"|M355|",IF(LEFT(B138,1)="4","|M362|","")))))</f>
        <v>|M305|</v>
      </c>
      <c r="M138" t="str">
        <f>IF(LEFT(Tabela_BaseM[[#This Row],[TIPO RELACIONAMENTO]],1)="3",(IF(A138="IRPJ",IF(LEFT(B138,1)="1","|M305|",IF(LEFT(B138,1)="2","|M310|",IF(LEFT(B138,1)="3","|M310|",IF(LEFT(B138,1)="4","|M312|","")))),IF(LEFT(B138,1)="1","|M355|",IF(LEFT(B138,1)="2","|M360|",IF(LEFT(B138,1)="3","|M360|",IF(LEFT(B138,1)="4","|M362|","")))))),"")</f>
        <v>|M310|</v>
      </c>
      <c r="N13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|M305|2130308|29893,1|D|</v>
      </c>
      <c r="O13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|M310|3150201||29893,1|D|</v>
      </c>
      <c r="P13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8" t="str">
        <f>IF(A138="IRPJ",("|M300|"&amp;LEFT(C138,FIND("-",C138)-1)&amp;"|"&amp;RIGHT(C138,LEN(C138)-FIND("-",C138))&amp;"|"&amp;LEFT(D138,1)&amp;"|"&amp;LEFT(B138,1)&amp;"|"&amp;Tabela_BaseM[[#This Row],[Valor]]&amp;"|"&amp;Tabela_BaseM[[#This Row],[HISTÓRICO]]&amp;"|"),("|M350|"&amp;LEFT(C138,FIND("-",C138)-1)&amp;"|"&amp;RIGHT(C138,LEN(C138)-FIND("-",C138))&amp;"|"&amp;LEFT(D138,1)&amp;"|"&amp;LEFT(B138,1)&amp;"|"&amp;Tabela_BaseM[[#This Row],[Valor]]&amp;"|"&amp;Tabela_BaseM[[#This Row],[HISTÓRICO]]&amp;"|"))</f>
        <v>|M300|6|Provis es ou perdas estimadas n o dedut veis|A|3|29893,1|Provisoes no período|</v>
      </c>
    </row>
    <row r="139" spans="1:17" x14ac:dyDescent="0.25">
      <c r="A139" t="s">
        <v>21</v>
      </c>
      <c r="B139" t="s">
        <v>30</v>
      </c>
      <c r="C139" t="s">
        <v>31</v>
      </c>
      <c r="D139" t="s">
        <v>425</v>
      </c>
      <c r="E139" t="s">
        <v>430</v>
      </c>
      <c r="F139">
        <v>3211603</v>
      </c>
      <c r="G139" t="s">
        <v>1063</v>
      </c>
      <c r="H139">
        <v>2130307</v>
      </c>
      <c r="J139" s="11">
        <v>45412</v>
      </c>
      <c r="K139">
        <v>2283248.67</v>
      </c>
      <c r="L139" t="str">
        <f>IF(A139="IRPJ",IF(LEFT(B139,1)="1","|M305|",IF(LEFT(B139,1)="2","|M310|",IF(AND(LEFT(B139,1)="3",Tabela_BaseM[[#This Row],[CONTA PARTE B]]&lt;&gt;""),"|M305|",IF(LEFT(B139,1)="4","|M312|","")))),      IF(LEFT(B139,1)="1","|M355|",IF(LEFT(B139,1)="2","|M360|",IF(AND(LEFT(B139,1)="3",Tabela_BaseM[[#This Row],[CONTA PARTE B]]&lt;&gt;""),"|M355|",IF(LEFT(B139,1)="4","|M362|","")))))</f>
        <v>|M305|</v>
      </c>
      <c r="M139" t="str">
        <f>IF(LEFT(Tabela_BaseM[[#This Row],[TIPO RELACIONAMENTO]],1)="3",(IF(A139="IRPJ",IF(LEFT(B139,1)="1","|M305|",IF(LEFT(B139,1)="2","|M310|",IF(LEFT(B139,1)="3","|M310|",IF(LEFT(B139,1)="4","|M312|","")))),IF(LEFT(B139,1)="1","|M355|",IF(LEFT(B139,1)="2","|M360|",IF(LEFT(B139,1)="3","|M360|",IF(LEFT(B139,1)="4","|M362|","")))))),"")</f>
        <v>|M310|</v>
      </c>
      <c r="N13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|M305|2130307|2283248,67|D|</v>
      </c>
      <c r="O13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|M310|3211603||2283248,67|D|</v>
      </c>
      <c r="P13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39" t="str">
        <f>IF(A139="IRPJ",("|M300|"&amp;LEFT(C139,FIND("-",C139)-1)&amp;"|"&amp;RIGHT(C139,LEN(C139)-FIND("-",C139))&amp;"|"&amp;LEFT(D139,1)&amp;"|"&amp;LEFT(B139,1)&amp;"|"&amp;Tabela_BaseM[[#This Row],[Valor]]&amp;"|"&amp;Tabela_BaseM[[#This Row],[HISTÓRICO]]&amp;"|"),("|M350|"&amp;LEFT(C139,FIND("-",C139)-1)&amp;"|"&amp;RIGHT(C139,LEN(C139)-FIND("-",C139))&amp;"|"&amp;LEFT(D139,1)&amp;"|"&amp;LEFT(B139,1)&amp;"|"&amp;Tabela_BaseM[[#This Row],[Valor]]&amp;"|"&amp;Tabela_BaseM[[#This Row],[HISTÓRICO]]&amp;"|"))</f>
        <v>|M300|6|Provis es ou perdas estimadas n o dedut veis|A|3|2283248,67|Provisoes no período|</v>
      </c>
    </row>
    <row r="140" spans="1:17" x14ac:dyDescent="0.25">
      <c r="A140" t="s">
        <v>21</v>
      </c>
      <c r="B140" t="s">
        <v>30</v>
      </c>
      <c r="C140" t="s">
        <v>31</v>
      </c>
      <c r="D140" t="s">
        <v>425</v>
      </c>
      <c r="E140" t="s">
        <v>430</v>
      </c>
      <c r="F140">
        <v>3210201</v>
      </c>
      <c r="G140" t="s">
        <v>1058</v>
      </c>
      <c r="H140">
        <v>2130301</v>
      </c>
      <c r="J140" s="11">
        <v>45412</v>
      </c>
      <c r="K140">
        <v>340114.33000000019</v>
      </c>
      <c r="L140" t="str">
        <f>IF(A140="IRPJ",IF(LEFT(B140,1)="1","|M305|",IF(LEFT(B140,1)="2","|M310|",IF(AND(LEFT(B140,1)="3",Tabela_BaseM[[#This Row],[CONTA PARTE B]]&lt;&gt;""),"|M305|",IF(LEFT(B140,1)="4","|M312|","")))),      IF(LEFT(B140,1)="1","|M355|",IF(LEFT(B140,1)="2","|M360|",IF(AND(LEFT(B140,1)="3",Tabela_BaseM[[#This Row],[CONTA PARTE B]]&lt;&gt;""),"|M355|",IF(LEFT(B140,1)="4","|M362|","")))))</f>
        <v>|M305|</v>
      </c>
      <c r="M140" t="str">
        <f>IF(LEFT(Tabela_BaseM[[#This Row],[TIPO RELACIONAMENTO]],1)="3",(IF(A140="IRPJ",IF(LEFT(B140,1)="1","|M305|",IF(LEFT(B140,1)="2","|M310|",IF(LEFT(B140,1)="3","|M310|",IF(LEFT(B140,1)="4","|M312|","")))),IF(LEFT(B140,1)="1","|M355|",IF(LEFT(B140,1)="2","|M360|",IF(LEFT(B140,1)="3","|M360|",IF(LEFT(B140,1)="4","|M362|","")))))),"")</f>
        <v>|M310|</v>
      </c>
      <c r="N14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|M305|2130301|340114,33|D|</v>
      </c>
      <c r="O14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|M310|3210201||340114,33|D|</v>
      </c>
      <c r="P14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0" t="str">
        <f>IF(A140="IRPJ",("|M300|"&amp;LEFT(C140,FIND("-",C140)-1)&amp;"|"&amp;RIGHT(C140,LEN(C140)-FIND("-",C140))&amp;"|"&amp;LEFT(D140,1)&amp;"|"&amp;LEFT(B140,1)&amp;"|"&amp;Tabela_BaseM[[#This Row],[Valor]]&amp;"|"&amp;Tabela_BaseM[[#This Row],[HISTÓRICO]]&amp;"|"),("|M350|"&amp;LEFT(C140,FIND("-",C140)-1)&amp;"|"&amp;RIGHT(C140,LEN(C140)-FIND("-",C140))&amp;"|"&amp;LEFT(D140,1)&amp;"|"&amp;LEFT(B140,1)&amp;"|"&amp;Tabela_BaseM[[#This Row],[Valor]]&amp;"|"&amp;Tabela_BaseM[[#This Row],[HISTÓRICO]]&amp;"|"))</f>
        <v>|M300|6|Provis es ou perdas estimadas n o dedut veis|A|3|340114,33|Provisoes no período|</v>
      </c>
    </row>
    <row r="141" spans="1:17" x14ac:dyDescent="0.25">
      <c r="A141" t="s">
        <v>21</v>
      </c>
      <c r="B141" t="s">
        <v>30</v>
      </c>
      <c r="C141" t="s">
        <v>31</v>
      </c>
      <c r="D141" t="s">
        <v>425</v>
      </c>
      <c r="E141" t="s">
        <v>430</v>
      </c>
      <c r="F141">
        <v>3210202</v>
      </c>
      <c r="G141" t="s">
        <v>1059</v>
      </c>
      <c r="H141">
        <v>2130302</v>
      </c>
      <c r="J141" s="11">
        <v>45412</v>
      </c>
      <c r="K141">
        <v>452072.5</v>
      </c>
      <c r="L141" t="str">
        <f>IF(A141="IRPJ",IF(LEFT(B141,1)="1","|M305|",IF(LEFT(B141,1)="2","|M310|",IF(AND(LEFT(B141,1)="3",Tabela_BaseM[[#This Row],[CONTA PARTE B]]&lt;&gt;""),"|M305|",IF(LEFT(B141,1)="4","|M312|","")))),      IF(LEFT(B141,1)="1","|M355|",IF(LEFT(B141,1)="2","|M360|",IF(AND(LEFT(B141,1)="3",Tabela_BaseM[[#This Row],[CONTA PARTE B]]&lt;&gt;""),"|M355|",IF(LEFT(B141,1)="4","|M362|","")))))</f>
        <v>|M305|</v>
      </c>
      <c r="M141" t="str">
        <f>IF(LEFT(Tabela_BaseM[[#This Row],[TIPO RELACIONAMENTO]],1)="3",(IF(A141="IRPJ",IF(LEFT(B141,1)="1","|M305|",IF(LEFT(B141,1)="2","|M310|",IF(LEFT(B141,1)="3","|M310|",IF(LEFT(B141,1)="4","|M312|","")))),IF(LEFT(B141,1)="1","|M355|",IF(LEFT(B141,1)="2","|M360|",IF(LEFT(B141,1)="3","|M360|",IF(LEFT(B141,1)="4","|M362|","")))))),"")</f>
        <v>|M310|</v>
      </c>
      <c r="N14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|M305|2130302|452072,5|D|</v>
      </c>
      <c r="O14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|M310|3210202||452072,5|D|</v>
      </c>
      <c r="P14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1" t="str">
        <f>IF(A141="IRPJ",("|M300|"&amp;LEFT(C141,FIND("-",C141)-1)&amp;"|"&amp;RIGHT(C141,LEN(C141)-FIND("-",C141))&amp;"|"&amp;LEFT(D141,1)&amp;"|"&amp;LEFT(B141,1)&amp;"|"&amp;Tabela_BaseM[[#This Row],[Valor]]&amp;"|"&amp;Tabela_BaseM[[#This Row],[HISTÓRICO]]&amp;"|"),("|M350|"&amp;LEFT(C141,FIND("-",C141)-1)&amp;"|"&amp;RIGHT(C141,LEN(C141)-FIND("-",C141))&amp;"|"&amp;LEFT(D141,1)&amp;"|"&amp;LEFT(B141,1)&amp;"|"&amp;Tabela_BaseM[[#This Row],[Valor]]&amp;"|"&amp;Tabela_BaseM[[#This Row],[HISTÓRICO]]&amp;"|"))</f>
        <v>|M300|6|Provis es ou perdas estimadas n o dedut veis|A|3|452072,5|Provisoes no período|</v>
      </c>
    </row>
    <row r="142" spans="1:17" x14ac:dyDescent="0.25">
      <c r="A142" t="s">
        <v>21</v>
      </c>
      <c r="B142" t="s">
        <v>22</v>
      </c>
      <c r="C142" t="s">
        <v>44</v>
      </c>
      <c r="D142" t="s">
        <v>425</v>
      </c>
      <c r="E142" t="s">
        <v>1095</v>
      </c>
      <c r="F142">
        <v>3211305</v>
      </c>
      <c r="G142" t="s">
        <v>1011</v>
      </c>
      <c r="J142" s="11">
        <v>45412</v>
      </c>
      <c r="K142">
        <v>12233.399999999994</v>
      </c>
      <c r="L142" t="str">
        <f>IF(A142="IRPJ",IF(LEFT(B142,1)="1","|M305|",IF(LEFT(B142,1)="2","|M310|",IF(AND(LEFT(B142,1)="3",Tabela_BaseM[[#This Row],[CONTA PARTE B]]&lt;&gt;""),"|M305|",IF(LEFT(B142,1)="4","|M312|","")))),      IF(LEFT(B142,1)="1","|M355|",IF(LEFT(B142,1)="2","|M360|",IF(AND(LEFT(B142,1)="3",Tabela_BaseM[[#This Row],[CONTA PARTE B]]&lt;&gt;""),"|M355|",IF(LEFT(B142,1)="4","|M362|","")))))</f>
        <v>|M310|</v>
      </c>
      <c r="M142" t="str">
        <f>IF(LEFT(Tabela_BaseM[[#This Row],[TIPO RELACIONAMENTO]],1)="3",(IF(A142="IRPJ",IF(LEFT(B142,1)="1","|M305|",IF(LEFT(B142,1)="2","|M310|",IF(LEFT(B142,1)="3","|M310|",IF(LEFT(B142,1)="4","|M312|","")))),IF(LEFT(B142,1)="1","|M355|",IF(LEFT(B142,1)="2","|M360|",IF(LEFT(B142,1)="3","|M360|",IF(LEFT(B142,1)="4","|M362|","")))))),"")</f>
        <v/>
      </c>
      <c r="N14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|M310|3211305||12233,4|D|</v>
      </c>
      <c r="O14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2" t="str">
        <f>IF(A142="IRPJ",("|M300|"&amp;LEFT(C142,FIND("-",C142)-1)&amp;"|"&amp;RIGHT(C142,LEN(C142)-FIND("-",C142))&amp;"|"&amp;LEFT(D142,1)&amp;"|"&amp;LEFT(B142,1)&amp;"|"&amp;Tabela_BaseM[[#This Row],[Valor]]&amp;"|"&amp;Tabela_BaseM[[#This Row],[HISTÓRICO]]&amp;"|"),("|M350|"&amp;LEFT(C142,FIND("-",C142)-1)&amp;"|"&amp;RIGHT(C142,LEN(C142)-FIND("-",C142))&amp;"|"&amp;LEFT(D142,1)&amp;"|"&amp;LEFT(B142,1)&amp;"|"&amp;Tabela_BaseM[[#This Row],[Valor]]&amp;"|"&amp;Tabela_BaseM[[#This Row],[HISTÓRICO]]&amp;"|"))</f>
        <v>|M300|8.13|Doa  es a entidades civis - parcelas n o dedut veis|A|2|12233,4|Contribuicoes a associacoes no periodo|</v>
      </c>
    </row>
    <row r="143" spans="1:17" x14ac:dyDescent="0.25">
      <c r="A143" t="s">
        <v>21</v>
      </c>
      <c r="B143" t="s">
        <v>22</v>
      </c>
      <c r="C143" t="s">
        <v>44</v>
      </c>
      <c r="D143" t="s">
        <v>425</v>
      </c>
      <c r="E143" t="s">
        <v>1095</v>
      </c>
      <c r="F143">
        <v>3211304</v>
      </c>
      <c r="G143" t="s">
        <v>1009</v>
      </c>
      <c r="J143" s="11">
        <v>45412</v>
      </c>
      <c r="K143">
        <v>1596.8400000000006</v>
      </c>
      <c r="L143" t="str">
        <f>IF(A143="IRPJ",IF(LEFT(B143,1)="1","|M305|",IF(LEFT(B143,1)="2","|M310|",IF(AND(LEFT(B143,1)="3",Tabela_BaseM[[#This Row],[CONTA PARTE B]]&lt;&gt;""),"|M305|",IF(LEFT(B143,1)="4","|M312|","")))),      IF(LEFT(B143,1)="1","|M355|",IF(LEFT(B143,1)="2","|M360|",IF(AND(LEFT(B143,1)="3",Tabela_BaseM[[#This Row],[CONTA PARTE B]]&lt;&gt;""),"|M355|",IF(LEFT(B143,1)="4","|M362|","")))))</f>
        <v>|M310|</v>
      </c>
      <c r="M143" t="str">
        <f>IF(LEFT(Tabela_BaseM[[#This Row],[TIPO RELACIONAMENTO]],1)="3",(IF(A143="IRPJ",IF(LEFT(B143,1)="1","|M305|",IF(LEFT(B143,1)="2","|M310|",IF(LEFT(B143,1)="3","|M310|",IF(LEFT(B143,1)="4","|M312|","")))),IF(LEFT(B143,1)="1","|M355|",IF(LEFT(B143,1)="2","|M360|",IF(LEFT(B143,1)="3","|M360|",IF(LEFT(B143,1)="4","|M362|","")))))),"")</f>
        <v/>
      </c>
      <c r="N14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|M310|3211304||1596,84|D|</v>
      </c>
      <c r="O14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3" t="str">
        <f>IF(A143="IRPJ",("|M300|"&amp;LEFT(C143,FIND("-",C143)-1)&amp;"|"&amp;RIGHT(C143,LEN(C143)-FIND("-",C143))&amp;"|"&amp;LEFT(D143,1)&amp;"|"&amp;LEFT(B143,1)&amp;"|"&amp;Tabela_BaseM[[#This Row],[Valor]]&amp;"|"&amp;Tabela_BaseM[[#This Row],[HISTÓRICO]]&amp;"|"),("|M350|"&amp;LEFT(C143,FIND("-",C143)-1)&amp;"|"&amp;RIGHT(C143,LEN(C143)-FIND("-",C143))&amp;"|"&amp;LEFT(D143,1)&amp;"|"&amp;LEFT(B143,1)&amp;"|"&amp;Tabela_BaseM[[#This Row],[Valor]]&amp;"|"&amp;Tabela_BaseM[[#This Row],[HISTÓRICO]]&amp;"|"))</f>
        <v>|M300|8.13|Doa  es a entidades civis - parcelas n o dedut veis|A|2|1596,84|Contribuicoes a associacoes no periodo|</v>
      </c>
    </row>
    <row r="144" spans="1:17" x14ac:dyDescent="0.25">
      <c r="A144" t="s">
        <v>21</v>
      </c>
      <c r="B144" t="s">
        <v>22</v>
      </c>
      <c r="C144" t="s">
        <v>56</v>
      </c>
      <c r="D144" t="s">
        <v>425</v>
      </c>
      <c r="E144" t="s">
        <v>1022</v>
      </c>
      <c r="F144">
        <v>3230106</v>
      </c>
      <c r="G144" t="s">
        <v>1021</v>
      </c>
      <c r="J144" s="11">
        <v>45412</v>
      </c>
      <c r="K144">
        <v>987.47000000000116</v>
      </c>
      <c r="L144" t="str">
        <f>IF(A144="IRPJ",IF(LEFT(B144,1)="1","|M305|",IF(LEFT(B144,1)="2","|M310|",IF(AND(LEFT(B144,1)="3",Tabela_BaseM[[#This Row],[CONTA PARTE B]]&lt;&gt;""),"|M305|",IF(LEFT(B144,1)="4","|M312|","")))),      IF(LEFT(B144,1)="1","|M355|",IF(LEFT(B144,1)="2","|M360|",IF(AND(LEFT(B144,1)="3",Tabela_BaseM[[#This Row],[CONTA PARTE B]]&lt;&gt;""),"|M355|",IF(LEFT(B144,1)="4","|M362|","")))))</f>
        <v>|M310|</v>
      </c>
      <c r="M144" t="str">
        <f>IF(LEFT(Tabela_BaseM[[#This Row],[TIPO RELACIONAMENTO]],1)="3",(IF(A144="IRPJ",IF(LEFT(B144,1)="1","|M305|",IF(LEFT(B144,1)="2","|M310|",IF(LEFT(B144,1)="3","|M310|",IF(LEFT(B144,1)="4","|M312|","")))),IF(LEFT(B144,1)="1","|M355|",IF(LEFT(B144,1)="2","|M360|",IF(LEFT(B144,1)="3","|M360|",IF(LEFT(B144,1)="4","|M362|","")))))),"")</f>
        <v/>
      </c>
      <c r="N14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|M310|3230106||987,470000000001|D|</v>
      </c>
      <c r="O14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4" t="str">
        <f>IF(A144="IRPJ",("|M300|"&amp;LEFT(C144,FIND("-",C144)-1)&amp;"|"&amp;RIGHT(C144,LEN(C144)-FIND("-",C144))&amp;"|"&amp;LEFT(D144,1)&amp;"|"&amp;LEFT(B144,1)&amp;"|"&amp;Tabela_BaseM[[#This Row],[Valor]]&amp;"|"&amp;Tabela_BaseM[[#This Row],[HISTÓRICO]]&amp;"|"),("|M350|"&amp;LEFT(C144,FIND("-",C144)-1)&amp;"|"&amp;RIGHT(C144,LEN(C144)-FIND("-",C144))&amp;"|"&amp;LEFT(D144,1)&amp;"|"&amp;LEFT(B144,1)&amp;"|"&amp;Tabela_BaseM[[#This Row],[Valor]]&amp;"|"&amp;Tabela_BaseM[[#This Row],[HISTÓRICO]]&amp;"|"))</f>
        <v>|M300|8.60|Multas por infra  es fiscais|A|2|987,470000000001|Multas por infracoes fiscais no periodo|</v>
      </c>
    </row>
    <row r="145" spans="1:17" x14ac:dyDescent="0.25">
      <c r="A145" t="s">
        <v>21</v>
      </c>
      <c r="B145" t="s">
        <v>22</v>
      </c>
      <c r="C145" t="s">
        <v>56</v>
      </c>
      <c r="D145" t="s">
        <v>425</v>
      </c>
      <c r="E145" t="s">
        <v>1022</v>
      </c>
      <c r="F145">
        <v>3230108</v>
      </c>
      <c r="G145" t="s">
        <v>1019</v>
      </c>
      <c r="J145" s="11">
        <v>45412</v>
      </c>
      <c r="K145">
        <v>24906.569999999992</v>
      </c>
      <c r="L145" t="str">
        <f>IF(A145="IRPJ",IF(LEFT(B145,1)="1","|M305|",IF(LEFT(B145,1)="2","|M310|",IF(AND(LEFT(B145,1)="3",Tabela_BaseM[[#This Row],[CONTA PARTE B]]&lt;&gt;""),"|M305|",IF(LEFT(B145,1)="4","|M312|","")))),      IF(LEFT(B145,1)="1","|M355|",IF(LEFT(B145,1)="2","|M360|",IF(AND(LEFT(B145,1)="3",Tabela_BaseM[[#This Row],[CONTA PARTE B]]&lt;&gt;""),"|M355|",IF(LEFT(B145,1)="4","|M362|","")))))</f>
        <v>|M310|</v>
      </c>
      <c r="M145" t="str">
        <f>IF(LEFT(Tabela_BaseM[[#This Row],[TIPO RELACIONAMENTO]],1)="3",(IF(A145="IRPJ",IF(LEFT(B145,1)="1","|M305|",IF(LEFT(B145,1)="2","|M310|",IF(LEFT(B145,1)="3","|M310|",IF(LEFT(B145,1)="4","|M312|","")))),IF(LEFT(B145,1)="1","|M355|",IF(LEFT(B145,1)="2","|M360|",IF(LEFT(B145,1)="3","|M360|",IF(LEFT(B145,1)="4","|M362|","")))))),"")</f>
        <v/>
      </c>
      <c r="N14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|M310|3230108||24906,57|D|</v>
      </c>
      <c r="O14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5" t="str">
        <f>IF(A145="IRPJ",("|M300|"&amp;LEFT(C145,FIND("-",C145)-1)&amp;"|"&amp;RIGHT(C145,LEN(C145)-FIND("-",C145))&amp;"|"&amp;LEFT(D145,1)&amp;"|"&amp;LEFT(B145,1)&amp;"|"&amp;Tabela_BaseM[[#This Row],[Valor]]&amp;"|"&amp;Tabela_BaseM[[#This Row],[HISTÓRICO]]&amp;"|"),("|M350|"&amp;LEFT(C145,FIND("-",C145)-1)&amp;"|"&amp;RIGHT(C145,LEN(C145)-FIND("-",C145))&amp;"|"&amp;LEFT(D145,1)&amp;"|"&amp;LEFT(B145,1)&amp;"|"&amp;Tabela_BaseM[[#This Row],[Valor]]&amp;"|"&amp;Tabela_BaseM[[#This Row],[HISTÓRICO]]&amp;"|"))</f>
        <v>|M300|8.60|Multas por infra  es fiscais|A|2|24906,57|Multas por infracoes fiscais no periodo|</v>
      </c>
    </row>
    <row r="146" spans="1:17" x14ac:dyDescent="0.25">
      <c r="A146" t="s">
        <v>21</v>
      </c>
      <c r="B146" t="s">
        <v>22</v>
      </c>
      <c r="C146" t="s">
        <v>25</v>
      </c>
      <c r="D146" t="s">
        <v>425</v>
      </c>
      <c r="E146" t="s">
        <v>784</v>
      </c>
      <c r="F146">
        <v>3210806</v>
      </c>
      <c r="G146" t="s">
        <v>1017</v>
      </c>
      <c r="J146" s="11">
        <v>45412</v>
      </c>
      <c r="K146">
        <v>208.26</v>
      </c>
      <c r="L146" t="str">
        <f>IF(A146="IRPJ",IF(LEFT(B146,1)="1","|M305|",IF(LEFT(B146,1)="2","|M310|",IF(AND(LEFT(B146,1)="3",Tabela_BaseM[[#This Row],[CONTA PARTE B]]&lt;&gt;""),"|M305|",IF(LEFT(B146,1)="4","|M312|","")))),      IF(LEFT(B146,1)="1","|M355|",IF(LEFT(B146,1)="2","|M360|",IF(AND(LEFT(B146,1)="3",Tabela_BaseM[[#This Row],[CONTA PARTE B]]&lt;&gt;""),"|M355|",IF(LEFT(B146,1)="4","|M362|","")))))</f>
        <v>|M310|</v>
      </c>
      <c r="M146" t="str">
        <f>IF(LEFT(Tabela_BaseM[[#This Row],[TIPO RELACIONAMENTO]],1)="3",(IF(A146="IRPJ",IF(LEFT(B146,1)="1","|M305|",IF(LEFT(B146,1)="2","|M310|",IF(LEFT(B146,1)="3","|M310|",IF(LEFT(B146,1)="4","|M312|","")))),IF(LEFT(B146,1)="1","|M355|",IF(LEFT(B146,1)="2","|M360|",IF(LEFT(B146,1)="3","|M360|",IF(LEFT(B146,1)="4","|M362|","")))))),"")</f>
        <v/>
      </c>
      <c r="N14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|M310|3210806||208,26|D|</v>
      </c>
      <c r="O14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6" t="str">
        <f>IF(A146="IRPJ",("|M300|"&amp;LEFT(C146,FIND("-",C146)-1)&amp;"|"&amp;RIGHT(C146,LEN(C146)-FIND("-",C146))&amp;"|"&amp;LEFT(D146,1)&amp;"|"&amp;LEFT(B146,1)&amp;"|"&amp;Tabela_BaseM[[#This Row],[Valor]]&amp;"|"&amp;Tabela_BaseM[[#This Row],[HISTÓRICO]]&amp;"|"),("|M350|"&amp;LEFT(C146,FIND("-",C146)-1)&amp;"|"&amp;RIGHT(C146,LEN(C146)-FIND("-",C146))&amp;"|"&amp;LEFT(D146,1)&amp;"|"&amp;LEFT(B146,1)&amp;"|"&amp;Tabela_BaseM[[#This Row],[Valor]]&amp;"|"&amp;Tabela_BaseM[[#This Row],[HISTÓRICO]]&amp;"|"))</f>
        <v>|M300|8.65|Multas impostas por transgress es de leis de natureza n o tribut ria|A|2|208,26|Multas nao fiscais no periodo|</v>
      </c>
    </row>
    <row r="147" spans="1:17" x14ac:dyDescent="0.25">
      <c r="A147" t="s">
        <v>21</v>
      </c>
      <c r="B147" t="s">
        <v>22</v>
      </c>
      <c r="C147" t="s">
        <v>27</v>
      </c>
      <c r="D147" t="s">
        <v>425</v>
      </c>
      <c r="E147" t="s">
        <v>526</v>
      </c>
      <c r="F147">
        <v>3211505</v>
      </c>
      <c r="G147" t="s">
        <v>1024</v>
      </c>
      <c r="J147" s="11">
        <v>45412</v>
      </c>
      <c r="K147">
        <v>19594.369999999995</v>
      </c>
      <c r="L147" t="str">
        <f>IF(A147="IRPJ",IF(LEFT(B147,1)="1","|M305|",IF(LEFT(B147,1)="2","|M310|",IF(AND(LEFT(B147,1)="3",Tabela_BaseM[[#This Row],[CONTA PARTE B]]&lt;&gt;""),"|M305|",IF(LEFT(B147,1)="4","|M312|","")))),      IF(LEFT(B147,1)="1","|M355|",IF(LEFT(B147,1)="2","|M360|",IF(AND(LEFT(B147,1)="3",Tabela_BaseM[[#This Row],[CONTA PARTE B]]&lt;&gt;""),"|M355|",IF(LEFT(B147,1)="4","|M362|","")))))</f>
        <v>|M310|</v>
      </c>
      <c r="M147" t="str">
        <f>IF(LEFT(Tabela_BaseM[[#This Row],[TIPO RELACIONAMENTO]],1)="3",(IF(A147="IRPJ",IF(LEFT(B147,1)="1","|M305|",IF(LEFT(B147,1)="2","|M310|",IF(LEFT(B147,1)="3","|M310|",IF(LEFT(B147,1)="4","|M312|","")))),IF(LEFT(B147,1)="1","|M355|",IF(LEFT(B147,1)="2","|M360|",IF(LEFT(B147,1)="3","|M360|",IF(LEFT(B147,1)="4","|M362|","")))))),"")</f>
        <v/>
      </c>
      <c r="N14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|M310|3211505||19594,37|D|</v>
      </c>
      <c r="O14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7" t="str">
        <f>IF(A147="IRPJ",("|M300|"&amp;LEFT(C147,FIND("-",C147)-1)&amp;"|"&amp;RIGHT(C147,LEN(C147)-FIND("-",C147))&amp;"|"&amp;LEFT(D147,1)&amp;"|"&amp;LEFT(B147,1)&amp;"|"&amp;Tabela_BaseM[[#This Row],[Valor]]&amp;"|"&amp;Tabela_BaseM[[#This Row],[HISTÓRICO]]&amp;"|"),("|M350|"&amp;LEFT(C147,FIND("-",C147)-1)&amp;"|"&amp;RIGHT(C147,LEN(C147)-FIND("-",C147))&amp;"|"&amp;LEFT(D147,1)&amp;"|"&amp;LEFT(B147,1)&amp;"|"&amp;Tabela_BaseM[[#This Row],[Valor]]&amp;"|"&amp;Tabela_BaseM[[#This Row],[HISTÓRICO]]&amp;"|"))</f>
        <v>|M300|8.75|Remunera  o de s cios|A|2|19594,37|Remuneracoes a socios|</v>
      </c>
    </row>
    <row r="148" spans="1:17" x14ac:dyDescent="0.25">
      <c r="A148" t="s">
        <v>21</v>
      </c>
      <c r="B148" t="s">
        <v>22</v>
      </c>
      <c r="C148" t="s">
        <v>23</v>
      </c>
      <c r="D148" t="s">
        <v>425</v>
      </c>
      <c r="E148" t="s">
        <v>527</v>
      </c>
      <c r="F148">
        <v>3211005</v>
      </c>
      <c r="G148" t="s">
        <v>24</v>
      </c>
      <c r="J148" s="11">
        <v>45412</v>
      </c>
      <c r="K148">
        <v>14497.14</v>
      </c>
      <c r="L148" t="str">
        <f>IF(A148="IRPJ",IF(LEFT(B148,1)="1","|M305|",IF(LEFT(B148,1)="2","|M310|",IF(AND(LEFT(B148,1)="3",Tabela_BaseM[[#This Row],[CONTA PARTE B]]&lt;&gt;""),"|M305|",IF(LEFT(B148,1)="4","|M312|","")))),      IF(LEFT(B148,1)="1","|M355|",IF(LEFT(B148,1)="2","|M360|",IF(AND(LEFT(B148,1)="3",Tabela_BaseM[[#This Row],[CONTA PARTE B]]&lt;&gt;""),"|M355|",IF(LEFT(B148,1)="4","|M362|","")))))</f>
        <v>|M310|</v>
      </c>
      <c r="M148" t="str">
        <f>IF(LEFT(Tabela_BaseM[[#This Row],[TIPO RELACIONAMENTO]],1)="3",(IF(A148="IRPJ",IF(LEFT(B148,1)="1","|M305|",IF(LEFT(B148,1)="2","|M310|",IF(LEFT(B148,1)="3","|M310|",IF(LEFT(B148,1)="4","|M312|","")))),IF(LEFT(B148,1)="1","|M355|",IF(LEFT(B148,1)="2","|M360|",IF(LEFT(B148,1)="3","|M360|",IF(LEFT(B148,1)="4","|M362|","")))))),"")</f>
        <v/>
      </c>
      <c r="N14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|M310|3211005||14497,14|D|</v>
      </c>
      <c r="O14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8" t="str">
        <f>IF(A148="IRPJ",("|M300|"&amp;LEFT(C148,FIND("-",C148)-1)&amp;"|"&amp;RIGHT(C148,LEN(C148)-FIND("-",C148))&amp;"|"&amp;LEFT(D148,1)&amp;"|"&amp;LEFT(B148,1)&amp;"|"&amp;Tabela_BaseM[[#This Row],[Valor]]&amp;"|"&amp;Tabela_BaseM[[#This Row],[HISTÓRICO]]&amp;"|"),("|M350|"&amp;LEFT(C148,FIND("-",C148)-1)&amp;"|"&amp;RIGHT(C148,LEN(C148)-FIND("-",C148))&amp;"|"&amp;LEFT(D148,1)&amp;"|"&amp;LEFT(B148,1)&amp;"|"&amp;Tabela_BaseM[[#This Row],[Valor]]&amp;"|"&amp;Tabela_BaseM[[#This Row],[HISTÓRICO]]&amp;"|"))</f>
        <v>|M300|8|Despesas n o necess rias|A|2|14497,14|Despesas nao dedutiveis no periodo|</v>
      </c>
    </row>
    <row r="149" spans="1:17" x14ac:dyDescent="0.25">
      <c r="A149" t="s">
        <v>21</v>
      </c>
      <c r="B149" t="s">
        <v>22</v>
      </c>
      <c r="C149" t="s">
        <v>23</v>
      </c>
      <c r="D149" t="s">
        <v>425</v>
      </c>
      <c r="E149" t="s">
        <v>527</v>
      </c>
      <c r="F149">
        <v>3150106</v>
      </c>
      <c r="G149" t="s">
        <v>1015</v>
      </c>
      <c r="J149" s="11">
        <v>45412</v>
      </c>
      <c r="K149">
        <v>172311.76</v>
      </c>
      <c r="L149" t="str">
        <f>IF(A149="IRPJ",IF(LEFT(B149,1)="1","|M305|",IF(LEFT(B149,1)="2","|M310|",IF(AND(LEFT(B149,1)="3",Tabela_BaseM[[#This Row],[CONTA PARTE B]]&lt;&gt;""),"|M305|",IF(LEFT(B149,1)="4","|M312|","")))),      IF(LEFT(B149,1)="1","|M355|",IF(LEFT(B149,1)="2","|M360|",IF(AND(LEFT(B149,1)="3",Tabela_BaseM[[#This Row],[CONTA PARTE B]]&lt;&gt;""),"|M355|",IF(LEFT(B149,1)="4","|M362|","")))))</f>
        <v>|M310|</v>
      </c>
      <c r="M149" t="str">
        <f>IF(LEFT(Tabela_BaseM[[#This Row],[TIPO RELACIONAMENTO]],1)="3",(IF(A149="IRPJ",IF(LEFT(B149,1)="1","|M305|",IF(LEFT(B149,1)="2","|M310|",IF(LEFT(B149,1)="3","|M310|",IF(LEFT(B149,1)="4","|M312|","")))),IF(LEFT(B149,1)="1","|M355|",IF(LEFT(B149,1)="2","|M360|",IF(LEFT(B149,1)="3","|M360|",IF(LEFT(B149,1)="4","|M362|","")))))),"")</f>
        <v/>
      </c>
      <c r="N14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|M310|3150106||172311,76|D|</v>
      </c>
      <c r="O14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4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49" t="str">
        <f>IF(A149="IRPJ",("|M300|"&amp;LEFT(C149,FIND("-",C149)-1)&amp;"|"&amp;RIGHT(C149,LEN(C149)-FIND("-",C149))&amp;"|"&amp;LEFT(D149,1)&amp;"|"&amp;LEFT(B149,1)&amp;"|"&amp;Tabela_BaseM[[#This Row],[Valor]]&amp;"|"&amp;Tabela_BaseM[[#This Row],[HISTÓRICO]]&amp;"|"),("|M350|"&amp;LEFT(C149,FIND("-",C149)-1)&amp;"|"&amp;RIGHT(C149,LEN(C149)-FIND("-",C149))&amp;"|"&amp;LEFT(D149,1)&amp;"|"&amp;LEFT(B149,1)&amp;"|"&amp;Tabela_BaseM[[#This Row],[Valor]]&amp;"|"&amp;Tabela_BaseM[[#This Row],[HISTÓRICO]]&amp;"|"))</f>
        <v>|M300|8|Despesas n o necess rias|A|2|172311,76|Despesas nao dedutiveis no periodo|</v>
      </c>
    </row>
    <row r="150" spans="1:17" x14ac:dyDescent="0.25">
      <c r="A150" t="s">
        <v>21</v>
      </c>
      <c r="B150" t="s">
        <v>30</v>
      </c>
      <c r="C150" t="s">
        <v>32</v>
      </c>
      <c r="D150" t="s">
        <v>426</v>
      </c>
      <c r="E150" t="s">
        <v>998</v>
      </c>
      <c r="F150">
        <v>3230306</v>
      </c>
      <c r="G150" t="s">
        <v>1084</v>
      </c>
      <c r="H150">
        <v>21405</v>
      </c>
      <c r="J150" s="11">
        <v>45412</v>
      </c>
      <c r="K150">
        <v>105111.65</v>
      </c>
      <c r="L150" t="str">
        <f>IF(A150="IRPJ",IF(LEFT(B150,1)="1","|M305|",IF(LEFT(B150,1)="2","|M310|",IF(AND(LEFT(B150,1)="3",Tabela_BaseM[[#This Row],[CONTA PARTE B]]&lt;&gt;""),"|M305|",IF(LEFT(B150,1)="4","|M312|","")))),      IF(LEFT(B150,1)="1","|M355|",IF(LEFT(B150,1)="2","|M360|",IF(AND(LEFT(B150,1)="3",Tabela_BaseM[[#This Row],[CONTA PARTE B]]&lt;&gt;""),"|M355|",IF(LEFT(B150,1)="4","|M362|","")))))</f>
        <v>|M305|</v>
      </c>
      <c r="M150" t="str">
        <f>IF(LEFT(Tabela_BaseM[[#This Row],[TIPO RELACIONAMENTO]],1)="3",(IF(A150="IRPJ",IF(LEFT(B150,1)="1","|M305|",IF(LEFT(B150,1)="2","|M310|",IF(LEFT(B150,1)="3","|M310|",IF(LEFT(B150,1)="4","|M312|","")))),IF(LEFT(B150,1)="1","|M355|",IF(LEFT(B150,1)="2","|M360|",IF(LEFT(B150,1)="3","|M360|",IF(LEFT(B150,1)="4","|M362|","")))))),"")</f>
        <v>|M310|</v>
      </c>
      <c r="N15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|M305|21405|105111,65|C|</v>
      </c>
      <c r="O15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|M310|3230306||105111,65|C|</v>
      </c>
      <c r="P15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0" t="str">
        <f>IF(A150="IRPJ",("|M300|"&amp;LEFT(C150,FIND("-",C150)-1)&amp;"|"&amp;RIGHT(C150,LEN(C150)-FIND("-",C150))&amp;"|"&amp;LEFT(D150,1)&amp;"|"&amp;LEFT(B150,1)&amp;"|"&amp;Tabela_BaseM[[#This Row],[Valor]]&amp;"|"&amp;Tabela_BaseM[[#This Row],[HISTÓRICO]]&amp;"|"),("|M350|"&amp;LEFT(C150,FIND("-",C150)-1)&amp;"|"&amp;RIGHT(C150,LEN(C150)-FIND("-",C150))&amp;"|"&amp;LEFT(D150,1)&amp;"|"&amp;LEFT(B150,1)&amp;"|"&amp;Tabela_BaseM[[#This Row],[Valor]]&amp;"|"&amp;Tabela_BaseM[[#This Row],[HISTÓRICO]]&amp;"|"))</f>
        <v>|M300|95|(-) Revers o ou uso de provis es ou perdas estimadas n o dedut veis|E|3|105111,65|Reversao de provisoes no periodo|</v>
      </c>
    </row>
    <row r="151" spans="1:17" x14ac:dyDescent="0.25">
      <c r="A151" t="s">
        <v>21</v>
      </c>
      <c r="B151" t="s">
        <v>30</v>
      </c>
      <c r="C151" t="s">
        <v>32</v>
      </c>
      <c r="D151" t="s">
        <v>426</v>
      </c>
      <c r="E151" t="s">
        <v>998</v>
      </c>
      <c r="F151">
        <v>3230307</v>
      </c>
      <c r="G151" t="s">
        <v>1084</v>
      </c>
      <c r="H151">
        <v>21405</v>
      </c>
      <c r="J151" s="11">
        <v>45412</v>
      </c>
      <c r="K151">
        <v>1268198.55</v>
      </c>
      <c r="L151" t="str">
        <f>IF(A151="IRPJ",IF(LEFT(B151,1)="1","|M305|",IF(LEFT(B151,1)="2","|M310|",IF(AND(LEFT(B151,1)="3",Tabela_BaseM[[#This Row],[CONTA PARTE B]]&lt;&gt;""),"|M305|",IF(LEFT(B151,1)="4","|M312|","")))),      IF(LEFT(B151,1)="1","|M355|",IF(LEFT(B151,1)="2","|M360|",IF(AND(LEFT(B151,1)="3",Tabela_BaseM[[#This Row],[CONTA PARTE B]]&lt;&gt;""),"|M355|",IF(LEFT(B151,1)="4","|M362|","")))))</f>
        <v>|M305|</v>
      </c>
      <c r="M151" t="str">
        <f>IF(LEFT(Tabela_BaseM[[#This Row],[TIPO RELACIONAMENTO]],1)="3",(IF(A151="IRPJ",IF(LEFT(B151,1)="1","|M305|",IF(LEFT(B151,1)="2","|M310|",IF(LEFT(B151,1)="3","|M310|",IF(LEFT(B151,1)="4","|M312|","")))),IF(LEFT(B151,1)="1","|M355|",IF(LEFT(B151,1)="2","|M360|",IF(LEFT(B151,1)="3","|M360|",IF(LEFT(B151,1)="4","|M362|","")))))),"")</f>
        <v>|M310|</v>
      </c>
      <c r="N15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|M305|21405|1268198,55|C|</v>
      </c>
      <c r="O15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|M310|3230307||1268198,55|C|</v>
      </c>
      <c r="P15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1" t="str">
        <f>IF(A151="IRPJ",("|M300|"&amp;LEFT(C151,FIND("-",C151)-1)&amp;"|"&amp;RIGHT(C151,LEN(C151)-FIND("-",C151))&amp;"|"&amp;LEFT(D151,1)&amp;"|"&amp;LEFT(B151,1)&amp;"|"&amp;Tabela_BaseM[[#This Row],[Valor]]&amp;"|"&amp;Tabela_BaseM[[#This Row],[HISTÓRICO]]&amp;"|"),("|M350|"&amp;LEFT(C151,FIND("-",C151)-1)&amp;"|"&amp;RIGHT(C151,LEN(C151)-FIND("-",C151))&amp;"|"&amp;LEFT(D151,1)&amp;"|"&amp;LEFT(B151,1)&amp;"|"&amp;Tabela_BaseM[[#This Row],[Valor]]&amp;"|"&amp;Tabela_BaseM[[#This Row],[HISTÓRICO]]&amp;"|"))</f>
        <v>|M300|95|(-) Revers o ou uso de provis es ou perdas estimadas n o dedut veis|E|3|1268198,55|Reversao de provisoes no periodo|</v>
      </c>
    </row>
    <row r="152" spans="1:17" x14ac:dyDescent="0.25">
      <c r="A152" t="s">
        <v>21</v>
      </c>
      <c r="B152" t="s">
        <v>30</v>
      </c>
      <c r="C152" t="s">
        <v>32</v>
      </c>
      <c r="D152" t="s">
        <v>426</v>
      </c>
      <c r="E152" t="s">
        <v>998</v>
      </c>
      <c r="F152">
        <v>3230308</v>
      </c>
      <c r="G152" t="s">
        <v>1084</v>
      </c>
      <c r="H152">
        <v>21405</v>
      </c>
      <c r="J152" s="11">
        <v>45412</v>
      </c>
      <c r="K152">
        <v>125168.11</v>
      </c>
      <c r="L152" t="str">
        <f>IF(A152="IRPJ",IF(LEFT(B152,1)="1","|M305|",IF(LEFT(B152,1)="2","|M310|",IF(AND(LEFT(B152,1)="3",Tabela_BaseM[[#This Row],[CONTA PARTE B]]&lt;&gt;""),"|M305|",IF(LEFT(B152,1)="4","|M312|","")))),      IF(LEFT(B152,1)="1","|M355|",IF(LEFT(B152,1)="2","|M360|",IF(AND(LEFT(B152,1)="3",Tabela_BaseM[[#This Row],[CONTA PARTE B]]&lt;&gt;""),"|M355|",IF(LEFT(B152,1)="4","|M362|","")))))</f>
        <v>|M305|</v>
      </c>
      <c r="M152" t="str">
        <f>IF(LEFT(Tabela_BaseM[[#This Row],[TIPO RELACIONAMENTO]],1)="3",(IF(A152="IRPJ",IF(LEFT(B152,1)="1","|M305|",IF(LEFT(B152,1)="2","|M310|",IF(LEFT(B152,1)="3","|M310|",IF(LEFT(B152,1)="4","|M312|","")))),IF(LEFT(B152,1)="1","|M355|",IF(LEFT(B152,1)="2","|M360|",IF(LEFT(B152,1)="3","|M360|",IF(LEFT(B152,1)="4","|M362|","")))))),"")</f>
        <v>|M310|</v>
      </c>
      <c r="N15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|M305|21405|125168,11|C|</v>
      </c>
      <c r="O15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|M310|3230308||125168,11|C|</v>
      </c>
      <c r="P15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2" t="str">
        <f>IF(A152="IRPJ",("|M300|"&amp;LEFT(C152,FIND("-",C152)-1)&amp;"|"&amp;RIGHT(C152,LEN(C152)-FIND("-",C152))&amp;"|"&amp;LEFT(D152,1)&amp;"|"&amp;LEFT(B152,1)&amp;"|"&amp;Tabela_BaseM[[#This Row],[Valor]]&amp;"|"&amp;Tabela_BaseM[[#This Row],[HISTÓRICO]]&amp;"|"),("|M350|"&amp;LEFT(C152,FIND("-",C152)-1)&amp;"|"&amp;RIGHT(C152,LEN(C152)-FIND("-",C152))&amp;"|"&amp;LEFT(D152,1)&amp;"|"&amp;LEFT(B152,1)&amp;"|"&amp;Tabela_BaseM[[#This Row],[Valor]]&amp;"|"&amp;Tabela_BaseM[[#This Row],[HISTÓRICO]]&amp;"|"))</f>
        <v>|M300|95|(-) Revers o ou uso de provis es ou perdas estimadas n o dedut veis|E|3|125168,11|Reversao de provisoes no periodo|</v>
      </c>
    </row>
    <row r="153" spans="1:17" x14ac:dyDescent="0.25">
      <c r="A153" t="s">
        <v>21</v>
      </c>
      <c r="B153" t="s">
        <v>30</v>
      </c>
      <c r="C153" t="s">
        <v>32</v>
      </c>
      <c r="D153" t="s">
        <v>426</v>
      </c>
      <c r="E153" t="s">
        <v>998</v>
      </c>
      <c r="F153">
        <v>3160403</v>
      </c>
      <c r="G153" t="s">
        <v>1090</v>
      </c>
      <c r="H153">
        <v>1130604</v>
      </c>
      <c r="J153" s="11">
        <v>45412</v>
      </c>
      <c r="K153">
        <v>3192</v>
      </c>
      <c r="L153" t="str">
        <f>IF(A153="IRPJ",IF(LEFT(B153,1)="1","|M305|",IF(LEFT(B153,1)="2","|M310|",IF(AND(LEFT(B153,1)="3",Tabela_BaseM[[#This Row],[CONTA PARTE B]]&lt;&gt;""),"|M305|",IF(LEFT(B153,1)="4","|M312|","")))),      IF(LEFT(B153,1)="1","|M355|",IF(LEFT(B153,1)="2","|M360|",IF(AND(LEFT(B153,1)="3",Tabela_BaseM[[#This Row],[CONTA PARTE B]]&lt;&gt;""),"|M355|",IF(LEFT(B153,1)="4","|M362|","")))))</f>
        <v>|M305|</v>
      </c>
      <c r="M153" t="str">
        <f>IF(LEFT(Tabela_BaseM[[#This Row],[TIPO RELACIONAMENTO]],1)="3",(IF(A153="IRPJ",IF(LEFT(B153,1)="1","|M305|",IF(LEFT(B153,1)="2","|M310|",IF(LEFT(B153,1)="3","|M310|",IF(LEFT(B153,1)="4","|M312|","")))),IF(LEFT(B153,1)="1","|M355|",IF(LEFT(B153,1)="2","|M360|",IF(LEFT(B153,1)="3","|M360|",IF(LEFT(B153,1)="4","|M362|","")))))),"")</f>
        <v>|M310|</v>
      </c>
      <c r="N15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|M305|1130604|3192|C|</v>
      </c>
      <c r="O15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|M310|3160403||3192|C|</v>
      </c>
      <c r="P15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3" t="str">
        <f>IF(A153="IRPJ",("|M300|"&amp;LEFT(C153,FIND("-",C153)-1)&amp;"|"&amp;RIGHT(C153,LEN(C153)-FIND("-",C153))&amp;"|"&amp;LEFT(D153,1)&amp;"|"&amp;LEFT(B153,1)&amp;"|"&amp;Tabela_BaseM[[#This Row],[Valor]]&amp;"|"&amp;Tabela_BaseM[[#This Row],[HISTÓRICO]]&amp;"|"),("|M350|"&amp;LEFT(C153,FIND("-",C153)-1)&amp;"|"&amp;RIGHT(C153,LEN(C153)-FIND("-",C153))&amp;"|"&amp;LEFT(D153,1)&amp;"|"&amp;LEFT(B153,1)&amp;"|"&amp;Tabela_BaseM[[#This Row],[Valor]]&amp;"|"&amp;Tabela_BaseM[[#This Row],[HISTÓRICO]]&amp;"|"))</f>
        <v>|M300|95|(-) Revers o ou uso de provis es ou perdas estimadas n o dedut veis|E|3|3192|Reversao de provisoes no periodo|</v>
      </c>
    </row>
    <row r="154" spans="1:17" x14ac:dyDescent="0.25">
      <c r="A154" t="s">
        <v>21</v>
      </c>
      <c r="B154" t="s">
        <v>30</v>
      </c>
      <c r="C154" t="s">
        <v>32</v>
      </c>
      <c r="D154" t="s">
        <v>426</v>
      </c>
      <c r="E154" t="s">
        <v>998</v>
      </c>
      <c r="F154">
        <v>3160408</v>
      </c>
      <c r="G154" t="s">
        <v>1088</v>
      </c>
      <c r="H154">
        <v>1130608</v>
      </c>
      <c r="J154" s="11">
        <v>45412</v>
      </c>
      <c r="K154">
        <v>373236.64</v>
      </c>
      <c r="L154" t="str">
        <f>IF(A154="IRPJ",IF(LEFT(B154,1)="1","|M305|",IF(LEFT(B154,1)="2","|M310|",IF(AND(LEFT(B154,1)="3",Tabela_BaseM[[#This Row],[CONTA PARTE B]]&lt;&gt;""),"|M305|",IF(LEFT(B154,1)="4","|M312|","")))),      IF(LEFT(B154,1)="1","|M355|",IF(LEFT(B154,1)="2","|M360|",IF(AND(LEFT(B154,1)="3",Tabela_BaseM[[#This Row],[CONTA PARTE B]]&lt;&gt;""),"|M355|",IF(LEFT(B154,1)="4","|M362|","")))))</f>
        <v>|M305|</v>
      </c>
      <c r="M154" t="str">
        <f>IF(LEFT(Tabela_BaseM[[#This Row],[TIPO RELACIONAMENTO]],1)="3",(IF(A154="IRPJ",IF(LEFT(B154,1)="1","|M305|",IF(LEFT(B154,1)="2","|M310|",IF(LEFT(B154,1)="3","|M310|",IF(LEFT(B154,1)="4","|M312|","")))),IF(LEFT(B154,1)="1","|M355|",IF(LEFT(B154,1)="2","|M360|",IF(LEFT(B154,1)="3","|M360|",IF(LEFT(B154,1)="4","|M362|","")))))),"")</f>
        <v>|M310|</v>
      </c>
      <c r="N15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|M305|1130608|373236,64|C|</v>
      </c>
      <c r="O15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|M310|3160408||373236,64|C|</v>
      </c>
      <c r="P15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4" t="str">
        <f>IF(A154="IRPJ",("|M300|"&amp;LEFT(C154,FIND("-",C154)-1)&amp;"|"&amp;RIGHT(C154,LEN(C154)-FIND("-",C154))&amp;"|"&amp;LEFT(D154,1)&amp;"|"&amp;LEFT(B154,1)&amp;"|"&amp;Tabela_BaseM[[#This Row],[Valor]]&amp;"|"&amp;Tabela_BaseM[[#This Row],[HISTÓRICO]]&amp;"|"),("|M350|"&amp;LEFT(C154,FIND("-",C154)-1)&amp;"|"&amp;RIGHT(C154,LEN(C154)-FIND("-",C154))&amp;"|"&amp;LEFT(D154,1)&amp;"|"&amp;LEFT(B154,1)&amp;"|"&amp;Tabela_BaseM[[#This Row],[Valor]]&amp;"|"&amp;Tabela_BaseM[[#This Row],[HISTÓRICO]]&amp;"|"))</f>
        <v>|M300|95|(-) Revers o ou uso de provis es ou perdas estimadas n o dedut veis|E|3|373236,64|Reversao de provisoes no periodo|</v>
      </c>
    </row>
    <row r="155" spans="1:17" x14ac:dyDescent="0.25">
      <c r="A155" t="s">
        <v>21</v>
      </c>
      <c r="B155" t="s">
        <v>30</v>
      </c>
      <c r="C155" t="s">
        <v>32</v>
      </c>
      <c r="D155" t="s">
        <v>426</v>
      </c>
      <c r="E155" t="s">
        <v>998</v>
      </c>
      <c r="F155">
        <v>3160406</v>
      </c>
      <c r="G155" t="s">
        <v>1089</v>
      </c>
      <c r="H155">
        <v>1130609</v>
      </c>
      <c r="J155" s="11">
        <v>45412</v>
      </c>
      <c r="K155">
        <v>62997.83</v>
      </c>
      <c r="L155" t="str">
        <f>IF(A155="IRPJ",IF(LEFT(B155,1)="1","|M305|",IF(LEFT(B155,1)="2","|M310|",IF(AND(LEFT(B155,1)="3",Tabela_BaseM[[#This Row],[CONTA PARTE B]]&lt;&gt;""),"|M305|",IF(LEFT(B155,1)="4","|M312|","")))),      IF(LEFT(B155,1)="1","|M355|",IF(LEFT(B155,1)="2","|M360|",IF(AND(LEFT(B155,1)="3",Tabela_BaseM[[#This Row],[CONTA PARTE B]]&lt;&gt;""),"|M355|",IF(LEFT(B155,1)="4","|M362|","")))))</f>
        <v>|M305|</v>
      </c>
      <c r="M155" t="str">
        <f>IF(LEFT(Tabela_BaseM[[#This Row],[TIPO RELACIONAMENTO]],1)="3",(IF(A155="IRPJ",IF(LEFT(B155,1)="1","|M305|",IF(LEFT(B155,1)="2","|M310|",IF(LEFT(B155,1)="3","|M310|",IF(LEFT(B155,1)="4","|M312|","")))),IF(LEFT(B155,1)="1","|M355|",IF(LEFT(B155,1)="2","|M360|",IF(LEFT(B155,1)="3","|M360|",IF(LEFT(B155,1)="4","|M362|","")))))),"")</f>
        <v>|M310|</v>
      </c>
      <c r="N15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|M305|1130609|62997,83|C|</v>
      </c>
      <c r="O15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|M310|3160406||62997,83|C|</v>
      </c>
      <c r="P15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5" t="str">
        <f>IF(A155="IRPJ",("|M300|"&amp;LEFT(C155,FIND("-",C155)-1)&amp;"|"&amp;RIGHT(C155,LEN(C155)-FIND("-",C155))&amp;"|"&amp;LEFT(D155,1)&amp;"|"&amp;LEFT(B155,1)&amp;"|"&amp;Tabela_BaseM[[#This Row],[Valor]]&amp;"|"&amp;Tabela_BaseM[[#This Row],[HISTÓRICO]]&amp;"|"),("|M350|"&amp;LEFT(C155,FIND("-",C155)-1)&amp;"|"&amp;RIGHT(C155,LEN(C155)-FIND("-",C155))&amp;"|"&amp;LEFT(D155,1)&amp;"|"&amp;LEFT(B155,1)&amp;"|"&amp;Tabela_BaseM[[#This Row],[Valor]]&amp;"|"&amp;Tabela_BaseM[[#This Row],[HISTÓRICO]]&amp;"|"))</f>
        <v>|M300|95|(-) Revers o ou uso de provis es ou perdas estimadas n o dedut veis|E|3|62997,83|Reversao de provisoes no periodo|</v>
      </c>
    </row>
    <row r="156" spans="1:17" x14ac:dyDescent="0.25">
      <c r="A156" t="s">
        <v>21</v>
      </c>
      <c r="B156" t="s">
        <v>30</v>
      </c>
      <c r="C156" t="s">
        <v>32</v>
      </c>
      <c r="D156" t="s">
        <v>426</v>
      </c>
      <c r="E156" t="s">
        <v>998</v>
      </c>
      <c r="F156">
        <v>3211607</v>
      </c>
      <c r="G156" t="s">
        <v>1094</v>
      </c>
      <c r="H156">
        <v>2130307</v>
      </c>
      <c r="J156" s="11">
        <v>45412</v>
      </c>
      <c r="K156">
        <v>18957.46</v>
      </c>
      <c r="L156" t="str">
        <f>IF(A156="IRPJ",IF(LEFT(B156,1)="1","|M305|",IF(LEFT(B156,1)="2","|M310|",IF(AND(LEFT(B156,1)="3",Tabela_BaseM[[#This Row],[CONTA PARTE B]]&lt;&gt;""),"|M305|",IF(LEFT(B156,1)="4","|M312|","")))),      IF(LEFT(B156,1)="1","|M355|",IF(LEFT(B156,1)="2","|M360|",IF(AND(LEFT(B156,1)="3",Tabela_BaseM[[#This Row],[CONTA PARTE B]]&lt;&gt;""),"|M355|",IF(LEFT(B156,1)="4","|M362|","")))))</f>
        <v>|M305|</v>
      </c>
      <c r="M156" t="str">
        <f>IF(LEFT(Tabela_BaseM[[#This Row],[TIPO RELACIONAMENTO]],1)="3",(IF(A156="IRPJ",IF(LEFT(B156,1)="1","|M305|",IF(LEFT(B156,1)="2","|M310|",IF(LEFT(B156,1)="3","|M310|",IF(LEFT(B156,1)="4","|M312|","")))),IF(LEFT(B156,1)="1","|M355|",IF(LEFT(B156,1)="2","|M360|",IF(LEFT(B156,1)="3","|M360|",IF(LEFT(B156,1)="4","|M362|","")))))),"")</f>
        <v>|M310|</v>
      </c>
      <c r="N15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|M305|2130307|18957,46|C|</v>
      </c>
      <c r="O15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|M310|3211607||18957,46|C|</v>
      </c>
      <c r="P15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6" t="str">
        <f>IF(A156="IRPJ",("|M300|"&amp;LEFT(C156,FIND("-",C156)-1)&amp;"|"&amp;RIGHT(C156,LEN(C156)-FIND("-",C156))&amp;"|"&amp;LEFT(D156,1)&amp;"|"&amp;LEFT(B156,1)&amp;"|"&amp;Tabela_BaseM[[#This Row],[Valor]]&amp;"|"&amp;Tabela_BaseM[[#This Row],[HISTÓRICO]]&amp;"|"),("|M350|"&amp;LEFT(C156,FIND("-",C156)-1)&amp;"|"&amp;RIGHT(C156,LEN(C156)-FIND("-",C156))&amp;"|"&amp;LEFT(D156,1)&amp;"|"&amp;LEFT(B156,1)&amp;"|"&amp;Tabela_BaseM[[#This Row],[Valor]]&amp;"|"&amp;Tabela_BaseM[[#This Row],[HISTÓRICO]]&amp;"|"))</f>
        <v>|M300|95|(-) Revers o ou uso de provis es ou perdas estimadas n o dedut veis|E|3|18957,46|Reversao de provisoes no periodo|</v>
      </c>
    </row>
    <row r="157" spans="1:17" x14ac:dyDescent="0.25">
      <c r="A157" t="s">
        <v>21</v>
      </c>
      <c r="B157" t="s">
        <v>30</v>
      </c>
      <c r="C157" t="s">
        <v>32</v>
      </c>
      <c r="D157" t="s">
        <v>426</v>
      </c>
      <c r="E157" t="s">
        <v>998</v>
      </c>
      <c r="F157">
        <v>3211606</v>
      </c>
      <c r="G157" t="s">
        <v>1093</v>
      </c>
      <c r="H157">
        <v>2130307</v>
      </c>
      <c r="J157" s="11">
        <v>45412</v>
      </c>
      <c r="K157">
        <v>4025.51</v>
      </c>
      <c r="L157" t="str">
        <f>IF(A157="IRPJ",IF(LEFT(B157,1)="1","|M305|",IF(LEFT(B157,1)="2","|M310|",IF(AND(LEFT(B157,1)="3",Tabela_BaseM[[#This Row],[CONTA PARTE B]]&lt;&gt;""),"|M305|",IF(LEFT(B157,1)="4","|M312|","")))),      IF(LEFT(B157,1)="1","|M355|",IF(LEFT(B157,1)="2","|M360|",IF(AND(LEFT(B157,1)="3",Tabela_BaseM[[#This Row],[CONTA PARTE B]]&lt;&gt;""),"|M355|",IF(LEFT(B157,1)="4","|M362|","")))))</f>
        <v>|M305|</v>
      </c>
      <c r="M157" t="str">
        <f>IF(LEFT(Tabela_BaseM[[#This Row],[TIPO RELACIONAMENTO]],1)="3",(IF(A157="IRPJ",IF(LEFT(B157,1)="1","|M305|",IF(LEFT(B157,1)="2","|M310|",IF(LEFT(B157,1)="3","|M310|",IF(LEFT(B157,1)="4","|M312|","")))),IF(LEFT(B157,1)="1","|M355|",IF(LEFT(B157,1)="2","|M360|",IF(LEFT(B157,1)="3","|M360|",IF(LEFT(B157,1)="4","|M362|","")))))),"")</f>
        <v>|M310|</v>
      </c>
      <c r="N15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|M305|2130307|4025,51|C|</v>
      </c>
      <c r="O15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|M310|3211606||4025,51|C|</v>
      </c>
      <c r="P15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7" t="str">
        <f>IF(A157="IRPJ",("|M300|"&amp;LEFT(C157,FIND("-",C157)-1)&amp;"|"&amp;RIGHT(C157,LEN(C157)-FIND("-",C157))&amp;"|"&amp;LEFT(D157,1)&amp;"|"&amp;LEFT(B157,1)&amp;"|"&amp;Tabela_BaseM[[#This Row],[Valor]]&amp;"|"&amp;Tabela_BaseM[[#This Row],[HISTÓRICO]]&amp;"|"),("|M350|"&amp;LEFT(C157,FIND("-",C157)-1)&amp;"|"&amp;RIGHT(C157,LEN(C157)-FIND("-",C157))&amp;"|"&amp;LEFT(D157,1)&amp;"|"&amp;LEFT(B157,1)&amp;"|"&amp;Tabela_BaseM[[#This Row],[Valor]]&amp;"|"&amp;Tabela_BaseM[[#This Row],[HISTÓRICO]]&amp;"|"))</f>
        <v>|M300|95|(-) Revers o ou uso de provis es ou perdas estimadas n o dedut veis|E|3|4025,51|Reversao de provisoes no periodo|</v>
      </c>
    </row>
    <row r="158" spans="1:17" x14ac:dyDescent="0.25">
      <c r="A158" t="s">
        <v>21</v>
      </c>
      <c r="B158" t="s">
        <v>30</v>
      </c>
      <c r="C158" t="s">
        <v>32</v>
      </c>
      <c r="D158" t="s">
        <v>426</v>
      </c>
      <c r="E158" t="s">
        <v>998</v>
      </c>
      <c r="F158">
        <v>3160405</v>
      </c>
      <c r="G158" t="s">
        <v>1092</v>
      </c>
      <c r="H158">
        <v>1130602</v>
      </c>
      <c r="J158" s="11">
        <v>45412</v>
      </c>
      <c r="K158">
        <v>1066390.3799999999</v>
      </c>
      <c r="L158" t="str">
        <f>IF(A158="IRPJ",IF(LEFT(B158,1)="1","|M305|",IF(LEFT(B158,1)="2","|M310|",IF(AND(LEFT(B158,1)="3",Tabela_BaseM[[#This Row],[CONTA PARTE B]]&lt;&gt;""),"|M305|",IF(LEFT(B158,1)="4","|M312|","")))),      IF(LEFT(B158,1)="1","|M355|",IF(LEFT(B158,1)="2","|M360|",IF(AND(LEFT(B158,1)="3",Tabela_BaseM[[#This Row],[CONTA PARTE B]]&lt;&gt;""),"|M355|",IF(LEFT(B158,1)="4","|M362|","")))))</f>
        <v>|M305|</v>
      </c>
      <c r="M158" t="str">
        <f>IF(LEFT(Tabela_BaseM[[#This Row],[TIPO RELACIONAMENTO]],1)="3",(IF(A158="IRPJ",IF(LEFT(B158,1)="1","|M305|",IF(LEFT(B158,1)="2","|M310|",IF(LEFT(B158,1)="3","|M310|",IF(LEFT(B158,1)="4","|M312|","")))),IF(LEFT(B158,1)="1","|M355|",IF(LEFT(B158,1)="2","|M360|",IF(LEFT(B158,1)="3","|M360|",IF(LEFT(B158,1)="4","|M362|","")))))),"")</f>
        <v>|M310|</v>
      </c>
      <c r="N15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|M305|1130602|1066390,38|C|</v>
      </c>
      <c r="O15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|M310|3160405||1066390,38|C|</v>
      </c>
      <c r="P15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8" t="str">
        <f>IF(A158="IRPJ",("|M300|"&amp;LEFT(C158,FIND("-",C158)-1)&amp;"|"&amp;RIGHT(C158,LEN(C158)-FIND("-",C158))&amp;"|"&amp;LEFT(D158,1)&amp;"|"&amp;LEFT(B158,1)&amp;"|"&amp;Tabela_BaseM[[#This Row],[Valor]]&amp;"|"&amp;Tabela_BaseM[[#This Row],[HISTÓRICO]]&amp;"|"),("|M350|"&amp;LEFT(C158,FIND("-",C158)-1)&amp;"|"&amp;RIGHT(C158,LEN(C158)-FIND("-",C158))&amp;"|"&amp;LEFT(D158,1)&amp;"|"&amp;LEFT(B158,1)&amp;"|"&amp;Tabela_BaseM[[#This Row],[Valor]]&amp;"|"&amp;Tabela_BaseM[[#This Row],[HISTÓRICO]]&amp;"|"))</f>
        <v>|M300|95|(-) Revers o ou uso de provis es ou perdas estimadas n o dedut veis|E|3|1066390,38|Reversao de provisoes no periodo|</v>
      </c>
    </row>
    <row r="159" spans="1:17" x14ac:dyDescent="0.25">
      <c r="A159" t="s">
        <v>21</v>
      </c>
      <c r="B159" t="s">
        <v>30</v>
      </c>
      <c r="C159" t="s">
        <v>32</v>
      </c>
      <c r="D159" t="s">
        <v>426</v>
      </c>
      <c r="E159" t="s">
        <v>998</v>
      </c>
      <c r="F159">
        <v>3160401</v>
      </c>
      <c r="G159" t="s">
        <v>1087</v>
      </c>
      <c r="H159">
        <v>1130601</v>
      </c>
      <c r="J159" s="11">
        <v>45412</v>
      </c>
      <c r="K159">
        <v>23580.49</v>
      </c>
      <c r="L159" t="str">
        <f>IF(A159="IRPJ",IF(LEFT(B159,1)="1","|M305|",IF(LEFT(B159,1)="2","|M310|",IF(AND(LEFT(B159,1)="3",Tabela_BaseM[[#This Row],[CONTA PARTE B]]&lt;&gt;""),"|M305|",IF(LEFT(B159,1)="4","|M312|","")))),      IF(LEFT(B159,1)="1","|M355|",IF(LEFT(B159,1)="2","|M360|",IF(AND(LEFT(B159,1)="3",Tabela_BaseM[[#This Row],[CONTA PARTE B]]&lt;&gt;""),"|M355|",IF(LEFT(B159,1)="4","|M362|","")))))</f>
        <v>|M305|</v>
      </c>
      <c r="M159" t="str">
        <f>IF(LEFT(Tabela_BaseM[[#This Row],[TIPO RELACIONAMENTO]],1)="3",(IF(A159="IRPJ",IF(LEFT(B159,1)="1","|M305|",IF(LEFT(B159,1)="2","|M310|",IF(LEFT(B159,1)="3","|M310|",IF(LEFT(B159,1)="4","|M312|","")))),IF(LEFT(B159,1)="1","|M355|",IF(LEFT(B159,1)="2","|M360|",IF(LEFT(B159,1)="3","|M360|",IF(LEFT(B159,1)="4","|M362|","")))))),"")</f>
        <v>|M310|</v>
      </c>
      <c r="N15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|M305|1130601|23580,49|C|</v>
      </c>
      <c r="O15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|M310|3160401||23580,49|C|</v>
      </c>
      <c r="P15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59" t="str">
        <f>IF(A159="IRPJ",("|M300|"&amp;LEFT(C159,FIND("-",C159)-1)&amp;"|"&amp;RIGHT(C159,LEN(C159)-FIND("-",C159))&amp;"|"&amp;LEFT(D159,1)&amp;"|"&amp;LEFT(B159,1)&amp;"|"&amp;Tabela_BaseM[[#This Row],[Valor]]&amp;"|"&amp;Tabela_BaseM[[#This Row],[HISTÓRICO]]&amp;"|"),("|M350|"&amp;LEFT(C159,FIND("-",C159)-1)&amp;"|"&amp;RIGHT(C159,LEN(C159)-FIND("-",C159))&amp;"|"&amp;LEFT(D159,1)&amp;"|"&amp;LEFT(B159,1)&amp;"|"&amp;Tabela_BaseM[[#This Row],[Valor]]&amp;"|"&amp;Tabela_BaseM[[#This Row],[HISTÓRICO]]&amp;"|"))</f>
        <v>|M300|95|(-) Revers o ou uso de provis es ou perdas estimadas n o dedut veis|E|3|23580,49|Reversao de provisoes no periodo|</v>
      </c>
    </row>
    <row r="160" spans="1:17" x14ac:dyDescent="0.25">
      <c r="A160" t="s">
        <v>21</v>
      </c>
      <c r="B160" t="s">
        <v>30</v>
      </c>
      <c r="C160" t="s">
        <v>32</v>
      </c>
      <c r="D160" t="s">
        <v>426</v>
      </c>
      <c r="E160" t="s">
        <v>998</v>
      </c>
      <c r="F160">
        <v>3210204</v>
      </c>
      <c r="G160" t="s">
        <v>1060</v>
      </c>
      <c r="H160">
        <v>2130303</v>
      </c>
      <c r="J160" s="11">
        <v>45412</v>
      </c>
      <c r="K160">
        <v>171664.94</v>
      </c>
      <c r="L160" t="str">
        <f>IF(A160="IRPJ",IF(LEFT(B160,1)="1","|M305|",IF(LEFT(B160,1)="2","|M310|",IF(AND(LEFT(B160,1)="3",Tabela_BaseM[[#This Row],[CONTA PARTE B]]&lt;&gt;""),"|M305|",IF(LEFT(B160,1)="4","|M312|","")))),      IF(LEFT(B160,1)="1","|M355|",IF(LEFT(B160,1)="2","|M360|",IF(AND(LEFT(B160,1)="3",Tabela_BaseM[[#This Row],[CONTA PARTE B]]&lt;&gt;""),"|M355|",IF(LEFT(B160,1)="4","|M362|","")))))</f>
        <v>|M305|</v>
      </c>
      <c r="M160" t="str">
        <f>IF(LEFT(Tabela_BaseM[[#This Row],[TIPO RELACIONAMENTO]],1)="3",(IF(A160="IRPJ",IF(LEFT(B160,1)="1","|M305|",IF(LEFT(B160,1)="2","|M310|",IF(LEFT(B160,1)="3","|M310|",IF(LEFT(B160,1)="4","|M312|","")))),IF(LEFT(B160,1)="1","|M355|",IF(LEFT(B160,1)="2","|M360|",IF(LEFT(B160,1)="3","|M360|",IF(LEFT(B160,1)="4","|M362|","")))))),"")</f>
        <v>|M310|</v>
      </c>
      <c r="N16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|M305|2130303|171664,94|C|</v>
      </c>
      <c r="O16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|M310|3210204||171664,94|C|</v>
      </c>
      <c r="P16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60" t="str">
        <f>IF(A160="IRPJ",("|M300|"&amp;LEFT(C160,FIND("-",C160)-1)&amp;"|"&amp;RIGHT(C160,LEN(C160)-FIND("-",C160))&amp;"|"&amp;LEFT(D160,1)&amp;"|"&amp;LEFT(B160,1)&amp;"|"&amp;Tabela_BaseM[[#This Row],[Valor]]&amp;"|"&amp;Tabela_BaseM[[#This Row],[HISTÓRICO]]&amp;"|"),("|M350|"&amp;LEFT(C160,FIND("-",C160)-1)&amp;"|"&amp;RIGHT(C160,LEN(C160)-FIND("-",C160))&amp;"|"&amp;LEFT(D160,1)&amp;"|"&amp;LEFT(B160,1)&amp;"|"&amp;Tabela_BaseM[[#This Row],[Valor]]&amp;"|"&amp;Tabela_BaseM[[#This Row],[HISTÓRICO]]&amp;"|"))</f>
        <v>|M300|95|(-) Revers o ou uso de provis es ou perdas estimadas n o dedut veis|E|3|171664,94|Reversao de provisoes no periodo|</v>
      </c>
    </row>
    <row r="161" spans="1:17" x14ac:dyDescent="0.25">
      <c r="A161" t="s">
        <v>21</v>
      </c>
      <c r="B161" t="s">
        <v>30</v>
      </c>
      <c r="C161" t="s">
        <v>32</v>
      </c>
      <c r="D161" t="s">
        <v>426</v>
      </c>
      <c r="E161" t="s">
        <v>998</v>
      </c>
      <c r="F161">
        <v>3160404</v>
      </c>
      <c r="G161" t="s">
        <v>1091</v>
      </c>
      <c r="H161">
        <v>1130603</v>
      </c>
      <c r="J161" s="11">
        <v>45412</v>
      </c>
      <c r="K161">
        <v>426260.19</v>
      </c>
      <c r="L161" t="str">
        <f>IF(A161="IRPJ",IF(LEFT(B161,1)="1","|M305|",IF(LEFT(B161,1)="2","|M310|",IF(AND(LEFT(B161,1)="3",Tabela_BaseM[[#This Row],[CONTA PARTE B]]&lt;&gt;""),"|M305|",IF(LEFT(B161,1)="4","|M312|","")))),      IF(LEFT(B161,1)="1","|M355|",IF(LEFT(B161,1)="2","|M360|",IF(AND(LEFT(B161,1)="3",Tabela_BaseM[[#This Row],[CONTA PARTE B]]&lt;&gt;""),"|M355|",IF(LEFT(B161,1)="4","|M362|","")))))</f>
        <v>|M305|</v>
      </c>
      <c r="M161" t="str">
        <f>IF(LEFT(Tabela_BaseM[[#This Row],[TIPO RELACIONAMENTO]],1)="3",(IF(A161="IRPJ",IF(LEFT(B161,1)="1","|M305|",IF(LEFT(B161,1)="2","|M310|",IF(LEFT(B161,1)="3","|M310|",IF(LEFT(B161,1)="4","|M312|","")))),IF(LEFT(B161,1)="1","|M355|",IF(LEFT(B161,1)="2","|M360|",IF(LEFT(B161,1)="3","|M360|",IF(LEFT(B161,1)="4","|M362|","")))))),"")</f>
        <v>|M310|</v>
      </c>
      <c r="N16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|M305|1130603|426260,19|C|</v>
      </c>
      <c r="O16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|M310|3160404||426260,19|C|</v>
      </c>
      <c r="P16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61" t="str">
        <f>IF(A161="IRPJ",("|M300|"&amp;LEFT(C161,FIND("-",C161)-1)&amp;"|"&amp;RIGHT(C161,LEN(C161)-FIND("-",C161))&amp;"|"&amp;LEFT(D161,1)&amp;"|"&amp;LEFT(B161,1)&amp;"|"&amp;Tabela_BaseM[[#This Row],[Valor]]&amp;"|"&amp;Tabela_BaseM[[#This Row],[HISTÓRICO]]&amp;"|"),("|M350|"&amp;LEFT(C161,FIND("-",C161)-1)&amp;"|"&amp;RIGHT(C161,LEN(C161)-FIND("-",C161))&amp;"|"&amp;LEFT(D161,1)&amp;"|"&amp;LEFT(B161,1)&amp;"|"&amp;Tabela_BaseM[[#This Row],[Valor]]&amp;"|"&amp;Tabela_BaseM[[#This Row],[HISTÓRICO]]&amp;"|"))</f>
        <v>|M300|95|(-) Revers o ou uso de provis es ou perdas estimadas n o dedut veis|E|3|426260,19|Reversao de provisoes no periodo|</v>
      </c>
    </row>
    <row r="162" spans="1:17" x14ac:dyDescent="0.25">
      <c r="A162" t="s">
        <v>21</v>
      </c>
      <c r="B162" t="s">
        <v>30</v>
      </c>
      <c r="C162" t="s">
        <v>32</v>
      </c>
      <c r="D162" t="s">
        <v>426</v>
      </c>
      <c r="E162" t="s">
        <v>998</v>
      </c>
      <c r="F162">
        <v>3220101</v>
      </c>
      <c r="G162" t="s">
        <v>1062</v>
      </c>
      <c r="H162">
        <v>1120201</v>
      </c>
      <c r="J162" s="11">
        <v>45412</v>
      </c>
      <c r="K162">
        <v>347367.74</v>
      </c>
      <c r="L162" t="str">
        <f>IF(A162="IRPJ",IF(LEFT(B162,1)="1","|M305|",IF(LEFT(B162,1)="2","|M310|",IF(AND(LEFT(B162,1)="3",Tabela_BaseM[[#This Row],[CONTA PARTE B]]&lt;&gt;""),"|M305|",IF(LEFT(B162,1)="4","|M312|","")))),      IF(LEFT(B162,1)="1","|M355|",IF(LEFT(B162,1)="2","|M360|",IF(AND(LEFT(B162,1)="3",Tabela_BaseM[[#This Row],[CONTA PARTE B]]&lt;&gt;""),"|M355|",IF(LEFT(B162,1)="4","|M362|","")))))</f>
        <v>|M305|</v>
      </c>
      <c r="M162" t="str">
        <f>IF(LEFT(Tabela_BaseM[[#This Row],[TIPO RELACIONAMENTO]],1)="3",(IF(A162="IRPJ",IF(LEFT(B162,1)="1","|M305|",IF(LEFT(B162,1)="2","|M310|",IF(LEFT(B162,1)="3","|M310|",IF(LEFT(B162,1)="4","|M312|","")))),IF(LEFT(B162,1)="1","|M355|",IF(LEFT(B162,1)="2","|M360|",IF(LEFT(B162,1)="3","|M360|",IF(LEFT(B162,1)="4","|M362|","")))))),"")</f>
        <v>|M310|</v>
      </c>
      <c r="N16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|M305|1120201|347367,74|C|</v>
      </c>
      <c r="O16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>|M310|3220101||347367,74|C|</v>
      </c>
      <c r="P16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|M030|01042024|30042024|A04|</v>
      </c>
      <c r="Q162" t="str">
        <f>IF(A162="IRPJ",("|M300|"&amp;LEFT(C162,FIND("-",C162)-1)&amp;"|"&amp;RIGHT(C162,LEN(C162)-FIND("-",C162))&amp;"|"&amp;LEFT(D162,1)&amp;"|"&amp;LEFT(B162,1)&amp;"|"&amp;Tabela_BaseM[[#This Row],[Valor]]&amp;"|"&amp;Tabela_BaseM[[#This Row],[HISTÓRICO]]&amp;"|"),("|M350|"&amp;LEFT(C162,FIND("-",C162)-1)&amp;"|"&amp;RIGHT(C162,LEN(C162)-FIND("-",C162))&amp;"|"&amp;LEFT(D162,1)&amp;"|"&amp;LEFT(B162,1)&amp;"|"&amp;Tabela_BaseM[[#This Row],[Valor]]&amp;"|"&amp;Tabela_BaseM[[#This Row],[HISTÓRICO]]&amp;"|"))</f>
        <v>|M300|95|(-) Revers o ou uso de provis es ou perdas estimadas n o dedut veis|E|3|347367,74|Reversao de provisoes no periodo|</v>
      </c>
    </row>
    <row r="163" spans="1:17" x14ac:dyDescent="0.25">
      <c r="J163" s="11"/>
      <c r="L163" t="str">
        <f>IF(A163="IRPJ",IF(LEFT(B163,1)="1","|M305|",IF(LEFT(B163,1)="2","|M310|",IF(AND(LEFT(B163,1)="3",Tabela_BaseM[[#This Row],[CONTA PARTE B]]&lt;&gt;""),"|M305|",IF(LEFT(B163,1)="4","|M312|","")))),      IF(LEFT(B163,1)="1","|M355|",IF(LEFT(B163,1)="2","|M360|",IF(AND(LEFT(B163,1)="3",Tabela_BaseM[[#This Row],[CONTA PARTE B]]&lt;&gt;""),"|M355|",IF(LEFT(B163,1)="4","|M362|","")))))</f>
        <v/>
      </c>
      <c r="M163" t="str">
        <f>IF(LEFT(Tabela_BaseM[[#This Row],[TIPO RELACIONAMENTO]],1)="3",(IF(A163="IRPJ",IF(LEFT(B163,1)="1","|M305|",IF(LEFT(B163,1)="2","|M310|",IF(LEFT(B163,1)="3","|M310|",IF(LEFT(B163,1)="4","|M312|","")))),IF(LEFT(B163,1)="1","|M355|",IF(LEFT(B163,1)="2","|M360|",IF(LEFT(B163,1)="3","|M360|",IF(LEFT(B163,1)="4","|M362|","")))))),"")</f>
        <v/>
      </c>
      <c r="N16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3" t="e">
        <f>IF(A163="IRPJ",("|M300|"&amp;LEFT(C163,FIND("-",C163)-1)&amp;"|"&amp;RIGHT(C163,LEN(C163)-FIND("-",C163))&amp;"|"&amp;LEFT(D163,1)&amp;"|"&amp;LEFT(B163,1)&amp;"|"&amp;Tabela_BaseM[[#This Row],[Valor]]&amp;"|"&amp;Tabela_BaseM[[#This Row],[HISTÓRICO]]&amp;"|"),("|M350|"&amp;LEFT(C163,FIND("-",C163)-1)&amp;"|"&amp;RIGHT(C163,LEN(C163)-FIND("-",C163))&amp;"|"&amp;LEFT(D163,1)&amp;"|"&amp;LEFT(B163,1)&amp;"|"&amp;Tabela_BaseM[[#This Row],[Valor]]&amp;"|"&amp;Tabela_BaseM[[#This Row],[HISTÓRICO]]&amp;"|"))</f>
        <v>#VALUE!</v>
      </c>
    </row>
    <row r="164" spans="1:17" x14ac:dyDescent="0.25">
      <c r="J164" s="11"/>
      <c r="L164" t="str">
        <f>IF(A164="IRPJ",IF(LEFT(B164,1)="1","|M305|",IF(LEFT(B164,1)="2","|M310|",IF(AND(LEFT(B164,1)="3",Tabela_BaseM[[#This Row],[CONTA PARTE B]]&lt;&gt;""),"|M305|",IF(LEFT(B164,1)="4","|M312|","")))),      IF(LEFT(B164,1)="1","|M355|",IF(LEFT(B164,1)="2","|M360|",IF(AND(LEFT(B164,1)="3",Tabela_BaseM[[#This Row],[CONTA PARTE B]]&lt;&gt;""),"|M355|",IF(LEFT(B164,1)="4","|M362|","")))))</f>
        <v/>
      </c>
      <c r="M164" t="str">
        <f>IF(LEFT(Tabela_BaseM[[#This Row],[TIPO RELACIONAMENTO]],1)="3",(IF(A164="IRPJ",IF(LEFT(B164,1)="1","|M305|",IF(LEFT(B164,1)="2","|M310|",IF(LEFT(B164,1)="3","|M310|",IF(LEFT(B164,1)="4","|M312|","")))),IF(LEFT(B164,1)="1","|M355|",IF(LEFT(B164,1)="2","|M360|",IF(LEFT(B164,1)="3","|M360|",IF(LEFT(B164,1)="4","|M362|","")))))),"")</f>
        <v/>
      </c>
      <c r="N16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4" t="e">
        <f>IF(A164="IRPJ",("|M300|"&amp;LEFT(C164,FIND("-",C164)-1)&amp;"|"&amp;RIGHT(C164,LEN(C164)-FIND("-",C164))&amp;"|"&amp;LEFT(D164,1)&amp;"|"&amp;LEFT(B164,1)&amp;"|"&amp;Tabela_BaseM[[#This Row],[Valor]]&amp;"|"&amp;Tabela_BaseM[[#This Row],[HISTÓRICO]]&amp;"|"),("|M350|"&amp;LEFT(C164,FIND("-",C164)-1)&amp;"|"&amp;RIGHT(C164,LEN(C164)-FIND("-",C164))&amp;"|"&amp;LEFT(D164,1)&amp;"|"&amp;LEFT(B164,1)&amp;"|"&amp;Tabela_BaseM[[#This Row],[Valor]]&amp;"|"&amp;Tabela_BaseM[[#This Row],[HISTÓRICO]]&amp;"|"))</f>
        <v>#VALUE!</v>
      </c>
    </row>
    <row r="165" spans="1:17" x14ac:dyDescent="0.25">
      <c r="J165" s="11"/>
      <c r="L165" t="str">
        <f>IF(A165="IRPJ",IF(LEFT(B165,1)="1","|M305|",IF(LEFT(B165,1)="2","|M310|",IF(AND(LEFT(B165,1)="3",Tabela_BaseM[[#This Row],[CONTA PARTE B]]&lt;&gt;""),"|M305|",IF(LEFT(B165,1)="4","|M312|","")))),      IF(LEFT(B165,1)="1","|M355|",IF(LEFT(B165,1)="2","|M360|",IF(AND(LEFT(B165,1)="3",Tabela_BaseM[[#This Row],[CONTA PARTE B]]&lt;&gt;""),"|M355|",IF(LEFT(B165,1)="4","|M362|","")))))</f>
        <v/>
      </c>
      <c r="M165" t="str">
        <f>IF(LEFT(Tabela_BaseM[[#This Row],[TIPO RELACIONAMENTO]],1)="3",(IF(A165="IRPJ",IF(LEFT(B165,1)="1","|M305|",IF(LEFT(B165,1)="2","|M310|",IF(LEFT(B165,1)="3","|M310|",IF(LEFT(B165,1)="4","|M312|","")))),IF(LEFT(B165,1)="1","|M355|",IF(LEFT(B165,1)="2","|M360|",IF(LEFT(B165,1)="3","|M360|",IF(LEFT(B165,1)="4","|M362|","")))))),"")</f>
        <v/>
      </c>
      <c r="N16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5" t="e">
        <f>IF(A165="IRPJ",("|M300|"&amp;LEFT(C165,FIND("-",C165)-1)&amp;"|"&amp;RIGHT(C165,LEN(C165)-FIND("-",C165))&amp;"|"&amp;LEFT(D165,1)&amp;"|"&amp;LEFT(B165,1)&amp;"|"&amp;Tabela_BaseM[[#This Row],[Valor]]&amp;"|"&amp;Tabela_BaseM[[#This Row],[HISTÓRICO]]&amp;"|"),("|M350|"&amp;LEFT(C165,FIND("-",C165)-1)&amp;"|"&amp;RIGHT(C165,LEN(C165)-FIND("-",C165))&amp;"|"&amp;LEFT(D165,1)&amp;"|"&amp;LEFT(B165,1)&amp;"|"&amp;Tabela_BaseM[[#This Row],[Valor]]&amp;"|"&amp;Tabela_BaseM[[#This Row],[HISTÓRICO]]&amp;"|"))</f>
        <v>#VALUE!</v>
      </c>
    </row>
    <row r="166" spans="1:17" x14ac:dyDescent="0.25">
      <c r="J166" s="11"/>
      <c r="L166" t="str">
        <f>IF(A166="IRPJ",IF(LEFT(B166,1)="1","|M305|",IF(LEFT(B166,1)="2","|M310|",IF(AND(LEFT(B166,1)="3",Tabela_BaseM[[#This Row],[CONTA PARTE B]]&lt;&gt;""),"|M305|",IF(LEFT(B166,1)="4","|M312|","")))),      IF(LEFT(B166,1)="1","|M355|",IF(LEFT(B166,1)="2","|M360|",IF(AND(LEFT(B166,1)="3",Tabela_BaseM[[#This Row],[CONTA PARTE B]]&lt;&gt;""),"|M355|",IF(LEFT(B166,1)="4","|M362|","")))))</f>
        <v/>
      </c>
      <c r="M166" t="str">
        <f>IF(LEFT(Tabela_BaseM[[#This Row],[TIPO RELACIONAMENTO]],1)="3",(IF(A166="IRPJ",IF(LEFT(B166,1)="1","|M305|",IF(LEFT(B166,1)="2","|M310|",IF(LEFT(B166,1)="3","|M310|",IF(LEFT(B166,1)="4","|M312|","")))),IF(LEFT(B166,1)="1","|M355|",IF(LEFT(B166,1)="2","|M360|",IF(LEFT(B166,1)="3","|M360|",IF(LEFT(B166,1)="4","|M362|","")))))),"")</f>
        <v/>
      </c>
      <c r="N16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6" t="e">
        <f>IF(A166="IRPJ",("|M300|"&amp;LEFT(C166,FIND("-",C166)-1)&amp;"|"&amp;RIGHT(C166,LEN(C166)-FIND("-",C166))&amp;"|"&amp;LEFT(D166,1)&amp;"|"&amp;LEFT(B166,1)&amp;"|"&amp;Tabela_BaseM[[#This Row],[Valor]]&amp;"|"&amp;Tabela_BaseM[[#This Row],[HISTÓRICO]]&amp;"|"),("|M350|"&amp;LEFT(C166,FIND("-",C166)-1)&amp;"|"&amp;RIGHT(C166,LEN(C166)-FIND("-",C166))&amp;"|"&amp;LEFT(D166,1)&amp;"|"&amp;LEFT(B166,1)&amp;"|"&amp;Tabela_BaseM[[#This Row],[Valor]]&amp;"|"&amp;Tabela_BaseM[[#This Row],[HISTÓRICO]]&amp;"|"))</f>
        <v>#VALUE!</v>
      </c>
    </row>
    <row r="167" spans="1:17" x14ac:dyDescent="0.25">
      <c r="J167" s="11"/>
      <c r="L167" t="str">
        <f>IF(A167="IRPJ",IF(LEFT(B167,1)="1","|M305|",IF(LEFT(B167,1)="2","|M310|",IF(AND(LEFT(B167,1)="3",Tabela_BaseM[[#This Row],[CONTA PARTE B]]&lt;&gt;""),"|M305|",IF(LEFT(B167,1)="4","|M312|","")))),      IF(LEFT(B167,1)="1","|M355|",IF(LEFT(B167,1)="2","|M360|",IF(AND(LEFT(B167,1)="3",Tabela_BaseM[[#This Row],[CONTA PARTE B]]&lt;&gt;""),"|M355|",IF(LEFT(B167,1)="4","|M362|","")))))</f>
        <v/>
      </c>
      <c r="M167" t="str">
        <f>IF(LEFT(Tabela_BaseM[[#This Row],[TIPO RELACIONAMENTO]],1)="3",(IF(A167="IRPJ",IF(LEFT(B167,1)="1","|M305|",IF(LEFT(B167,1)="2","|M310|",IF(LEFT(B167,1)="3","|M310|",IF(LEFT(B167,1)="4","|M312|","")))),IF(LEFT(B167,1)="1","|M355|",IF(LEFT(B167,1)="2","|M360|",IF(LEFT(B167,1)="3","|M360|",IF(LEFT(B167,1)="4","|M362|","")))))),"")</f>
        <v/>
      </c>
      <c r="N16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7" t="e">
        <f>IF(A167="IRPJ",("|M300|"&amp;LEFT(C167,FIND("-",C167)-1)&amp;"|"&amp;RIGHT(C167,LEN(C167)-FIND("-",C167))&amp;"|"&amp;LEFT(D167,1)&amp;"|"&amp;LEFT(B167,1)&amp;"|"&amp;Tabela_BaseM[[#This Row],[Valor]]&amp;"|"&amp;Tabela_BaseM[[#This Row],[HISTÓRICO]]&amp;"|"),("|M350|"&amp;LEFT(C167,FIND("-",C167)-1)&amp;"|"&amp;RIGHT(C167,LEN(C167)-FIND("-",C167))&amp;"|"&amp;LEFT(D167,1)&amp;"|"&amp;LEFT(B167,1)&amp;"|"&amp;Tabela_BaseM[[#This Row],[Valor]]&amp;"|"&amp;Tabela_BaseM[[#This Row],[HISTÓRICO]]&amp;"|"))</f>
        <v>#VALUE!</v>
      </c>
    </row>
    <row r="168" spans="1:17" x14ac:dyDescent="0.25">
      <c r="J168" s="11"/>
      <c r="L168" t="str">
        <f>IF(A168="IRPJ",IF(LEFT(B168,1)="1","|M305|",IF(LEFT(B168,1)="2","|M310|",IF(AND(LEFT(B168,1)="3",Tabela_BaseM[[#This Row],[CONTA PARTE B]]&lt;&gt;""),"|M305|",IF(LEFT(B168,1)="4","|M312|","")))),      IF(LEFT(B168,1)="1","|M355|",IF(LEFT(B168,1)="2","|M360|",IF(AND(LEFT(B168,1)="3",Tabela_BaseM[[#This Row],[CONTA PARTE B]]&lt;&gt;""),"|M355|",IF(LEFT(B168,1)="4","|M362|","")))))</f>
        <v/>
      </c>
      <c r="M168" t="str">
        <f>IF(LEFT(Tabela_BaseM[[#This Row],[TIPO RELACIONAMENTO]],1)="3",(IF(A168="IRPJ",IF(LEFT(B168,1)="1","|M305|",IF(LEFT(B168,1)="2","|M310|",IF(LEFT(B168,1)="3","|M310|",IF(LEFT(B168,1)="4","|M312|","")))),IF(LEFT(B168,1)="1","|M355|",IF(LEFT(B168,1)="2","|M360|",IF(LEFT(B168,1)="3","|M360|",IF(LEFT(B168,1)="4","|M362|","")))))),"")</f>
        <v/>
      </c>
      <c r="N16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8" t="e">
        <f>IF(A168="IRPJ",("|M300|"&amp;LEFT(C168,FIND("-",C168)-1)&amp;"|"&amp;RIGHT(C168,LEN(C168)-FIND("-",C168))&amp;"|"&amp;LEFT(D168,1)&amp;"|"&amp;LEFT(B168,1)&amp;"|"&amp;Tabela_BaseM[[#This Row],[Valor]]&amp;"|"&amp;Tabela_BaseM[[#This Row],[HISTÓRICO]]&amp;"|"),("|M350|"&amp;LEFT(C168,FIND("-",C168)-1)&amp;"|"&amp;RIGHT(C168,LEN(C168)-FIND("-",C168))&amp;"|"&amp;LEFT(D168,1)&amp;"|"&amp;LEFT(B168,1)&amp;"|"&amp;Tabela_BaseM[[#This Row],[Valor]]&amp;"|"&amp;Tabela_BaseM[[#This Row],[HISTÓRICO]]&amp;"|"))</f>
        <v>#VALUE!</v>
      </c>
    </row>
    <row r="169" spans="1:17" x14ac:dyDescent="0.25">
      <c r="J169" s="11"/>
      <c r="L169" t="str">
        <f>IF(A169="IRPJ",IF(LEFT(B169,1)="1","|M305|",IF(LEFT(B169,1)="2","|M310|",IF(AND(LEFT(B169,1)="3",Tabela_BaseM[[#This Row],[CONTA PARTE B]]&lt;&gt;""),"|M305|",IF(LEFT(B169,1)="4","|M312|","")))),      IF(LEFT(B169,1)="1","|M355|",IF(LEFT(B169,1)="2","|M360|",IF(AND(LEFT(B169,1)="3",Tabela_BaseM[[#This Row],[CONTA PARTE B]]&lt;&gt;""),"|M355|",IF(LEFT(B169,1)="4","|M362|","")))))</f>
        <v/>
      </c>
      <c r="M169" t="str">
        <f>IF(LEFT(Tabela_BaseM[[#This Row],[TIPO RELACIONAMENTO]],1)="3",(IF(A169="IRPJ",IF(LEFT(B169,1)="1","|M305|",IF(LEFT(B169,1)="2","|M310|",IF(LEFT(B169,1)="3","|M310|",IF(LEFT(B169,1)="4","|M312|","")))),IF(LEFT(B169,1)="1","|M355|",IF(LEFT(B169,1)="2","|M360|",IF(LEFT(B169,1)="3","|M360|",IF(LEFT(B169,1)="4","|M362|","")))))),"")</f>
        <v/>
      </c>
      <c r="N16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6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6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69" t="e">
        <f>IF(A169="IRPJ",("|M300|"&amp;LEFT(C169,FIND("-",C169)-1)&amp;"|"&amp;RIGHT(C169,LEN(C169)-FIND("-",C169))&amp;"|"&amp;LEFT(D169,1)&amp;"|"&amp;LEFT(B169,1)&amp;"|"&amp;Tabela_BaseM[[#This Row],[Valor]]&amp;"|"&amp;Tabela_BaseM[[#This Row],[HISTÓRICO]]&amp;"|"),("|M350|"&amp;LEFT(C169,FIND("-",C169)-1)&amp;"|"&amp;RIGHT(C169,LEN(C169)-FIND("-",C169))&amp;"|"&amp;LEFT(D169,1)&amp;"|"&amp;LEFT(B169,1)&amp;"|"&amp;Tabela_BaseM[[#This Row],[Valor]]&amp;"|"&amp;Tabela_BaseM[[#This Row],[HISTÓRICO]]&amp;"|"))</f>
        <v>#VALUE!</v>
      </c>
    </row>
    <row r="170" spans="1:17" x14ac:dyDescent="0.25">
      <c r="J170" s="11"/>
      <c r="L170" t="str">
        <f>IF(A170="IRPJ",IF(LEFT(B170,1)="1","|M305|",IF(LEFT(B170,1)="2","|M310|",IF(AND(LEFT(B170,1)="3",Tabela_BaseM[[#This Row],[CONTA PARTE B]]&lt;&gt;""),"|M305|",IF(LEFT(B170,1)="4","|M312|","")))),      IF(LEFT(B170,1)="1","|M355|",IF(LEFT(B170,1)="2","|M360|",IF(AND(LEFT(B170,1)="3",Tabela_BaseM[[#This Row],[CONTA PARTE B]]&lt;&gt;""),"|M355|",IF(LEFT(B170,1)="4","|M362|","")))))</f>
        <v/>
      </c>
      <c r="M170" t="str">
        <f>IF(LEFT(Tabela_BaseM[[#This Row],[TIPO RELACIONAMENTO]],1)="3",(IF(A170="IRPJ",IF(LEFT(B170,1)="1","|M305|",IF(LEFT(B170,1)="2","|M310|",IF(LEFT(B170,1)="3","|M310|",IF(LEFT(B170,1)="4","|M312|","")))),IF(LEFT(B170,1)="1","|M355|",IF(LEFT(B170,1)="2","|M360|",IF(LEFT(B170,1)="3","|M360|",IF(LEFT(B170,1)="4","|M362|","")))))),"")</f>
        <v/>
      </c>
      <c r="N17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0" t="e">
        <f>IF(A170="IRPJ",("|M300|"&amp;LEFT(C170,FIND("-",C170)-1)&amp;"|"&amp;RIGHT(C170,LEN(C170)-FIND("-",C170))&amp;"|"&amp;LEFT(D170,1)&amp;"|"&amp;LEFT(B170,1)&amp;"|"&amp;Tabela_BaseM[[#This Row],[Valor]]&amp;"|"&amp;Tabela_BaseM[[#This Row],[HISTÓRICO]]&amp;"|"),("|M350|"&amp;LEFT(C170,FIND("-",C170)-1)&amp;"|"&amp;RIGHT(C170,LEN(C170)-FIND("-",C170))&amp;"|"&amp;LEFT(D170,1)&amp;"|"&amp;LEFT(B170,1)&amp;"|"&amp;Tabela_BaseM[[#This Row],[Valor]]&amp;"|"&amp;Tabela_BaseM[[#This Row],[HISTÓRICO]]&amp;"|"))</f>
        <v>#VALUE!</v>
      </c>
    </row>
    <row r="171" spans="1:17" x14ac:dyDescent="0.25">
      <c r="J171" s="11"/>
      <c r="L171" t="str">
        <f>IF(A171="IRPJ",IF(LEFT(B171,1)="1","|M305|",IF(LEFT(B171,1)="2","|M310|",IF(AND(LEFT(B171,1)="3",Tabela_BaseM[[#This Row],[CONTA PARTE B]]&lt;&gt;""),"|M305|",IF(LEFT(B171,1)="4","|M312|","")))),      IF(LEFT(B171,1)="1","|M355|",IF(LEFT(B171,1)="2","|M360|",IF(AND(LEFT(B171,1)="3",Tabela_BaseM[[#This Row],[CONTA PARTE B]]&lt;&gt;""),"|M355|",IF(LEFT(B171,1)="4","|M362|","")))))</f>
        <v/>
      </c>
      <c r="M171" t="str">
        <f>IF(LEFT(Tabela_BaseM[[#This Row],[TIPO RELACIONAMENTO]],1)="3",(IF(A171="IRPJ",IF(LEFT(B171,1)="1","|M305|",IF(LEFT(B171,1)="2","|M310|",IF(LEFT(B171,1)="3","|M310|",IF(LEFT(B171,1)="4","|M312|","")))),IF(LEFT(B171,1)="1","|M355|",IF(LEFT(B171,1)="2","|M360|",IF(LEFT(B171,1)="3","|M360|",IF(LEFT(B171,1)="4","|M362|","")))))),"")</f>
        <v/>
      </c>
      <c r="N17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1" t="e">
        <f>IF(A171="IRPJ",("|M300|"&amp;LEFT(C171,FIND("-",C171)-1)&amp;"|"&amp;RIGHT(C171,LEN(C171)-FIND("-",C171))&amp;"|"&amp;LEFT(D171,1)&amp;"|"&amp;LEFT(B171,1)&amp;"|"&amp;Tabela_BaseM[[#This Row],[Valor]]&amp;"|"&amp;Tabela_BaseM[[#This Row],[HISTÓRICO]]&amp;"|"),("|M350|"&amp;LEFT(C171,FIND("-",C171)-1)&amp;"|"&amp;RIGHT(C171,LEN(C171)-FIND("-",C171))&amp;"|"&amp;LEFT(D171,1)&amp;"|"&amp;LEFT(B171,1)&amp;"|"&amp;Tabela_BaseM[[#This Row],[Valor]]&amp;"|"&amp;Tabela_BaseM[[#This Row],[HISTÓRICO]]&amp;"|"))</f>
        <v>#VALUE!</v>
      </c>
    </row>
    <row r="172" spans="1:17" x14ac:dyDescent="0.25">
      <c r="J172" s="11"/>
      <c r="L172" t="str">
        <f>IF(A172="IRPJ",IF(LEFT(B172,1)="1","|M305|",IF(LEFT(B172,1)="2","|M310|",IF(AND(LEFT(B172,1)="3",Tabela_BaseM[[#This Row],[CONTA PARTE B]]&lt;&gt;""),"|M305|",IF(LEFT(B172,1)="4","|M312|","")))),      IF(LEFT(B172,1)="1","|M355|",IF(LEFT(B172,1)="2","|M360|",IF(AND(LEFT(B172,1)="3",Tabela_BaseM[[#This Row],[CONTA PARTE B]]&lt;&gt;""),"|M355|",IF(LEFT(B172,1)="4","|M362|","")))))</f>
        <v/>
      </c>
      <c r="M172" t="str">
        <f>IF(LEFT(Tabela_BaseM[[#This Row],[TIPO RELACIONAMENTO]],1)="3",(IF(A172="IRPJ",IF(LEFT(B172,1)="1","|M305|",IF(LEFT(B172,1)="2","|M310|",IF(LEFT(B172,1)="3","|M310|",IF(LEFT(B172,1)="4","|M312|","")))),IF(LEFT(B172,1)="1","|M355|",IF(LEFT(B172,1)="2","|M360|",IF(LEFT(B172,1)="3","|M360|",IF(LEFT(B172,1)="4","|M362|","")))))),"")</f>
        <v/>
      </c>
      <c r="N17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2" t="e">
        <f>IF(A172="IRPJ",("|M300|"&amp;LEFT(C172,FIND("-",C172)-1)&amp;"|"&amp;RIGHT(C172,LEN(C172)-FIND("-",C172))&amp;"|"&amp;LEFT(D172,1)&amp;"|"&amp;LEFT(B172,1)&amp;"|"&amp;Tabela_BaseM[[#This Row],[Valor]]&amp;"|"&amp;Tabela_BaseM[[#This Row],[HISTÓRICO]]&amp;"|"),("|M350|"&amp;LEFT(C172,FIND("-",C172)-1)&amp;"|"&amp;RIGHT(C172,LEN(C172)-FIND("-",C172))&amp;"|"&amp;LEFT(D172,1)&amp;"|"&amp;LEFT(B172,1)&amp;"|"&amp;Tabela_BaseM[[#This Row],[Valor]]&amp;"|"&amp;Tabela_BaseM[[#This Row],[HISTÓRICO]]&amp;"|"))</f>
        <v>#VALUE!</v>
      </c>
    </row>
    <row r="173" spans="1:17" x14ac:dyDescent="0.25">
      <c r="J173" s="11"/>
      <c r="L173" t="str">
        <f>IF(A173="IRPJ",IF(LEFT(B173,1)="1","|M305|",IF(LEFT(B173,1)="2","|M310|",IF(AND(LEFT(B173,1)="3",Tabela_BaseM[[#This Row],[CONTA PARTE B]]&lt;&gt;""),"|M305|",IF(LEFT(B173,1)="4","|M312|","")))),      IF(LEFT(B173,1)="1","|M355|",IF(LEFT(B173,1)="2","|M360|",IF(AND(LEFT(B173,1)="3",Tabela_BaseM[[#This Row],[CONTA PARTE B]]&lt;&gt;""),"|M355|",IF(LEFT(B173,1)="4","|M362|","")))))</f>
        <v/>
      </c>
      <c r="M173" t="str">
        <f>IF(LEFT(Tabela_BaseM[[#This Row],[TIPO RELACIONAMENTO]],1)="3",(IF(A173="IRPJ",IF(LEFT(B173,1)="1","|M305|",IF(LEFT(B173,1)="2","|M310|",IF(LEFT(B173,1)="3","|M310|",IF(LEFT(B173,1)="4","|M312|","")))),IF(LEFT(B173,1)="1","|M355|",IF(LEFT(B173,1)="2","|M360|",IF(LEFT(B173,1)="3","|M360|",IF(LEFT(B173,1)="4","|M362|","")))))),"")</f>
        <v/>
      </c>
      <c r="N17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3" t="e">
        <f>IF(A173="IRPJ",("|M300|"&amp;LEFT(C173,FIND("-",C173)-1)&amp;"|"&amp;RIGHT(C173,LEN(C173)-FIND("-",C173))&amp;"|"&amp;LEFT(D173,1)&amp;"|"&amp;LEFT(B173,1)&amp;"|"&amp;Tabela_BaseM[[#This Row],[Valor]]&amp;"|"&amp;Tabela_BaseM[[#This Row],[HISTÓRICO]]&amp;"|"),("|M350|"&amp;LEFT(C173,FIND("-",C173)-1)&amp;"|"&amp;RIGHT(C173,LEN(C173)-FIND("-",C173))&amp;"|"&amp;LEFT(D173,1)&amp;"|"&amp;LEFT(B173,1)&amp;"|"&amp;Tabela_BaseM[[#This Row],[Valor]]&amp;"|"&amp;Tabela_BaseM[[#This Row],[HISTÓRICO]]&amp;"|"))</f>
        <v>#VALUE!</v>
      </c>
    </row>
    <row r="174" spans="1:17" x14ac:dyDescent="0.25">
      <c r="J174" s="11"/>
      <c r="L174" t="str">
        <f>IF(A174="IRPJ",IF(LEFT(B174,1)="1","|M305|",IF(LEFT(B174,1)="2","|M310|",IF(AND(LEFT(B174,1)="3",Tabela_BaseM[[#This Row],[CONTA PARTE B]]&lt;&gt;""),"|M305|",IF(LEFT(B174,1)="4","|M312|","")))),      IF(LEFT(B174,1)="1","|M355|",IF(LEFT(B174,1)="2","|M360|",IF(AND(LEFT(B174,1)="3",Tabela_BaseM[[#This Row],[CONTA PARTE B]]&lt;&gt;""),"|M355|",IF(LEFT(B174,1)="4","|M362|","")))))</f>
        <v/>
      </c>
      <c r="M174" t="str">
        <f>IF(LEFT(Tabela_BaseM[[#This Row],[TIPO RELACIONAMENTO]],1)="3",(IF(A174="IRPJ",IF(LEFT(B174,1)="1","|M305|",IF(LEFT(B174,1)="2","|M310|",IF(LEFT(B174,1)="3","|M310|",IF(LEFT(B174,1)="4","|M312|","")))),IF(LEFT(B174,1)="1","|M355|",IF(LEFT(B174,1)="2","|M360|",IF(LEFT(B174,1)="3","|M360|",IF(LEFT(B174,1)="4","|M362|","")))))),"")</f>
        <v/>
      </c>
      <c r="N17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4" t="e">
        <f>IF(A174="IRPJ",("|M300|"&amp;LEFT(C174,FIND("-",C174)-1)&amp;"|"&amp;RIGHT(C174,LEN(C174)-FIND("-",C174))&amp;"|"&amp;LEFT(D174,1)&amp;"|"&amp;LEFT(B174,1)&amp;"|"&amp;Tabela_BaseM[[#This Row],[Valor]]&amp;"|"&amp;Tabela_BaseM[[#This Row],[HISTÓRICO]]&amp;"|"),("|M350|"&amp;LEFT(C174,FIND("-",C174)-1)&amp;"|"&amp;RIGHT(C174,LEN(C174)-FIND("-",C174))&amp;"|"&amp;LEFT(D174,1)&amp;"|"&amp;LEFT(B174,1)&amp;"|"&amp;Tabela_BaseM[[#This Row],[Valor]]&amp;"|"&amp;Tabela_BaseM[[#This Row],[HISTÓRICO]]&amp;"|"))</f>
        <v>#VALUE!</v>
      </c>
    </row>
    <row r="175" spans="1:17" x14ac:dyDescent="0.25">
      <c r="J175" s="11"/>
      <c r="L175" t="str">
        <f>IF(A175="IRPJ",IF(LEFT(B175,1)="1","|M305|",IF(LEFT(B175,1)="2","|M310|",IF(AND(LEFT(B175,1)="3",Tabela_BaseM[[#This Row],[CONTA PARTE B]]&lt;&gt;""),"|M305|",IF(LEFT(B175,1)="4","|M312|","")))),      IF(LEFT(B175,1)="1","|M355|",IF(LEFT(B175,1)="2","|M360|",IF(AND(LEFT(B175,1)="3",Tabela_BaseM[[#This Row],[CONTA PARTE B]]&lt;&gt;""),"|M355|",IF(LEFT(B175,1)="4","|M362|","")))))</f>
        <v/>
      </c>
      <c r="M175" t="str">
        <f>IF(LEFT(Tabela_BaseM[[#This Row],[TIPO RELACIONAMENTO]],1)="3",(IF(A175="IRPJ",IF(LEFT(B175,1)="1","|M305|",IF(LEFT(B175,1)="2","|M310|",IF(LEFT(B175,1)="3","|M310|",IF(LEFT(B175,1)="4","|M312|","")))),IF(LEFT(B175,1)="1","|M355|",IF(LEFT(B175,1)="2","|M360|",IF(LEFT(B175,1)="3","|M360|",IF(LEFT(B175,1)="4","|M362|","")))))),"")</f>
        <v/>
      </c>
      <c r="N17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5" t="e">
        <f>IF(A175="IRPJ",("|M300|"&amp;LEFT(C175,FIND("-",C175)-1)&amp;"|"&amp;RIGHT(C175,LEN(C175)-FIND("-",C175))&amp;"|"&amp;LEFT(D175,1)&amp;"|"&amp;LEFT(B175,1)&amp;"|"&amp;Tabela_BaseM[[#This Row],[Valor]]&amp;"|"&amp;Tabela_BaseM[[#This Row],[HISTÓRICO]]&amp;"|"),("|M350|"&amp;LEFT(C175,FIND("-",C175)-1)&amp;"|"&amp;RIGHT(C175,LEN(C175)-FIND("-",C175))&amp;"|"&amp;LEFT(D175,1)&amp;"|"&amp;LEFT(B175,1)&amp;"|"&amp;Tabela_BaseM[[#This Row],[Valor]]&amp;"|"&amp;Tabela_BaseM[[#This Row],[HISTÓRICO]]&amp;"|"))</f>
        <v>#VALUE!</v>
      </c>
    </row>
    <row r="176" spans="1:17" x14ac:dyDescent="0.25">
      <c r="J176" s="11"/>
      <c r="L176" t="str">
        <f>IF(A176="IRPJ",IF(LEFT(B176,1)="1","|M305|",IF(LEFT(B176,1)="2","|M310|",IF(AND(LEFT(B176,1)="3",Tabela_BaseM[[#This Row],[CONTA PARTE B]]&lt;&gt;""),"|M305|",IF(LEFT(B176,1)="4","|M312|","")))),      IF(LEFT(B176,1)="1","|M355|",IF(LEFT(B176,1)="2","|M360|",IF(AND(LEFT(B176,1)="3",Tabela_BaseM[[#This Row],[CONTA PARTE B]]&lt;&gt;""),"|M355|",IF(LEFT(B176,1)="4","|M362|","")))))</f>
        <v/>
      </c>
      <c r="M176" t="str">
        <f>IF(LEFT(Tabela_BaseM[[#This Row],[TIPO RELACIONAMENTO]],1)="3",(IF(A176="IRPJ",IF(LEFT(B176,1)="1","|M305|",IF(LEFT(B176,1)="2","|M310|",IF(LEFT(B176,1)="3","|M310|",IF(LEFT(B176,1)="4","|M312|","")))),IF(LEFT(B176,1)="1","|M355|",IF(LEFT(B176,1)="2","|M360|",IF(LEFT(B176,1)="3","|M360|",IF(LEFT(B176,1)="4","|M362|","")))))),"")</f>
        <v/>
      </c>
      <c r="N17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6" t="e">
        <f>IF(A176="IRPJ",("|M300|"&amp;LEFT(C176,FIND("-",C176)-1)&amp;"|"&amp;RIGHT(C176,LEN(C176)-FIND("-",C176))&amp;"|"&amp;LEFT(D176,1)&amp;"|"&amp;LEFT(B176,1)&amp;"|"&amp;Tabela_BaseM[[#This Row],[Valor]]&amp;"|"&amp;Tabela_BaseM[[#This Row],[HISTÓRICO]]&amp;"|"),("|M350|"&amp;LEFT(C176,FIND("-",C176)-1)&amp;"|"&amp;RIGHT(C176,LEN(C176)-FIND("-",C176))&amp;"|"&amp;LEFT(D176,1)&amp;"|"&amp;LEFT(B176,1)&amp;"|"&amp;Tabela_BaseM[[#This Row],[Valor]]&amp;"|"&amp;Tabela_BaseM[[#This Row],[HISTÓRICO]]&amp;"|"))</f>
        <v>#VALUE!</v>
      </c>
    </row>
    <row r="177" spans="10:17" x14ac:dyDescent="0.25">
      <c r="J177" s="11"/>
      <c r="L177" t="str">
        <f>IF(A177="IRPJ",IF(LEFT(B177,1)="1","|M305|",IF(LEFT(B177,1)="2","|M310|",IF(AND(LEFT(B177,1)="3",Tabela_BaseM[[#This Row],[CONTA PARTE B]]&lt;&gt;""),"|M305|",IF(LEFT(B177,1)="4","|M312|","")))),      IF(LEFT(B177,1)="1","|M355|",IF(LEFT(B177,1)="2","|M360|",IF(AND(LEFT(B177,1)="3",Tabela_BaseM[[#This Row],[CONTA PARTE B]]&lt;&gt;""),"|M355|",IF(LEFT(B177,1)="4","|M362|","")))))</f>
        <v/>
      </c>
      <c r="M177" t="str">
        <f>IF(LEFT(Tabela_BaseM[[#This Row],[TIPO RELACIONAMENTO]],1)="3",(IF(A177="IRPJ",IF(LEFT(B177,1)="1","|M305|",IF(LEFT(B177,1)="2","|M310|",IF(LEFT(B177,1)="3","|M310|",IF(LEFT(B177,1)="4","|M312|","")))),IF(LEFT(B177,1)="1","|M355|",IF(LEFT(B177,1)="2","|M360|",IF(LEFT(B177,1)="3","|M360|",IF(LEFT(B177,1)="4","|M362|","")))))),"")</f>
        <v/>
      </c>
      <c r="N17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7" t="e">
        <f>IF(A177="IRPJ",("|M300|"&amp;LEFT(C177,FIND("-",C177)-1)&amp;"|"&amp;RIGHT(C177,LEN(C177)-FIND("-",C177))&amp;"|"&amp;LEFT(D177,1)&amp;"|"&amp;LEFT(B177,1)&amp;"|"&amp;Tabela_BaseM[[#This Row],[Valor]]&amp;"|"&amp;Tabela_BaseM[[#This Row],[HISTÓRICO]]&amp;"|"),("|M350|"&amp;LEFT(C177,FIND("-",C177)-1)&amp;"|"&amp;RIGHT(C177,LEN(C177)-FIND("-",C177))&amp;"|"&amp;LEFT(D177,1)&amp;"|"&amp;LEFT(B177,1)&amp;"|"&amp;Tabela_BaseM[[#This Row],[Valor]]&amp;"|"&amp;Tabela_BaseM[[#This Row],[HISTÓRICO]]&amp;"|"))</f>
        <v>#VALUE!</v>
      </c>
    </row>
    <row r="178" spans="10:17" x14ac:dyDescent="0.25">
      <c r="J178" s="11"/>
      <c r="L178" t="str">
        <f>IF(A178="IRPJ",IF(LEFT(B178,1)="1","|M305|",IF(LEFT(B178,1)="2","|M310|",IF(AND(LEFT(B178,1)="3",Tabela_BaseM[[#This Row],[CONTA PARTE B]]&lt;&gt;""),"|M305|",IF(LEFT(B178,1)="4","|M312|","")))),      IF(LEFT(B178,1)="1","|M355|",IF(LEFT(B178,1)="2","|M360|",IF(AND(LEFT(B178,1)="3",Tabela_BaseM[[#This Row],[CONTA PARTE B]]&lt;&gt;""),"|M355|",IF(LEFT(B178,1)="4","|M362|","")))))</f>
        <v/>
      </c>
      <c r="M178" t="str">
        <f>IF(LEFT(Tabela_BaseM[[#This Row],[TIPO RELACIONAMENTO]],1)="3",(IF(A178="IRPJ",IF(LEFT(B178,1)="1","|M305|",IF(LEFT(B178,1)="2","|M310|",IF(LEFT(B178,1)="3","|M310|",IF(LEFT(B178,1)="4","|M312|","")))),IF(LEFT(B178,1)="1","|M355|",IF(LEFT(B178,1)="2","|M360|",IF(LEFT(B178,1)="3","|M360|",IF(LEFT(B178,1)="4","|M362|","")))))),"")</f>
        <v/>
      </c>
      <c r="N17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8" t="e">
        <f>IF(A178="IRPJ",("|M300|"&amp;LEFT(C178,FIND("-",C178)-1)&amp;"|"&amp;RIGHT(C178,LEN(C178)-FIND("-",C178))&amp;"|"&amp;LEFT(D178,1)&amp;"|"&amp;LEFT(B178,1)&amp;"|"&amp;Tabela_BaseM[[#This Row],[Valor]]&amp;"|"&amp;Tabela_BaseM[[#This Row],[HISTÓRICO]]&amp;"|"),("|M350|"&amp;LEFT(C178,FIND("-",C178)-1)&amp;"|"&amp;RIGHT(C178,LEN(C178)-FIND("-",C178))&amp;"|"&amp;LEFT(D178,1)&amp;"|"&amp;LEFT(B178,1)&amp;"|"&amp;Tabela_BaseM[[#This Row],[Valor]]&amp;"|"&amp;Tabela_BaseM[[#This Row],[HISTÓRICO]]&amp;"|"))</f>
        <v>#VALUE!</v>
      </c>
    </row>
    <row r="179" spans="10:17" x14ac:dyDescent="0.25">
      <c r="J179" s="11"/>
      <c r="L179" t="str">
        <f>IF(A179="IRPJ",IF(LEFT(B179,1)="1","|M305|",IF(LEFT(B179,1)="2","|M310|",IF(AND(LEFT(B179,1)="3",Tabela_BaseM[[#This Row],[CONTA PARTE B]]&lt;&gt;""),"|M305|",IF(LEFT(B179,1)="4","|M312|","")))),      IF(LEFT(B179,1)="1","|M355|",IF(LEFT(B179,1)="2","|M360|",IF(AND(LEFT(B179,1)="3",Tabela_BaseM[[#This Row],[CONTA PARTE B]]&lt;&gt;""),"|M355|",IF(LEFT(B179,1)="4","|M362|","")))))</f>
        <v/>
      </c>
      <c r="M179" t="str">
        <f>IF(LEFT(Tabela_BaseM[[#This Row],[TIPO RELACIONAMENTO]],1)="3",(IF(A179="IRPJ",IF(LEFT(B179,1)="1","|M305|",IF(LEFT(B179,1)="2","|M310|",IF(LEFT(B179,1)="3","|M310|",IF(LEFT(B179,1)="4","|M312|","")))),IF(LEFT(B179,1)="1","|M355|",IF(LEFT(B179,1)="2","|M360|",IF(LEFT(B179,1)="3","|M360|",IF(LEFT(B179,1)="4","|M362|","")))))),"")</f>
        <v/>
      </c>
      <c r="N17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7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7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79" t="e">
        <f>IF(A179="IRPJ",("|M300|"&amp;LEFT(C179,FIND("-",C179)-1)&amp;"|"&amp;RIGHT(C179,LEN(C179)-FIND("-",C179))&amp;"|"&amp;LEFT(D179,1)&amp;"|"&amp;LEFT(B179,1)&amp;"|"&amp;Tabela_BaseM[[#This Row],[Valor]]&amp;"|"&amp;Tabela_BaseM[[#This Row],[HISTÓRICO]]&amp;"|"),("|M350|"&amp;LEFT(C179,FIND("-",C179)-1)&amp;"|"&amp;RIGHT(C179,LEN(C179)-FIND("-",C179))&amp;"|"&amp;LEFT(D179,1)&amp;"|"&amp;LEFT(B179,1)&amp;"|"&amp;Tabela_BaseM[[#This Row],[Valor]]&amp;"|"&amp;Tabela_BaseM[[#This Row],[HISTÓRICO]]&amp;"|"))</f>
        <v>#VALUE!</v>
      </c>
    </row>
    <row r="180" spans="10:17" x14ac:dyDescent="0.25">
      <c r="J180" s="11"/>
      <c r="L180" t="str">
        <f>IF(A180="IRPJ",IF(LEFT(B180,1)="1","|M305|",IF(LEFT(B180,1)="2","|M310|",IF(AND(LEFT(B180,1)="3",Tabela_BaseM[[#This Row],[CONTA PARTE B]]&lt;&gt;""),"|M305|",IF(LEFT(B180,1)="4","|M312|","")))),      IF(LEFT(B180,1)="1","|M355|",IF(LEFT(B180,1)="2","|M360|",IF(AND(LEFT(B180,1)="3",Tabela_BaseM[[#This Row],[CONTA PARTE B]]&lt;&gt;""),"|M355|",IF(LEFT(B180,1)="4","|M362|","")))))</f>
        <v/>
      </c>
      <c r="M180" t="str">
        <f>IF(LEFT(Tabela_BaseM[[#This Row],[TIPO RELACIONAMENTO]],1)="3",(IF(A180="IRPJ",IF(LEFT(B180,1)="1","|M305|",IF(LEFT(B180,1)="2","|M310|",IF(LEFT(B180,1)="3","|M310|",IF(LEFT(B180,1)="4","|M312|","")))),IF(LEFT(B180,1)="1","|M355|",IF(LEFT(B180,1)="2","|M360|",IF(LEFT(B180,1)="3","|M360|",IF(LEFT(B180,1)="4","|M362|","")))))),"")</f>
        <v/>
      </c>
      <c r="N18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0" t="e">
        <f>IF(A180="IRPJ",("|M300|"&amp;LEFT(C180,FIND("-",C180)-1)&amp;"|"&amp;RIGHT(C180,LEN(C180)-FIND("-",C180))&amp;"|"&amp;LEFT(D180,1)&amp;"|"&amp;LEFT(B180,1)&amp;"|"&amp;Tabela_BaseM[[#This Row],[Valor]]&amp;"|"&amp;Tabela_BaseM[[#This Row],[HISTÓRICO]]&amp;"|"),("|M350|"&amp;LEFT(C180,FIND("-",C180)-1)&amp;"|"&amp;RIGHT(C180,LEN(C180)-FIND("-",C180))&amp;"|"&amp;LEFT(D180,1)&amp;"|"&amp;LEFT(B180,1)&amp;"|"&amp;Tabela_BaseM[[#This Row],[Valor]]&amp;"|"&amp;Tabela_BaseM[[#This Row],[HISTÓRICO]]&amp;"|"))</f>
        <v>#VALUE!</v>
      </c>
    </row>
    <row r="181" spans="10:17" x14ac:dyDescent="0.25">
      <c r="J181" s="11"/>
      <c r="L181" t="str">
        <f>IF(A181="IRPJ",IF(LEFT(B181,1)="1","|M305|",IF(LEFT(B181,1)="2","|M310|",IF(AND(LEFT(B181,1)="3",Tabela_BaseM[[#This Row],[CONTA PARTE B]]&lt;&gt;""),"|M305|",IF(LEFT(B181,1)="4","|M312|","")))),      IF(LEFT(B181,1)="1","|M355|",IF(LEFT(B181,1)="2","|M360|",IF(AND(LEFT(B181,1)="3",Tabela_BaseM[[#This Row],[CONTA PARTE B]]&lt;&gt;""),"|M355|",IF(LEFT(B181,1)="4","|M362|","")))))</f>
        <v/>
      </c>
      <c r="M181" t="str">
        <f>IF(LEFT(Tabela_BaseM[[#This Row],[TIPO RELACIONAMENTO]],1)="3",(IF(A181="IRPJ",IF(LEFT(B181,1)="1","|M305|",IF(LEFT(B181,1)="2","|M310|",IF(LEFT(B181,1)="3","|M310|",IF(LEFT(B181,1)="4","|M312|","")))),IF(LEFT(B181,1)="1","|M355|",IF(LEFT(B181,1)="2","|M360|",IF(LEFT(B181,1)="3","|M360|",IF(LEFT(B181,1)="4","|M362|","")))))),"")</f>
        <v/>
      </c>
      <c r="N18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1" t="e">
        <f>IF(A181="IRPJ",("|M300|"&amp;LEFT(C181,FIND("-",C181)-1)&amp;"|"&amp;RIGHT(C181,LEN(C181)-FIND("-",C181))&amp;"|"&amp;LEFT(D181,1)&amp;"|"&amp;LEFT(B181,1)&amp;"|"&amp;Tabela_BaseM[[#This Row],[Valor]]&amp;"|"&amp;Tabela_BaseM[[#This Row],[HISTÓRICO]]&amp;"|"),("|M350|"&amp;LEFT(C181,FIND("-",C181)-1)&amp;"|"&amp;RIGHT(C181,LEN(C181)-FIND("-",C181))&amp;"|"&amp;LEFT(D181,1)&amp;"|"&amp;LEFT(B181,1)&amp;"|"&amp;Tabela_BaseM[[#This Row],[Valor]]&amp;"|"&amp;Tabela_BaseM[[#This Row],[HISTÓRICO]]&amp;"|"))</f>
        <v>#VALUE!</v>
      </c>
    </row>
    <row r="182" spans="10:17" x14ac:dyDescent="0.25">
      <c r="J182" s="11"/>
      <c r="L182" t="str">
        <f>IF(A182="IRPJ",IF(LEFT(B182,1)="1","|M305|",IF(LEFT(B182,1)="2","|M310|",IF(AND(LEFT(B182,1)="3",Tabela_BaseM[[#This Row],[CONTA PARTE B]]&lt;&gt;""),"|M305|",IF(LEFT(B182,1)="4","|M312|","")))),      IF(LEFT(B182,1)="1","|M355|",IF(LEFT(B182,1)="2","|M360|",IF(AND(LEFT(B182,1)="3",Tabela_BaseM[[#This Row],[CONTA PARTE B]]&lt;&gt;""),"|M355|",IF(LEFT(B182,1)="4","|M362|","")))))</f>
        <v/>
      </c>
      <c r="M182" t="str">
        <f>IF(LEFT(Tabela_BaseM[[#This Row],[TIPO RELACIONAMENTO]],1)="3",(IF(A182="IRPJ",IF(LEFT(B182,1)="1","|M305|",IF(LEFT(B182,1)="2","|M310|",IF(LEFT(B182,1)="3","|M310|",IF(LEFT(B182,1)="4","|M312|","")))),IF(LEFT(B182,1)="1","|M355|",IF(LEFT(B182,1)="2","|M360|",IF(LEFT(B182,1)="3","|M360|",IF(LEFT(B182,1)="4","|M362|","")))))),"")</f>
        <v/>
      </c>
      <c r="N18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2" t="e">
        <f>IF(A182="IRPJ",("|M300|"&amp;LEFT(C182,FIND("-",C182)-1)&amp;"|"&amp;RIGHT(C182,LEN(C182)-FIND("-",C182))&amp;"|"&amp;LEFT(D182,1)&amp;"|"&amp;LEFT(B182,1)&amp;"|"&amp;Tabela_BaseM[[#This Row],[Valor]]&amp;"|"&amp;Tabela_BaseM[[#This Row],[HISTÓRICO]]&amp;"|"),("|M350|"&amp;LEFT(C182,FIND("-",C182)-1)&amp;"|"&amp;RIGHT(C182,LEN(C182)-FIND("-",C182))&amp;"|"&amp;LEFT(D182,1)&amp;"|"&amp;LEFT(B182,1)&amp;"|"&amp;Tabela_BaseM[[#This Row],[Valor]]&amp;"|"&amp;Tabela_BaseM[[#This Row],[HISTÓRICO]]&amp;"|"))</f>
        <v>#VALUE!</v>
      </c>
    </row>
    <row r="183" spans="10:17" x14ac:dyDescent="0.25">
      <c r="J183" s="11"/>
      <c r="L183" t="str">
        <f>IF(A183="IRPJ",IF(LEFT(B183,1)="1","|M305|",IF(LEFT(B183,1)="2","|M310|",IF(AND(LEFT(B183,1)="3",Tabela_BaseM[[#This Row],[CONTA PARTE B]]&lt;&gt;""),"|M305|",IF(LEFT(B183,1)="4","|M312|","")))),      IF(LEFT(B183,1)="1","|M355|",IF(LEFT(B183,1)="2","|M360|",IF(AND(LEFT(B183,1)="3",Tabela_BaseM[[#This Row],[CONTA PARTE B]]&lt;&gt;""),"|M355|",IF(LEFT(B183,1)="4","|M362|","")))))</f>
        <v/>
      </c>
      <c r="M183" t="str">
        <f>IF(LEFT(Tabela_BaseM[[#This Row],[TIPO RELACIONAMENTO]],1)="3",(IF(A183="IRPJ",IF(LEFT(B183,1)="1","|M305|",IF(LEFT(B183,1)="2","|M310|",IF(LEFT(B183,1)="3","|M310|",IF(LEFT(B183,1)="4","|M312|","")))),IF(LEFT(B183,1)="1","|M355|",IF(LEFT(B183,1)="2","|M360|",IF(LEFT(B183,1)="3","|M360|",IF(LEFT(B183,1)="4","|M362|","")))))),"")</f>
        <v/>
      </c>
      <c r="N18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3" t="e">
        <f>IF(A183="IRPJ",("|M300|"&amp;LEFT(C183,FIND("-",C183)-1)&amp;"|"&amp;RIGHT(C183,LEN(C183)-FIND("-",C183))&amp;"|"&amp;LEFT(D183,1)&amp;"|"&amp;LEFT(B183,1)&amp;"|"&amp;Tabela_BaseM[[#This Row],[Valor]]&amp;"|"&amp;Tabela_BaseM[[#This Row],[HISTÓRICO]]&amp;"|"),("|M350|"&amp;LEFT(C183,FIND("-",C183)-1)&amp;"|"&amp;RIGHT(C183,LEN(C183)-FIND("-",C183))&amp;"|"&amp;LEFT(D183,1)&amp;"|"&amp;LEFT(B183,1)&amp;"|"&amp;Tabela_BaseM[[#This Row],[Valor]]&amp;"|"&amp;Tabela_BaseM[[#This Row],[HISTÓRICO]]&amp;"|"))</f>
        <v>#VALUE!</v>
      </c>
    </row>
    <row r="184" spans="10:17" x14ac:dyDescent="0.25">
      <c r="J184" s="11"/>
      <c r="L184" t="str">
        <f>IF(A184="IRPJ",IF(LEFT(B184,1)="1","|M305|",IF(LEFT(B184,1)="2","|M310|",IF(AND(LEFT(B184,1)="3",Tabela_BaseM[[#This Row],[CONTA PARTE B]]&lt;&gt;""),"|M305|",IF(LEFT(B184,1)="4","|M312|","")))),      IF(LEFT(B184,1)="1","|M355|",IF(LEFT(B184,1)="2","|M360|",IF(AND(LEFT(B184,1)="3",Tabela_BaseM[[#This Row],[CONTA PARTE B]]&lt;&gt;""),"|M355|",IF(LEFT(B184,1)="4","|M362|","")))))</f>
        <v/>
      </c>
      <c r="M184" t="str">
        <f>IF(LEFT(Tabela_BaseM[[#This Row],[TIPO RELACIONAMENTO]],1)="3",(IF(A184="IRPJ",IF(LEFT(B184,1)="1","|M305|",IF(LEFT(B184,1)="2","|M310|",IF(LEFT(B184,1)="3","|M310|",IF(LEFT(B184,1)="4","|M312|","")))),IF(LEFT(B184,1)="1","|M355|",IF(LEFT(B184,1)="2","|M360|",IF(LEFT(B184,1)="3","|M360|",IF(LEFT(B184,1)="4","|M362|","")))))),"")</f>
        <v/>
      </c>
      <c r="N18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4" t="e">
        <f>IF(A184="IRPJ",("|M300|"&amp;LEFT(C184,FIND("-",C184)-1)&amp;"|"&amp;RIGHT(C184,LEN(C184)-FIND("-",C184))&amp;"|"&amp;LEFT(D184,1)&amp;"|"&amp;LEFT(B184,1)&amp;"|"&amp;Tabela_BaseM[[#This Row],[Valor]]&amp;"|"&amp;Tabela_BaseM[[#This Row],[HISTÓRICO]]&amp;"|"),("|M350|"&amp;LEFT(C184,FIND("-",C184)-1)&amp;"|"&amp;RIGHT(C184,LEN(C184)-FIND("-",C184))&amp;"|"&amp;LEFT(D184,1)&amp;"|"&amp;LEFT(B184,1)&amp;"|"&amp;Tabela_BaseM[[#This Row],[Valor]]&amp;"|"&amp;Tabela_BaseM[[#This Row],[HISTÓRICO]]&amp;"|"))</f>
        <v>#VALUE!</v>
      </c>
    </row>
    <row r="185" spans="10:17" x14ac:dyDescent="0.25">
      <c r="J185" s="11"/>
      <c r="L185" t="str">
        <f>IF(A185="IRPJ",IF(LEFT(B185,1)="1","|M305|",IF(LEFT(B185,1)="2","|M310|",IF(AND(LEFT(B185,1)="3",Tabela_BaseM[[#This Row],[CONTA PARTE B]]&lt;&gt;""),"|M305|",IF(LEFT(B185,1)="4","|M312|","")))),      IF(LEFT(B185,1)="1","|M355|",IF(LEFT(B185,1)="2","|M360|",IF(AND(LEFT(B185,1)="3",Tabela_BaseM[[#This Row],[CONTA PARTE B]]&lt;&gt;""),"|M355|",IF(LEFT(B185,1)="4","|M362|","")))))</f>
        <v/>
      </c>
      <c r="M185" t="str">
        <f>IF(LEFT(Tabela_BaseM[[#This Row],[TIPO RELACIONAMENTO]],1)="3",(IF(A185="IRPJ",IF(LEFT(B185,1)="1","|M305|",IF(LEFT(B185,1)="2","|M310|",IF(LEFT(B185,1)="3","|M310|",IF(LEFT(B185,1)="4","|M312|","")))),IF(LEFT(B185,1)="1","|M355|",IF(LEFT(B185,1)="2","|M360|",IF(LEFT(B185,1)="3","|M360|",IF(LEFT(B185,1)="4","|M362|","")))))),"")</f>
        <v/>
      </c>
      <c r="N18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5" t="e">
        <f>IF(A185="IRPJ",("|M300|"&amp;LEFT(C185,FIND("-",C185)-1)&amp;"|"&amp;RIGHT(C185,LEN(C185)-FIND("-",C185))&amp;"|"&amp;LEFT(D185,1)&amp;"|"&amp;LEFT(B185,1)&amp;"|"&amp;Tabela_BaseM[[#This Row],[Valor]]&amp;"|"&amp;Tabela_BaseM[[#This Row],[HISTÓRICO]]&amp;"|"),("|M350|"&amp;LEFT(C185,FIND("-",C185)-1)&amp;"|"&amp;RIGHT(C185,LEN(C185)-FIND("-",C185))&amp;"|"&amp;LEFT(D185,1)&amp;"|"&amp;LEFT(B185,1)&amp;"|"&amp;Tabela_BaseM[[#This Row],[Valor]]&amp;"|"&amp;Tabela_BaseM[[#This Row],[HISTÓRICO]]&amp;"|"))</f>
        <v>#VALUE!</v>
      </c>
    </row>
    <row r="186" spans="10:17" x14ac:dyDescent="0.25">
      <c r="J186" s="11"/>
      <c r="L186" t="str">
        <f>IF(A186="IRPJ",IF(LEFT(B186,1)="1","|M305|",IF(LEFT(B186,1)="2","|M310|",IF(AND(LEFT(B186,1)="3",Tabela_BaseM[[#This Row],[CONTA PARTE B]]&lt;&gt;""),"|M305|",IF(LEFT(B186,1)="4","|M312|","")))),      IF(LEFT(B186,1)="1","|M355|",IF(LEFT(B186,1)="2","|M360|",IF(AND(LEFT(B186,1)="3",Tabela_BaseM[[#This Row],[CONTA PARTE B]]&lt;&gt;""),"|M355|",IF(LEFT(B186,1)="4","|M362|","")))))</f>
        <v/>
      </c>
      <c r="M186" t="str">
        <f>IF(LEFT(Tabela_BaseM[[#This Row],[TIPO RELACIONAMENTO]],1)="3",(IF(A186="IRPJ",IF(LEFT(B186,1)="1","|M305|",IF(LEFT(B186,1)="2","|M310|",IF(LEFT(B186,1)="3","|M310|",IF(LEFT(B186,1)="4","|M312|","")))),IF(LEFT(B186,1)="1","|M355|",IF(LEFT(B186,1)="2","|M360|",IF(LEFT(B186,1)="3","|M360|",IF(LEFT(B186,1)="4","|M362|","")))))),"")</f>
        <v/>
      </c>
      <c r="N18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6" t="e">
        <f>IF(A186="IRPJ",("|M300|"&amp;LEFT(C186,FIND("-",C186)-1)&amp;"|"&amp;RIGHT(C186,LEN(C186)-FIND("-",C186))&amp;"|"&amp;LEFT(D186,1)&amp;"|"&amp;LEFT(B186,1)&amp;"|"&amp;Tabela_BaseM[[#This Row],[Valor]]&amp;"|"&amp;Tabela_BaseM[[#This Row],[HISTÓRICO]]&amp;"|"),("|M350|"&amp;LEFT(C186,FIND("-",C186)-1)&amp;"|"&amp;RIGHT(C186,LEN(C186)-FIND("-",C186))&amp;"|"&amp;LEFT(D186,1)&amp;"|"&amp;LEFT(B186,1)&amp;"|"&amp;Tabela_BaseM[[#This Row],[Valor]]&amp;"|"&amp;Tabela_BaseM[[#This Row],[HISTÓRICO]]&amp;"|"))</f>
        <v>#VALUE!</v>
      </c>
    </row>
    <row r="187" spans="10:17" x14ac:dyDescent="0.25">
      <c r="J187" s="11"/>
      <c r="L187" t="str">
        <f>IF(A187="IRPJ",IF(LEFT(B187,1)="1","|M305|",IF(LEFT(B187,1)="2","|M310|",IF(AND(LEFT(B187,1)="3",Tabela_BaseM[[#This Row],[CONTA PARTE B]]&lt;&gt;""),"|M305|",IF(LEFT(B187,1)="4","|M312|","")))),      IF(LEFT(B187,1)="1","|M355|",IF(LEFT(B187,1)="2","|M360|",IF(AND(LEFT(B187,1)="3",Tabela_BaseM[[#This Row],[CONTA PARTE B]]&lt;&gt;""),"|M355|",IF(LEFT(B187,1)="4","|M362|","")))))</f>
        <v/>
      </c>
      <c r="M187" t="str">
        <f>IF(LEFT(Tabela_BaseM[[#This Row],[TIPO RELACIONAMENTO]],1)="3",(IF(A187="IRPJ",IF(LEFT(B187,1)="1","|M305|",IF(LEFT(B187,1)="2","|M310|",IF(LEFT(B187,1)="3","|M310|",IF(LEFT(B187,1)="4","|M312|","")))),IF(LEFT(B187,1)="1","|M355|",IF(LEFT(B187,1)="2","|M360|",IF(LEFT(B187,1)="3","|M360|",IF(LEFT(B187,1)="4","|M362|","")))))),"")</f>
        <v/>
      </c>
      <c r="N18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7" t="e">
        <f>IF(A187="IRPJ",("|M300|"&amp;LEFT(C187,FIND("-",C187)-1)&amp;"|"&amp;RIGHT(C187,LEN(C187)-FIND("-",C187))&amp;"|"&amp;LEFT(D187,1)&amp;"|"&amp;LEFT(B187,1)&amp;"|"&amp;Tabela_BaseM[[#This Row],[Valor]]&amp;"|"&amp;Tabela_BaseM[[#This Row],[HISTÓRICO]]&amp;"|"),("|M350|"&amp;LEFT(C187,FIND("-",C187)-1)&amp;"|"&amp;RIGHT(C187,LEN(C187)-FIND("-",C187))&amp;"|"&amp;LEFT(D187,1)&amp;"|"&amp;LEFT(B187,1)&amp;"|"&amp;Tabela_BaseM[[#This Row],[Valor]]&amp;"|"&amp;Tabela_BaseM[[#This Row],[HISTÓRICO]]&amp;"|"))</f>
        <v>#VALUE!</v>
      </c>
    </row>
    <row r="188" spans="10:17" x14ac:dyDescent="0.25">
      <c r="J188" s="11"/>
      <c r="L188" t="str">
        <f>IF(A188="IRPJ",IF(LEFT(B188,1)="1","|M305|",IF(LEFT(B188,1)="2","|M310|",IF(AND(LEFT(B188,1)="3",Tabela_BaseM[[#This Row],[CONTA PARTE B]]&lt;&gt;""),"|M305|",IF(LEFT(B188,1)="4","|M312|","")))),      IF(LEFT(B188,1)="1","|M355|",IF(LEFT(B188,1)="2","|M360|",IF(AND(LEFT(B188,1)="3",Tabela_BaseM[[#This Row],[CONTA PARTE B]]&lt;&gt;""),"|M355|",IF(LEFT(B188,1)="4","|M362|","")))))</f>
        <v/>
      </c>
      <c r="M188" t="str">
        <f>IF(LEFT(Tabela_BaseM[[#This Row],[TIPO RELACIONAMENTO]],1)="3",(IF(A188="IRPJ",IF(LEFT(B188,1)="1","|M305|",IF(LEFT(B188,1)="2","|M310|",IF(LEFT(B188,1)="3","|M310|",IF(LEFT(B188,1)="4","|M312|","")))),IF(LEFT(B188,1)="1","|M355|",IF(LEFT(B188,1)="2","|M360|",IF(LEFT(B188,1)="3","|M360|",IF(LEFT(B188,1)="4","|M362|","")))))),"")</f>
        <v/>
      </c>
      <c r="N18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8" t="e">
        <f>IF(A188="IRPJ",("|M300|"&amp;LEFT(C188,FIND("-",C188)-1)&amp;"|"&amp;RIGHT(C188,LEN(C188)-FIND("-",C188))&amp;"|"&amp;LEFT(D188,1)&amp;"|"&amp;LEFT(B188,1)&amp;"|"&amp;Tabela_BaseM[[#This Row],[Valor]]&amp;"|"&amp;Tabela_BaseM[[#This Row],[HISTÓRICO]]&amp;"|"),("|M350|"&amp;LEFT(C188,FIND("-",C188)-1)&amp;"|"&amp;RIGHT(C188,LEN(C188)-FIND("-",C188))&amp;"|"&amp;LEFT(D188,1)&amp;"|"&amp;LEFT(B188,1)&amp;"|"&amp;Tabela_BaseM[[#This Row],[Valor]]&amp;"|"&amp;Tabela_BaseM[[#This Row],[HISTÓRICO]]&amp;"|"))</f>
        <v>#VALUE!</v>
      </c>
    </row>
    <row r="189" spans="10:17" x14ac:dyDescent="0.25">
      <c r="J189" s="11"/>
      <c r="L189" t="str">
        <f>IF(A189="IRPJ",IF(LEFT(B189,1)="1","|M305|",IF(LEFT(B189,1)="2","|M310|",IF(AND(LEFT(B189,1)="3",Tabela_BaseM[[#This Row],[CONTA PARTE B]]&lt;&gt;""),"|M305|",IF(LEFT(B189,1)="4","|M312|","")))),      IF(LEFT(B189,1)="1","|M355|",IF(LEFT(B189,1)="2","|M360|",IF(AND(LEFT(B189,1)="3",Tabela_BaseM[[#This Row],[CONTA PARTE B]]&lt;&gt;""),"|M355|",IF(LEFT(B189,1)="4","|M362|","")))))</f>
        <v/>
      </c>
      <c r="M189" t="str">
        <f>IF(LEFT(Tabela_BaseM[[#This Row],[TIPO RELACIONAMENTO]],1)="3",(IF(A189="IRPJ",IF(LEFT(B189,1)="1","|M305|",IF(LEFT(B189,1)="2","|M310|",IF(LEFT(B189,1)="3","|M310|",IF(LEFT(B189,1)="4","|M312|","")))),IF(LEFT(B189,1)="1","|M355|",IF(LEFT(B189,1)="2","|M360|",IF(LEFT(B189,1)="3","|M360|",IF(LEFT(B189,1)="4","|M362|","")))))),"")</f>
        <v/>
      </c>
      <c r="N18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8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8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89" t="e">
        <f>IF(A189="IRPJ",("|M300|"&amp;LEFT(C189,FIND("-",C189)-1)&amp;"|"&amp;RIGHT(C189,LEN(C189)-FIND("-",C189))&amp;"|"&amp;LEFT(D189,1)&amp;"|"&amp;LEFT(B189,1)&amp;"|"&amp;Tabela_BaseM[[#This Row],[Valor]]&amp;"|"&amp;Tabela_BaseM[[#This Row],[HISTÓRICO]]&amp;"|"),("|M350|"&amp;LEFT(C189,FIND("-",C189)-1)&amp;"|"&amp;RIGHT(C189,LEN(C189)-FIND("-",C189))&amp;"|"&amp;LEFT(D189,1)&amp;"|"&amp;LEFT(B189,1)&amp;"|"&amp;Tabela_BaseM[[#This Row],[Valor]]&amp;"|"&amp;Tabela_BaseM[[#This Row],[HISTÓRICO]]&amp;"|"))</f>
        <v>#VALUE!</v>
      </c>
    </row>
    <row r="190" spans="10:17" x14ac:dyDescent="0.25">
      <c r="J190" s="11"/>
      <c r="L190" t="str">
        <f>IF(A190="IRPJ",IF(LEFT(B190,1)="1","|M305|",IF(LEFT(B190,1)="2","|M310|",IF(AND(LEFT(B190,1)="3",Tabela_BaseM[[#This Row],[CONTA PARTE B]]&lt;&gt;""),"|M305|",IF(LEFT(B190,1)="4","|M312|","")))),      IF(LEFT(B190,1)="1","|M355|",IF(LEFT(B190,1)="2","|M360|",IF(AND(LEFT(B190,1)="3",Tabela_BaseM[[#This Row],[CONTA PARTE B]]&lt;&gt;""),"|M355|",IF(LEFT(B190,1)="4","|M362|","")))))</f>
        <v/>
      </c>
      <c r="M190" t="str">
        <f>IF(LEFT(Tabela_BaseM[[#This Row],[TIPO RELACIONAMENTO]],1)="3",(IF(A190="IRPJ",IF(LEFT(B190,1)="1","|M305|",IF(LEFT(B190,1)="2","|M310|",IF(LEFT(B190,1)="3","|M310|",IF(LEFT(B190,1)="4","|M312|","")))),IF(LEFT(B190,1)="1","|M355|",IF(LEFT(B190,1)="2","|M360|",IF(LEFT(B190,1)="3","|M360|",IF(LEFT(B190,1)="4","|M362|","")))))),"")</f>
        <v/>
      </c>
      <c r="N19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0" t="e">
        <f>IF(A190="IRPJ",("|M300|"&amp;LEFT(C190,FIND("-",C190)-1)&amp;"|"&amp;RIGHT(C190,LEN(C190)-FIND("-",C190))&amp;"|"&amp;LEFT(D190,1)&amp;"|"&amp;LEFT(B190,1)&amp;"|"&amp;Tabela_BaseM[[#This Row],[Valor]]&amp;"|"&amp;Tabela_BaseM[[#This Row],[HISTÓRICO]]&amp;"|"),("|M350|"&amp;LEFT(C190,FIND("-",C190)-1)&amp;"|"&amp;RIGHT(C190,LEN(C190)-FIND("-",C190))&amp;"|"&amp;LEFT(D190,1)&amp;"|"&amp;LEFT(B190,1)&amp;"|"&amp;Tabela_BaseM[[#This Row],[Valor]]&amp;"|"&amp;Tabela_BaseM[[#This Row],[HISTÓRICO]]&amp;"|"))</f>
        <v>#VALUE!</v>
      </c>
    </row>
    <row r="191" spans="10:17" x14ac:dyDescent="0.25">
      <c r="J191" s="11"/>
      <c r="L191" t="str">
        <f>IF(A191="IRPJ",IF(LEFT(B191,1)="1","|M305|",IF(LEFT(B191,1)="2","|M310|",IF(AND(LEFT(B191,1)="3",Tabela_BaseM[[#This Row],[CONTA PARTE B]]&lt;&gt;""),"|M305|",IF(LEFT(B191,1)="4","|M312|","")))),      IF(LEFT(B191,1)="1","|M355|",IF(LEFT(B191,1)="2","|M360|",IF(AND(LEFT(B191,1)="3",Tabela_BaseM[[#This Row],[CONTA PARTE B]]&lt;&gt;""),"|M355|",IF(LEFT(B191,1)="4","|M362|","")))))</f>
        <v/>
      </c>
      <c r="M191" t="str">
        <f>IF(LEFT(Tabela_BaseM[[#This Row],[TIPO RELACIONAMENTO]],1)="3",(IF(A191="IRPJ",IF(LEFT(B191,1)="1","|M305|",IF(LEFT(B191,1)="2","|M310|",IF(LEFT(B191,1)="3","|M310|",IF(LEFT(B191,1)="4","|M312|","")))),IF(LEFT(B191,1)="1","|M355|",IF(LEFT(B191,1)="2","|M360|",IF(LEFT(B191,1)="3","|M360|",IF(LEFT(B191,1)="4","|M362|","")))))),"")</f>
        <v/>
      </c>
      <c r="N19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1" t="e">
        <f>IF(A191="IRPJ",("|M300|"&amp;LEFT(C191,FIND("-",C191)-1)&amp;"|"&amp;RIGHT(C191,LEN(C191)-FIND("-",C191))&amp;"|"&amp;LEFT(D191,1)&amp;"|"&amp;LEFT(B191,1)&amp;"|"&amp;Tabela_BaseM[[#This Row],[Valor]]&amp;"|"&amp;Tabela_BaseM[[#This Row],[HISTÓRICO]]&amp;"|"),("|M350|"&amp;LEFT(C191,FIND("-",C191)-1)&amp;"|"&amp;RIGHT(C191,LEN(C191)-FIND("-",C191))&amp;"|"&amp;LEFT(D191,1)&amp;"|"&amp;LEFT(B191,1)&amp;"|"&amp;Tabela_BaseM[[#This Row],[Valor]]&amp;"|"&amp;Tabela_BaseM[[#This Row],[HISTÓRICO]]&amp;"|"))</f>
        <v>#VALUE!</v>
      </c>
    </row>
    <row r="192" spans="10:17" x14ac:dyDescent="0.25">
      <c r="J192" s="11"/>
      <c r="L192" t="str">
        <f>IF(A192="IRPJ",IF(LEFT(B192,1)="1","|M305|",IF(LEFT(B192,1)="2","|M310|",IF(AND(LEFT(B192,1)="3",Tabela_BaseM[[#This Row],[CONTA PARTE B]]&lt;&gt;""),"|M305|",IF(LEFT(B192,1)="4","|M312|","")))),      IF(LEFT(B192,1)="1","|M355|",IF(LEFT(B192,1)="2","|M360|",IF(AND(LEFT(B192,1)="3",Tabela_BaseM[[#This Row],[CONTA PARTE B]]&lt;&gt;""),"|M355|",IF(LEFT(B192,1)="4","|M362|","")))))</f>
        <v/>
      </c>
      <c r="M192" t="str">
        <f>IF(LEFT(Tabela_BaseM[[#This Row],[TIPO RELACIONAMENTO]],1)="3",(IF(A192="IRPJ",IF(LEFT(B192,1)="1","|M305|",IF(LEFT(B192,1)="2","|M310|",IF(LEFT(B192,1)="3","|M310|",IF(LEFT(B192,1)="4","|M312|","")))),IF(LEFT(B192,1)="1","|M355|",IF(LEFT(B192,1)="2","|M360|",IF(LEFT(B192,1)="3","|M360|",IF(LEFT(B192,1)="4","|M362|","")))))),"")</f>
        <v/>
      </c>
      <c r="N19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2" t="e">
        <f>IF(A192="IRPJ",("|M300|"&amp;LEFT(C192,FIND("-",C192)-1)&amp;"|"&amp;RIGHT(C192,LEN(C192)-FIND("-",C192))&amp;"|"&amp;LEFT(D192,1)&amp;"|"&amp;LEFT(B192,1)&amp;"|"&amp;Tabela_BaseM[[#This Row],[Valor]]&amp;"|"&amp;Tabela_BaseM[[#This Row],[HISTÓRICO]]&amp;"|"),("|M350|"&amp;LEFT(C192,FIND("-",C192)-1)&amp;"|"&amp;RIGHT(C192,LEN(C192)-FIND("-",C192))&amp;"|"&amp;LEFT(D192,1)&amp;"|"&amp;LEFT(B192,1)&amp;"|"&amp;Tabela_BaseM[[#This Row],[Valor]]&amp;"|"&amp;Tabela_BaseM[[#This Row],[HISTÓRICO]]&amp;"|"))</f>
        <v>#VALUE!</v>
      </c>
    </row>
    <row r="193" spans="10:17" x14ac:dyDescent="0.25">
      <c r="J193" s="11"/>
      <c r="L193" t="str">
        <f>IF(A193="IRPJ",IF(LEFT(B193,1)="1","|M305|",IF(LEFT(B193,1)="2","|M310|",IF(AND(LEFT(B193,1)="3",Tabela_BaseM[[#This Row],[CONTA PARTE B]]&lt;&gt;""),"|M305|",IF(LEFT(B193,1)="4","|M312|","")))),      IF(LEFT(B193,1)="1","|M355|",IF(LEFT(B193,1)="2","|M360|",IF(AND(LEFT(B193,1)="3",Tabela_BaseM[[#This Row],[CONTA PARTE B]]&lt;&gt;""),"|M355|",IF(LEFT(B193,1)="4","|M362|","")))))</f>
        <v/>
      </c>
      <c r="M193" t="str">
        <f>IF(LEFT(Tabela_BaseM[[#This Row],[TIPO RELACIONAMENTO]],1)="3",(IF(A193="IRPJ",IF(LEFT(B193,1)="1","|M305|",IF(LEFT(B193,1)="2","|M310|",IF(LEFT(B193,1)="3","|M310|",IF(LEFT(B193,1)="4","|M312|","")))),IF(LEFT(B193,1)="1","|M355|",IF(LEFT(B193,1)="2","|M360|",IF(LEFT(B193,1)="3","|M360|",IF(LEFT(B193,1)="4","|M362|","")))))),"")</f>
        <v/>
      </c>
      <c r="N19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3" t="e">
        <f>IF(A193="IRPJ",("|M300|"&amp;LEFT(C193,FIND("-",C193)-1)&amp;"|"&amp;RIGHT(C193,LEN(C193)-FIND("-",C193))&amp;"|"&amp;LEFT(D193,1)&amp;"|"&amp;LEFT(B193,1)&amp;"|"&amp;Tabela_BaseM[[#This Row],[Valor]]&amp;"|"&amp;Tabela_BaseM[[#This Row],[HISTÓRICO]]&amp;"|"),("|M350|"&amp;LEFT(C193,FIND("-",C193)-1)&amp;"|"&amp;RIGHT(C193,LEN(C193)-FIND("-",C193))&amp;"|"&amp;LEFT(D193,1)&amp;"|"&amp;LEFT(B193,1)&amp;"|"&amp;Tabela_BaseM[[#This Row],[Valor]]&amp;"|"&amp;Tabela_BaseM[[#This Row],[HISTÓRICO]]&amp;"|"))</f>
        <v>#VALUE!</v>
      </c>
    </row>
    <row r="194" spans="10:17" x14ac:dyDescent="0.25">
      <c r="J194" s="11"/>
      <c r="L194" t="str">
        <f>IF(A194="IRPJ",IF(LEFT(B194,1)="1","|M305|",IF(LEFT(B194,1)="2","|M310|",IF(AND(LEFT(B194,1)="3",Tabela_BaseM[[#This Row],[CONTA PARTE B]]&lt;&gt;""),"|M305|",IF(LEFT(B194,1)="4","|M312|","")))),      IF(LEFT(B194,1)="1","|M355|",IF(LEFT(B194,1)="2","|M360|",IF(AND(LEFT(B194,1)="3",Tabela_BaseM[[#This Row],[CONTA PARTE B]]&lt;&gt;""),"|M355|",IF(LEFT(B194,1)="4","|M362|","")))))</f>
        <v/>
      </c>
      <c r="M194" t="str">
        <f>IF(LEFT(Tabela_BaseM[[#This Row],[TIPO RELACIONAMENTO]],1)="3",(IF(A194="IRPJ",IF(LEFT(B194,1)="1","|M305|",IF(LEFT(B194,1)="2","|M310|",IF(LEFT(B194,1)="3","|M310|",IF(LEFT(B194,1)="4","|M312|","")))),IF(LEFT(B194,1)="1","|M355|",IF(LEFT(B194,1)="2","|M360|",IF(LEFT(B194,1)="3","|M360|",IF(LEFT(B194,1)="4","|M362|","")))))),"")</f>
        <v/>
      </c>
      <c r="N19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4" t="e">
        <f>IF(A194="IRPJ",("|M300|"&amp;LEFT(C194,FIND("-",C194)-1)&amp;"|"&amp;RIGHT(C194,LEN(C194)-FIND("-",C194))&amp;"|"&amp;LEFT(D194,1)&amp;"|"&amp;LEFT(B194,1)&amp;"|"&amp;Tabela_BaseM[[#This Row],[Valor]]&amp;"|"&amp;Tabela_BaseM[[#This Row],[HISTÓRICO]]&amp;"|"),("|M350|"&amp;LEFT(C194,FIND("-",C194)-1)&amp;"|"&amp;RIGHT(C194,LEN(C194)-FIND("-",C194))&amp;"|"&amp;LEFT(D194,1)&amp;"|"&amp;LEFT(B194,1)&amp;"|"&amp;Tabela_BaseM[[#This Row],[Valor]]&amp;"|"&amp;Tabela_BaseM[[#This Row],[HISTÓRICO]]&amp;"|"))</f>
        <v>#VALUE!</v>
      </c>
    </row>
    <row r="195" spans="10:17" x14ac:dyDescent="0.25">
      <c r="J195" s="11"/>
      <c r="L195" t="str">
        <f>IF(A195="IRPJ",IF(LEFT(B195,1)="1","|M305|",IF(LEFT(B195,1)="2","|M310|",IF(AND(LEFT(B195,1)="3",Tabela_BaseM[[#This Row],[CONTA PARTE B]]&lt;&gt;""),"|M305|",IF(LEFT(B195,1)="4","|M312|","")))),      IF(LEFT(B195,1)="1","|M355|",IF(LEFT(B195,1)="2","|M360|",IF(AND(LEFT(B195,1)="3",Tabela_BaseM[[#This Row],[CONTA PARTE B]]&lt;&gt;""),"|M355|",IF(LEFT(B195,1)="4","|M362|","")))))</f>
        <v/>
      </c>
      <c r="M195" t="str">
        <f>IF(LEFT(Tabela_BaseM[[#This Row],[TIPO RELACIONAMENTO]],1)="3",(IF(A195="IRPJ",IF(LEFT(B195,1)="1","|M305|",IF(LEFT(B195,1)="2","|M310|",IF(LEFT(B195,1)="3","|M310|",IF(LEFT(B195,1)="4","|M312|","")))),IF(LEFT(B195,1)="1","|M355|",IF(LEFT(B195,1)="2","|M360|",IF(LEFT(B195,1)="3","|M360|",IF(LEFT(B195,1)="4","|M362|","")))))),"")</f>
        <v/>
      </c>
      <c r="N19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5" t="e">
        <f>IF(A195="IRPJ",("|M300|"&amp;LEFT(C195,FIND("-",C195)-1)&amp;"|"&amp;RIGHT(C195,LEN(C195)-FIND("-",C195))&amp;"|"&amp;LEFT(D195,1)&amp;"|"&amp;LEFT(B195,1)&amp;"|"&amp;Tabela_BaseM[[#This Row],[Valor]]&amp;"|"&amp;Tabela_BaseM[[#This Row],[HISTÓRICO]]&amp;"|"),("|M350|"&amp;LEFT(C195,FIND("-",C195)-1)&amp;"|"&amp;RIGHT(C195,LEN(C195)-FIND("-",C195))&amp;"|"&amp;LEFT(D195,1)&amp;"|"&amp;LEFT(B195,1)&amp;"|"&amp;Tabela_BaseM[[#This Row],[Valor]]&amp;"|"&amp;Tabela_BaseM[[#This Row],[HISTÓRICO]]&amp;"|"))</f>
        <v>#VALUE!</v>
      </c>
    </row>
    <row r="196" spans="10:17" x14ac:dyDescent="0.25">
      <c r="J196" s="11"/>
      <c r="L196" t="str">
        <f>IF(A196="IRPJ",IF(LEFT(B196,1)="1","|M305|",IF(LEFT(B196,1)="2","|M310|",IF(AND(LEFT(B196,1)="3",Tabela_BaseM[[#This Row],[CONTA PARTE B]]&lt;&gt;""),"|M305|",IF(LEFT(B196,1)="4","|M312|","")))),      IF(LEFT(B196,1)="1","|M355|",IF(LEFT(B196,1)="2","|M360|",IF(AND(LEFT(B196,1)="3",Tabela_BaseM[[#This Row],[CONTA PARTE B]]&lt;&gt;""),"|M355|",IF(LEFT(B196,1)="4","|M362|","")))))</f>
        <v/>
      </c>
      <c r="M196" t="str">
        <f>IF(LEFT(Tabela_BaseM[[#This Row],[TIPO RELACIONAMENTO]],1)="3",(IF(A196="IRPJ",IF(LEFT(B196,1)="1","|M305|",IF(LEFT(B196,1)="2","|M310|",IF(LEFT(B196,1)="3","|M310|",IF(LEFT(B196,1)="4","|M312|","")))),IF(LEFT(B196,1)="1","|M355|",IF(LEFT(B196,1)="2","|M360|",IF(LEFT(B196,1)="3","|M360|",IF(LEFT(B196,1)="4","|M362|","")))))),"")</f>
        <v/>
      </c>
      <c r="N19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6" t="e">
        <f>IF(A196="IRPJ",("|M300|"&amp;LEFT(C196,FIND("-",C196)-1)&amp;"|"&amp;RIGHT(C196,LEN(C196)-FIND("-",C196))&amp;"|"&amp;LEFT(D196,1)&amp;"|"&amp;LEFT(B196,1)&amp;"|"&amp;Tabela_BaseM[[#This Row],[Valor]]&amp;"|"&amp;Tabela_BaseM[[#This Row],[HISTÓRICO]]&amp;"|"),("|M350|"&amp;LEFT(C196,FIND("-",C196)-1)&amp;"|"&amp;RIGHT(C196,LEN(C196)-FIND("-",C196))&amp;"|"&amp;LEFT(D196,1)&amp;"|"&amp;LEFT(B196,1)&amp;"|"&amp;Tabela_BaseM[[#This Row],[Valor]]&amp;"|"&amp;Tabela_BaseM[[#This Row],[HISTÓRICO]]&amp;"|"))</f>
        <v>#VALUE!</v>
      </c>
    </row>
    <row r="197" spans="10:17" x14ac:dyDescent="0.25">
      <c r="J197" s="11"/>
      <c r="L197" t="str">
        <f>IF(A197="IRPJ",IF(LEFT(B197,1)="1","|M305|",IF(LEFT(B197,1)="2","|M310|",IF(AND(LEFT(B197,1)="3",Tabela_BaseM[[#This Row],[CONTA PARTE B]]&lt;&gt;""),"|M305|",IF(LEFT(B197,1)="4","|M312|","")))),      IF(LEFT(B197,1)="1","|M355|",IF(LEFT(B197,1)="2","|M360|",IF(AND(LEFT(B197,1)="3",Tabela_BaseM[[#This Row],[CONTA PARTE B]]&lt;&gt;""),"|M355|",IF(LEFT(B197,1)="4","|M362|","")))))</f>
        <v/>
      </c>
      <c r="M197" t="str">
        <f>IF(LEFT(Tabela_BaseM[[#This Row],[TIPO RELACIONAMENTO]],1)="3",(IF(A197="IRPJ",IF(LEFT(B197,1)="1","|M305|",IF(LEFT(B197,1)="2","|M310|",IF(LEFT(B197,1)="3","|M310|",IF(LEFT(B197,1)="4","|M312|","")))),IF(LEFT(B197,1)="1","|M355|",IF(LEFT(B197,1)="2","|M360|",IF(LEFT(B197,1)="3","|M360|",IF(LEFT(B197,1)="4","|M362|","")))))),"")</f>
        <v/>
      </c>
      <c r="N19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7" t="e">
        <f>IF(A197="IRPJ",("|M300|"&amp;LEFT(C197,FIND("-",C197)-1)&amp;"|"&amp;RIGHT(C197,LEN(C197)-FIND("-",C197))&amp;"|"&amp;LEFT(D197,1)&amp;"|"&amp;LEFT(B197,1)&amp;"|"&amp;Tabela_BaseM[[#This Row],[Valor]]&amp;"|"&amp;Tabela_BaseM[[#This Row],[HISTÓRICO]]&amp;"|"),("|M350|"&amp;LEFT(C197,FIND("-",C197)-1)&amp;"|"&amp;RIGHT(C197,LEN(C197)-FIND("-",C197))&amp;"|"&amp;LEFT(D197,1)&amp;"|"&amp;LEFT(B197,1)&amp;"|"&amp;Tabela_BaseM[[#This Row],[Valor]]&amp;"|"&amp;Tabela_BaseM[[#This Row],[HISTÓRICO]]&amp;"|"))</f>
        <v>#VALUE!</v>
      </c>
    </row>
    <row r="198" spans="10:17" x14ac:dyDescent="0.25">
      <c r="J198" s="11"/>
      <c r="L198" t="str">
        <f>IF(A198="IRPJ",IF(LEFT(B198,1)="1","|M305|",IF(LEFT(B198,1)="2","|M310|",IF(AND(LEFT(B198,1)="3",Tabela_BaseM[[#This Row],[CONTA PARTE B]]&lt;&gt;""),"|M305|",IF(LEFT(B198,1)="4","|M312|","")))),      IF(LEFT(B198,1)="1","|M355|",IF(LEFT(B198,1)="2","|M360|",IF(AND(LEFT(B198,1)="3",Tabela_BaseM[[#This Row],[CONTA PARTE B]]&lt;&gt;""),"|M355|",IF(LEFT(B198,1)="4","|M362|","")))))</f>
        <v/>
      </c>
      <c r="M198" t="str">
        <f>IF(LEFT(Tabela_BaseM[[#This Row],[TIPO RELACIONAMENTO]],1)="3",(IF(A198="IRPJ",IF(LEFT(B198,1)="1","|M305|",IF(LEFT(B198,1)="2","|M310|",IF(LEFT(B198,1)="3","|M310|",IF(LEFT(B198,1)="4","|M312|","")))),IF(LEFT(B198,1)="1","|M355|",IF(LEFT(B198,1)="2","|M360|",IF(LEFT(B198,1)="3","|M360|",IF(LEFT(B198,1)="4","|M362|","")))))),"")</f>
        <v/>
      </c>
      <c r="N19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8" t="e">
        <f>IF(A198="IRPJ",("|M300|"&amp;LEFT(C198,FIND("-",C198)-1)&amp;"|"&amp;RIGHT(C198,LEN(C198)-FIND("-",C198))&amp;"|"&amp;LEFT(D198,1)&amp;"|"&amp;LEFT(B198,1)&amp;"|"&amp;Tabela_BaseM[[#This Row],[Valor]]&amp;"|"&amp;Tabela_BaseM[[#This Row],[HISTÓRICO]]&amp;"|"),("|M350|"&amp;LEFT(C198,FIND("-",C198)-1)&amp;"|"&amp;RIGHT(C198,LEN(C198)-FIND("-",C198))&amp;"|"&amp;LEFT(D198,1)&amp;"|"&amp;LEFT(B198,1)&amp;"|"&amp;Tabela_BaseM[[#This Row],[Valor]]&amp;"|"&amp;Tabela_BaseM[[#This Row],[HISTÓRICO]]&amp;"|"))</f>
        <v>#VALUE!</v>
      </c>
    </row>
    <row r="199" spans="10:17" x14ac:dyDescent="0.25">
      <c r="J199" s="11"/>
      <c r="L199" t="str">
        <f>IF(A199="IRPJ",IF(LEFT(B199,1)="1","|M305|",IF(LEFT(B199,1)="2","|M310|",IF(AND(LEFT(B199,1)="3",Tabela_BaseM[[#This Row],[CONTA PARTE B]]&lt;&gt;""),"|M305|",IF(LEFT(B199,1)="4","|M312|","")))),      IF(LEFT(B199,1)="1","|M355|",IF(LEFT(B199,1)="2","|M360|",IF(AND(LEFT(B199,1)="3",Tabela_BaseM[[#This Row],[CONTA PARTE B]]&lt;&gt;""),"|M355|",IF(LEFT(B199,1)="4","|M362|","")))))</f>
        <v/>
      </c>
      <c r="M199" t="str">
        <f>IF(LEFT(Tabela_BaseM[[#This Row],[TIPO RELACIONAMENTO]],1)="3",(IF(A199="IRPJ",IF(LEFT(B199,1)="1","|M305|",IF(LEFT(B199,1)="2","|M310|",IF(LEFT(B199,1)="3","|M310|",IF(LEFT(B199,1)="4","|M312|","")))),IF(LEFT(B199,1)="1","|M355|",IF(LEFT(B199,1)="2","|M360|",IF(LEFT(B199,1)="3","|M360|",IF(LEFT(B199,1)="4","|M362|","")))))),"")</f>
        <v/>
      </c>
      <c r="N19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19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19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199" t="e">
        <f>IF(A199="IRPJ",("|M300|"&amp;LEFT(C199,FIND("-",C199)-1)&amp;"|"&amp;RIGHT(C199,LEN(C199)-FIND("-",C199))&amp;"|"&amp;LEFT(D199,1)&amp;"|"&amp;LEFT(B199,1)&amp;"|"&amp;Tabela_BaseM[[#This Row],[Valor]]&amp;"|"&amp;Tabela_BaseM[[#This Row],[HISTÓRICO]]&amp;"|"),("|M350|"&amp;LEFT(C199,FIND("-",C199)-1)&amp;"|"&amp;RIGHT(C199,LEN(C199)-FIND("-",C199))&amp;"|"&amp;LEFT(D199,1)&amp;"|"&amp;LEFT(B199,1)&amp;"|"&amp;Tabela_BaseM[[#This Row],[Valor]]&amp;"|"&amp;Tabela_BaseM[[#This Row],[HISTÓRICO]]&amp;"|"))</f>
        <v>#VALUE!</v>
      </c>
    </row>
    <row r="200" spans="10:17" x14ac:dyDescent="0.25">
      <c r="J200" s="11"/>
      <c r="L200" t="str">
        <f>IF(A200="IRPJ",IF(LEFT(B200,1)="1","|M305|",IF(LEFT(B200,1)="2","|M310|",IF(AND(LEFT(B200,1)="3",Tabela_BaseM[[#This Row],[CONTA PARTE B]]&lt;&gt;""),"|M305|",IF(LEFT(B200,1)="4","|M312|","")))),      IF(LEFT(B200,1)="1","|M355|",IF(LEFT(B200,1)="2","|M360|",IF(AND(LEFT(B200,1)="3",Tabela_BaseM[[#This Row],[CONTA PARTE B]]&lt;&gt;""),"|M355|",IF(LEFT(B200,1)="4","|M362|","")))))</f>
        <v/>
      </c>
      <c r="M200" t="str">
        <f>IF(LEFT(Tabela_BaseM[[#This Row],[TIPO RELACIONAMENTO]],1)="3",(IF(A200="IRPJ",IF(LEFT(B200,1)="1","|M305|",IF(LEFT(B200,1)="2","|M310|",IF(LEFT(B200,1)="3","|M310|",IF(LEFT(B200,1)="4","|M312|","")))),IF(LEFT(B200,1)="1","|M355|",IF(LEFT(B200,1)="2","|M360|",IF(LEFT(B200,1)="3","|M360|",IF(LEFT(B200,1)="4","|M362|","")))))),"")</f>
        <v/>
      </c>
      <c r="N20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0" t="e">
        <f>IF(A200="IRPJ",("|M300|"&amp;LEFT(C200,FIND("-",C200)-1)&amp;"|"&amp;RIGHT(C200,LEN(C200)-FIND("-",C200))&amp;"|"&amp;LEFT(D200,1)&amp;"|"&amp;LEFT(B200,1)&amp;"|"&amp;Tabela_BaseM[[#This Row],[Valor]]&amp;"|"&amp;Tabela_BaseM[[#This Row],[HISTÓRICO]]&amp;"|"),("|M350|"&amp;LEFT(C200,FIND("-",C200)-1)&amp;"|"&amp;RIGHT(C200,LEN(C200)-FIND("-",C200))&amp;"|"&amp;LEFT(D200,1)&amp;"|"&amp;LEFT(B200,1)&amp;"|"&amp;Tabela_BaseM[[#This Row],[Valor]]&amp;"|"&amp;Tabela_BaseM[[#This Row],[HISTÓRICO]]&amp;"|"))</f>
        <v>#VALUE!</v>
      </c>
    </row>
    <row r="201" spans="10:17" x14ac:dyDescent="0.25">
      <c r="J201" s="11"/>
      <c r="L201" t="str">
        <f>IF(A201="IRPJ",IF(LEFT(B201,1)="1","|M305|",IF(LEFT(B201,1)="2","|M310|",IF(AND(LEFT(B201,1)="3",Tabela_BaseM[[#This Row],[CONTA PARTE B]]&lt;&gt;""),"|M305|",IF(LEFT(B201,1)="4","|M312|","")))),      IF(LEFT(B201,1)="1","|M355|",IF(LEFT(B201,1)="2","|M360|",IF(AND(LEFT(B201,1)="3",Tabela_BaseM[[#This Row],[CONTA PARTE B]]&lt;&gt;""),"|M355|",IF(LEFT(B201,1)="4","|M362|","")))))</f>
        <v/>
      </c>
      <c r="M201" t="str">
        <f>IF(LEFT(Tabela_BaseM[[#This Row],[TIPO RELACIONAMENTO]],1)="3",(IF(A201="IRPJ",IF(LEFT(B201,1)="1","|M305|",IF(LEFT(B201,1)="2","|M310|",IF(LEFT(B201,1)="3","|M310|",IF(LEFT(B201,1)="4","|M312|","")))),IF(LEFT(B201,1)="1","|M355|",IF(LEFT(B201,1)="2","|M360|",IF(LEFT(B201,1)="3","|M360|",IF(LEFT(B201,1)="4","|M362|","")))))),"")</f>
        <v/>
      </c>
      <c r="N20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1" t="e">
        <f>IF(A201="IRPJ",("|M300|"&amp;LEFT(C201,FIND("-",C201)-1)&amp;"|"&amp;RIGHT(C201,LEN(C201)-FIND("-",C201))&amp;"|"&amp;LEFT(D201,1)&amp;"|"&amp;LEFT(B201,1)&amp;"|"&amp;Tabela_BaseM[[#This Row],[Valor]]&amp;"|"&amp;Tabela_BaseM[[#This Row],[HISTÓRICO]]&amp;"|"),("|M350|"&amp;LEFT(C201,FIND("-",C201)-1)&amp;"|"&amp;RIGHT(C201,LEN(C201)-FIND("-",C201))&amp;"|"&amp;LEFT(D201,1)&amp;"|"&amp;LEFT(B201,1)&amp;"|"&amp;Tabela_BaseM[[#This Row],[Valor]]&amp;"|"&amp;Tabela_BaseM[[#This Row],[HISTÓRICO]]&amp;"|"))</f>
        <v>#VALUE!</v>
      </c>
    </row>
    <row r="202" spans="10:17" x14ac:dyDescent="0.25">
      <c r="J202" s="11"/>
      <c r="L202" t="str">
        <f>IF(A202="IRPJ",IF(LEFT(B202,1)="1","|M305|",IF(LEFT(B202,1)="2","|M310|",IF(AND(LEFT(B202,1)="3",Tabela_BaseM[[#This Row],[CONTA PARTE B]]&lt;&gt;""),"|M305|",IF(LEFT(B202,1)="4","|M312|","")))),      IF(LEFT(B202,1)="1","|M355|",IF(LEFT(B202,1)="2","|M360|",IF(AND(LEFT(B202,1)="3",Tabela_BaseM[[#This Row],[CONTA PARTE B]]&lt;&gt;""),"|M355|",IF(LEFT(B202,1)="4","|M362|","")))))</f>
        <v/>
      </c>
      <c r="M202" t="str">
        <f>IF(LEFT(Tabela_BaseM[[#This Row],[TIPO RELACIONAMENTO]],1)="3",(IF(A202="IRPJ",IF(LEFT(B202,1)="1","|M305|",IF(LEFT(B202,1)="2","|M310|",IF(LEFT(B202,1)="3","|M310|",IF(LEFT(B202,1)="4","|M312|","")))),IF(LEFT(B202,1)="1","|M355|",IF(LEFT(B202,1)="2","|M360|",IF(LEFT(B202,1)="3","|M360|",IF(LEFT(B202,1)="4","|M362|","")))))),"")</f>
        <v/>
      </c>
      <c r="N20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2" t="e">
        <f>IF(A202="IRPJ",("|M300|"&amp;LEFT(C202,FIND("-",C202)-1)&amp;"|"&amp;RIGHT(C202,LEN(C202)-FIND("-",C202))&amp;"|"&amp;LEFT(D202,1)&amp;"|"&amp;LEFT(B202,1)&amp;"|"&amp;Tabela_BaseM[[#This Row],[Valor]]&amp;"|"&amp;Tabela_BaseM[[#This Row],[HISTÓRICO]]&amp;"|"),("|M350|"&amp;LEFT(C202,FIND("-",C202)-1)&amp;"|"&amp;RIGHT(C202,LEN(C202)-FIND("-",C202))&amp;"|"&amp;LEFT(D202,1)&amp;"|"&amp;LEFT(B202,1)&amp;"|"&amp;Tabela_BaseM[[#This Row],[Valor]]&amp;"|"&amp;Tabela_BaseM[[#This Row],[HISTÓRICO]]&amp;"|"))</f>
        <v>#VALUE!</v>
      </c>
    </row>
    <row r="203" spans="10:17" x14ac:dyDescent="0.25">
      <c r="J203" s="11"/>
      <c r="L203" t="str">
        <f>IF(A203="IRPJ",IF(LEFT(B203,1)="1","|M305|",IF(LEFT(B203,1)="2","|M310|",IF(AND(LEFT(B203,1)="3",Tabela_BaseM[[#This Row],[CONTA PARTE B]]&lt;&gt;""),"|M305|",IF(LEFT(B203,1)="4","|M312|","")))),      IF(LEFT(B203,1)="1","|M355|",IF(LEFT(B203,1)="2","|M360|",IF(AND(LEFT(B203,1)="3",Tabela_BaseM[[#This Row],[CONTA PARTE B]]&lt;&gt;""),"|M355|",IF(LEFT(B203,1)="4","|M362|","")))))</f>
        <v/>
      </c>
      <c r="M203" t="str">
        <f>IF(LEFT(Tabela_BaseM[[#This Row],[TIPO RELACIONAMENTO]],1)="3",(IF(A203="IRPJ",IF(LEFT(B203,1)="1","|M305|",IF(LEFT(B203,1)="2","|M310|",IF(LEFT(B203,1)="3","|M310|",IF(LEFT(B203,1)="4","|M312|","")))),IF(LEFT(B203,1)="1","|M355|",IF(LEFT(B203,1)="2","|M360|",IF(LEFT(B203,1)="3","|M360|",IF(LEFT(B203,1)="4","|M362|","")))))),"")</f>
        <v/>
      </c>
      <c r="N20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3" t="e">
        <f>IF(A203="IRPJ",("|M300|"&amp;LEFT(C203,FIND("-",C203)-1)&amp;"|"&amp;RIGHT(C203,LEN(C203)-FIND("-",C203))&amp;"|"&amp;LEFT(D203,1)&amp;"|"&amp;LEFT(B203,1)&amp;"|"&amp;Tabela_BaseM[[#This Row],[Valor]]&amp;"|"&amp;Tabela_BaseM[[#This Row],[HISTÓRICO]]&amp;"|"),("|M350|"&amp;LEFT(C203,FIND("-",C203)-1)&amp;"|"&amp;RIGHT(C203,LEN(C203)-FIND("-",C203))&amp;"|"&amp;LEFT(D203,1)&amp;"|"&amp;LEFT(B203,1)&amp;"|"&amp;Tabela_BaseM[[#This Row],[Valor]]&amp;"|"&amp;Tabela_BaseM[[#This Row],[HISTÓRICO]]&amp;"|"))</f>
        <v>#VALUE!</v>
      </c>
    </row>
    <row r="204" spans="10:17" x14ac:dyDescent="0.25">
      <c r="J204" s="11"/>
      <c r="L204" t="str">
        <f>IF(A204="IRPJ",IF(LEFT(B204,1)="1","|M305|",IF(LEFT(B204,1)="2","|M310|",IF(AND(LEFT(B204,1)="3",Tabela_BaseM[[#This Row],[CONTA PARTE B]]&lt;&gt;""),"|M305|",IF(LEFT(B204,1)="4","|M312|","")))),      IF(LEFT(B204,1)="1","|M355|",IF(LEFT(B204,1)="2","|M360|",IF(AND(LEFT(B204,1)="3",Tabela_BaseM[[#This Row],[CONTA PARTE B]]&lt;&gt;""),"|M355|",IF(LEFT(B204,1)="4","|M362|","")))))</f>
        <v/>
      </c>
      <c r="M204" t="str">
        <f>IF(LEFT(Tabela_BaseM[[#This Row],[TIPO RELACIONAMENTO]],1)="3",(IF(A204="IRPJ",IF(LEFT(B204,1)="1","|M305|",IF(LEFT(B204,1)="2","|M310|",IF(LEFT(B204,1)="3","|M310|",IF(LEFT(B204,1)="4","|M312|","")))),IF(LEFT(B204,1)="1","|M355|",IF(LEFT(B204,1)="2","|M360|",IF(LEFT(B204,1)="3","|M360|",IF(LEFT(B204,1)="4","|M362|","")))))),"")</f>
        <v/>
      </c>
      <c r="N20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4" t="e">
        <f>IF(A204="IRPJ",("|M300|"&amp;LEFT(C204,FIND("-",C204)-1)&amp;"|"&amp;RIGHT(C204,LEN(C204)-FIND("-",C204))&amp;"|"&amp;LEFT(D204,1)&amp;"|"&amp;LEFT(B204,1)&amp;"|"&amp;Tabela_BaseM[[#This Row],[Valor]]&amp;"|"&amp;Tabela_BaseM[[#This Row],[HISTÓRICO]]&amp;"|"),("|M350|"&amp;LEFT(C204,FIND("-",C204)-1)&amp;"|"&amp;RIGHT(C204,LEN(C204)-FIND("-",C204))&amp;"|"&amp;LEFT(D204,1)&amp;"|"&amp;LEFT(B204,1)&amp;"|"&amp;Tabela_BaseM[[#This Row],[Valor]]&amp;"|"&amp;Tabela_BaseM[[#This Row],[HISTÓRICO]]&amp;"|"))</f>
        <v>#VALUE!</v>
      </c>
    </row>
    <row r="205" spans="10:17" x14ac:dyDescent="0.25">
      <c r="J205" s="11"/>
      <c r="L205" t="str">
        <f>IF(A205="IRPJ",IF(LEFT(B205,1)="1","|M305|",IF(LEFT(B205,1)="2","|M310|",IF(AND(LEFT(B205,1)="3",Tabela_BaseM[[#This Row],[CONTA PARTE B]]&lt;&gt;""),"|M305|",IF(LEFT(B205,1)="4","|M312|","")))),      IF(LEFT(B205,1)="1","|M355|",IF(LEFT(B205,1)="2","|M360|",IF(AND(LEFT(B205,1)="3",Tabela_BaseM[[#This Row],[CONTA PARTE B]]&lt;&gt;""),"|M355|",IF(LEFT(B205,1)="4","|M362|","")))))</f>
        <v/>
      </c>
      <c r="M205" t="str">
        <f>IF(LEFT(Tabela_BaseM[[#This Row],[TIPO RELACIONAMENTO]],1)="3",(IF(A205="IRPJ",IF(LEFT(B205,1)="1","|M305|",IF(LEFT(B205,1)="2","|M310|",IF(LEFT(B205,1)="3","|M310|",IF(LEFT(B205,1)="4","|M312|","")))),IF(LEFT(B205,1)="1","|M355|",IF(LEFT(B205,1)="2","|M360|",IF(LEFT(B205,1)="3","|M360|",IF(LEFT(B205,1)="4","|M362|","")))))),"")</f>
        <v/>
      </c>
      <c r="N20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5" t="e">
        <f>IF(A205="IRPJ",("|M300|"&amp;LEFT(C205,FIND("-",C205)-1)&amp;"|"&amp;RIGHT(C205,LEN(C205)-FIND("-",C205))&amp;"|"&amp;LEFT(D205,1)&amp;"|"&amp;LEFT(B205,1)&amp;"|"&amp;Tabela_BaseM[[#This Row],[Valor]]&amp;"|"&amp;Tabela_BaseM[[#This Row],[HISTÓRICO]]&amp;"|"),("|M350|"&amp;LEFT(C205,FIND("-",C205)-1)&amp;"|"&amp;RIGHT(C205,LEN(C205)-FIND("-",C205))&amp;"|"&amp;LEFT(D205,1)&amp;"|"&amp;LEFT(B205,1)&amp;"|"&amp;Tabela_BaseM[[#This Row],[Valor]]&amp;"|"&amp;Tabela_BaseM[[#This Row],[HISTÓRICO]]&amp;"|"))</f>
        <v>#VALUE!</v>
      </c>
    </row>
    <row r="206" spans="10:17" x14ac:dyDescent="0.25">
      <c r="J206" s="11"/>
      <c r="L206" t="str">
        <f>IF(A206="IRPJ",IF(LEFT(B206,1)="1","|M305|",IF(LEFT(B206,1)="2","|M310|",IF(AND(LEFT(B206,1)="3",Tabela_BaseM[[#This Row],[CONTA PARTE B]]&lt;&gt;""),"|M305|",IF(LEFT(B206,1)="4","|M312|","")))),      IF(LEFT(B206,1)="1","|M355|",IF(LEFT(B206,1)="2","|M360|",IF(AND(LEFT(B206,1)="3",Tabela_BaseM[[#This Row],[CONTA PARTE B]]&lt;&gt;""),"|M355|",IF(LEFT(B206,1)="4","|M362|","")))))</f>
        <v/>
      </c>
      <c r="M206" t="str">
        <f>IF(LEFT(Tabela_BaseM[[#This Row],[TIPO RELACIONAMENTO]],1)="3",(IF(A206="IRPJ",IF(LEFT(B206,1)="1","|M305|",IF(LEFT(B206,1)="2","|M310|",IF(LEFT(B206,1)="3","|M310|",IF(LEFT(B206,1)="4","|M312|","")))),IF(LEFT(B206,1)="1","|M355|",IF(LEFT(B206,1)="2","|M360|",IF(LEFT(B206,1)="3","|M360|",IF(LEFT(B206,1)="4","|M362|","")))))),"")</f>
        <v/>
      </c>
      <c r="N20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6" t="e">
        <f>IF(A206="IRPJ",("|M300|"&amp;LEFT(C206,FIND("-",C206)-1)&amp;"|"&amp;RIGHT(C206,LEN(C206)-FIND("-",C206))&amp;"|"&amp;LEFT(D206,1)&amp;"|"&amp;LEFT(B206,1)&amp;"|"&amp;Tabela_BaseM[[#This Row],[Valor]]&amp;"|"&amp;Tabela_BaseM[[#This Row],[HISTÓRICO]]&amp;"|"),("|M350|"&amp;LEFT(C206,FIND("-",C206)-1)&amp;"|"&amp;RIGHT(C206,LEN(C206)-FIND("-",C206))&amp;"|"&amp;LEFT(D206,1)&amp;"|"&amp;LEFT(B206,1)&amp;"|"&amp;Tabela_BaseM[[#This Row],[Valor]]&amp;"|"&amp;Tabela_BaseM[[#This Row],[HISTÓRICO]]&amp;"|"))</f>
        <v>#VALUE!</v>
      </c>
    </row>
    <row r="207" spans="10:17" x14ac:dyDescent="0.25">
      <c r="J207" s="11"/>
      <c r="L207" t="str">
        <f>IF(A207="IRPJ",IF(LEFT(B207,1)="1","|M305|",IF(LEFT(B207,1)="2","|M310|",IF(AND(LEFT(B207,1)="3",Tabela_BaseM[[#This Row],[CONTA PARTE B]]&lt;&gt;""),"|M305|",IF(LEFT(B207,1)="4","|M312|","")))),      IF(LEFT(B207,1)="1","|M355|",IF(LEFT(B207,1)="2","|M360|",IF(AND(LEFT(B207,1)="3",Tabela_BaseM[[#This Row],[CONTA PARTE B]]&lt;&gt;""),"|M355|",IF(LEFT(B207,1)="4","|M362|","")))))</f>
        <v/>
      </c>
      <c r="M207" t="str">
        <f>IF(LEFT(Tabela_BaseM[[#This Row],[TIPO RELACIONAMENTO]],1)="3",(IF(A207="IRPJ",IF(LEFT(B207,1)="1","|M305|",IF(LEFT(B207,1)="2","|M310|",IF(LEFT(B207,1)="3","|M310|",IF(LEFT(B207,1)="4","|M312|","")))),IF(LEFT(B207,1)="1","|M355|",IF(LEFT(B207,1)="2","|M360|",IF(LEFT(B207,1)="3","|M360|",IF(LEFT(B207,1)="4","|M362|","")))))),"")</f>
        <v/>
      </c>
      <c r="N20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7" t="e">
        <f>IF(A207="IRPJ",("|M300|"&amp;LEFT(C207,FIND("-",C207)-1)&amp;"|"&amp;RIGHT(C207,LEN(C207)-FIND("-",C207))&amp;"|"&amp;LEFT(D207,1)&amp;"|"&amp;LEFT(B207,1)&amp;"|"&amp;Tabela_BaseM[[#This Row],[Valor]]&amp;"|"&amp;Tabela_BaseM[[#This Row],[HISTÓRICO]]&amp;"|"),("|M350|"&amp;LEFT(C207,FIND("-",C207)-1)&amp;"|"&amp;RIGHT(C207,LEN(C207)-FIND("-",C207))&amp;"|"&amp;LEFT(D207,1)&amp;"|"&amp;LEFT(B207,1)&amp;"|"&amp;Tabela_BaseM[[#This Row],[Valor]]&amp;"|"&amp;Tabela_BaseM[[#This Row],[HISTÓRICO]]&amp;"|"))</f>
        <v>#VALUE!</v>
      </c>
    </row>
    <row r="208" spans="10:17" x14ac:dyDescent="0.25">
      <c r="J208" s="11"/>
      <c r="L208" t="str">
        <f>IF(A208="IRPJ",IF(LEFT(B208,1)="1","|M305|",IF(LEFT(B208,1)="2","|M310|",IF(AND(LEFT(B208,1)="3",Tabela_BaseM[[#This Row],[CONTA PARTE B]]&lt;&gt;""),"|M305|",IF(LEFT(B208,1)="4","|M312|","")))),      IF(LEFT(B208,1)="1","|M355|",IF(LEFT(B208,1)="2","|M360|",IF(AND(LEFT(B208,1)="3",Tabela_BaseM[[#This Row],[CONTA PARTE B]]&lt;&gt;""),"|M355|",IF(LEFT(B208,1)="4","|M362|","")))))</f>
        <v/>
      </c>
      <c r="M208" t="str">
        <f>IF(LEFT(Tabela_BaseM[[#This Row],[TIPO RELACIONAMENTO]],1)="3",(IF(A208="IRPJ",IF(LEFT(B208,1)="1","|M305|",IF(LEFT(B208,1)="2","|M310|",IF(LEFT(B208,1)="3","|M310|",IF(LEFT(B208,1)="4","|M312|","")))),IF(LEFT(B208,1)="1","|M355|",IF(LEFT(B208,1)="2","|M360|",IF(LEFT(B208,1)="3","|M360|",IF(LEFT(B208,1)="4","|M362|","")))))),"")</f>
        <v/>
      </c>
      <c r="N20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8" t="e">
        <f>IF(A208="IRPJ",("|M300|"&amp;LEFT(C208,FIND("-",C208)-1)&amp;"|"&amp;RIGHT(C208,LEN(C208)-FIND("-",C208))&amp;"|"&amp;LEFT(D208,1)&amp;"|"&amp;LEFT(B208,1)&amp;"|"&amp;Tabela_BaseM[[#This Row],[Valor]]&amp;"|"&amp;Tabela_BaseM[[#This Row],[HISTÓRICO]]&amp;"|"),("|M350|"&amp;LEFT(C208,FIND("-",C208)-1)&amp;"|"&amp;RIGHT(C208,LEN(C208)-FIND("-",C208))&amp;"|"&amp;LEFT(D208,1)&amp;"|"&amp;LEFT(B208,1)&amp;"|"&amp;Tabela_BaseM[[#This Row],[Valor]]&amp;"|"&amp;Tabela_BaseM[[#This Row],[HISTÓRICO]]&amp;"|"))</f>
        <v>#VALUE!</v>
      </c>
    </row>
    <row r="209" spans="10:17" x14ac:dyDescent="0.25">
      <c r="J209" s="11"/>
      <c r="L209" t="str">
        <f>IF(A209="IRPJ",IF(LEFT(B209,1)="1","|M305|",IF(LEFT(B209,1)="2","|M310|",IF(AND(LEFT(B209,1)="3",Tabela_BaseM[[#This Row],[CONTA PARTE B]]&lt;&gt;""),"|M305|",IF(LEFT(B209,1)="4","|M312|","")))),      IF(LEFT(B209,1)="1","|M355|",IF(LEFT(B209,1)="2","|M360|",IF(AND(LEFT(B209,1)="3",Tabela_BaseM[[#This Row],[CONTA PARTE B]]&lt;&gt;""),"|M355|",IF(LEFT(B209,1)="4","|M362|","")))))</f>
        <v/>
      </c>
      <c r="M209" t="str">
        <f>IF(LEFT(Tabela_BaseM[[#This Row],[TIPO RELACIONAMENTO]],1)="3",(IF(A209="IRPJ",IF(LEFT(B209,1)="1","|M305|",IF(LEFT(B209,1)="2","|M310|",IF(LEFT(B209,1)="3","|M310|",IF(LEFT(B209,1)="4","|M312|","")))),IF(LEFT(B209,1)="1","|M355|",IF(LEFT(B209,1)="2","|M360|",IF(LEFT(B209,1)="3","|M360|",IF(LEFT(B209,1)="4","|M362|","")))))),"")</f>
        <v/>
      </c>
      <c r="N20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0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0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09" t="e">
        <f>IF(A209="IRPJ",("|M300|"&amp;LEFT(C209,FIND("-",C209)-1)&amp;"|"&amp;RIGHT(C209,LEN(C209)-FIND("-",C209))&amp;"|"&amp;LEFT(D209,1)&amp;"|"&amp;LEFT(B209,1)&amp;"|"&amp;Tabela_BaseM[[#This Row],[Valor]]&amp;"|"&amp;Tabela_BaseM[[#This Row],[HISTÓRICO]]&amp;"|"),("|M350|"&amp;LEFT(C209,FIND("-",C209)-1)&amp;"|"&amp;RIGHT(C209,LEN(C209)-FIND("-",C209))&amp;"|"&amp;LEFT(D209,1)&amp;"|"&amp;LEFT(B209,1)&amp;"|"&amp;Tabela_BaseM[[#This Row],[Valor]]&amp;"|"&amp;Tabela_BaseM[[#This Row],[HISTÓRICO]]&amp;"|"))</f>
        <v>#VALUE!</v>
      </c>
    </row>
    <row r="210" spans="10:17" x14ac:dyDescent="0.25">
      <c r="J210" s="11"/>
      <c r="L210" t="str">
        <f>IF(A210="IRPJ",IF(LEFT(B210,1)="1","|M305|",IF(LEFT(B210,1)="2","|M310|",IF(AND(LEFT(B210,1)="3",Tabela_BaseM[[#This Row],[CONTA PARTE B]]&lt;&gt;""),"|M305|",IF(LEFT(B210,1)="4","|M312|","")))),      IF(LEFT(B210,1)="1","|M355|",IF(LEFT(B210,1)="2","|M360|",IF(AND(LEFT(B210,1)="3",Tabela_BaseM[[#This Row],[CONTA PARTE B]]&lt;&gt;""),"|M355|",IF(LEFT(B210,1)="4","|M362|","")))))</f>
        <v/>
      </c>
      <c r="M210" t="str">
        <f>IF(LEFT(Tabela_BaseM[[#This Row],[TIPO RELACIONAMENTO]],1)="3",(IF(A210="IRPJ",IF(LEFT(B210,1)="1","|M305|",IF(LEFT(B210,1)="2","|M310|",IF(LEFT(B210,1)="3","|M310|",IF(LEFT(B210,1)="4","|M312|","")))),IF(LEFT(B210,1)="1","|M355|",IF(LEFT(B210,1)="2","|M360|",IF(LEFT(B210,1)="3","|M360|",IF(LEFT(B210,1)="4","|M362|","")))))),"")</f>
        <v/>
      </c>
      <c r="N21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0" t="e">
        <f>IF(A210="IRPJ",("|M300|"&amp;LEFT(C210,FIND("-",C210)-1)&amp;"|"&amp;RIGHT(C210,LEN(C210)-FIND("-",C210))&amp;"|"&amp;LEFT(D210,1)&amp;"|"&amp;LEFT(B210,1)&amp;"|"&amp;Tabela_BaseM[[#This Row],[Valor]]&amp;"|"&amp;Tabela_BaseM[[#This Row],[HISTÓRICO]]&amp;"|"),("|M350|"&amp;LEFT(C210,FIND("-",C210)-1)&amp;"|"&amp;RIGHT(C210,LEN(C210)-FIND("-",C210))&amp;"|"&amp;LEFT(D210,1)&amp;"|"&amp;LEFT(B210,1)&amp;"|"&amp;Tabela_BaseM[[#This Row],[Valor]]&amp;"|"&amp;Tabela_BaseM[[#This Row],[HISTÓRICO]]&amp;"|"))</f>
        <v>#VALUE!</v>
      </c>
    </row>
    <row r="211" spans="10:17" x14ac:dyDescent="0.25">
      <c r="J211" s="11"/>
      <c r="L211" t="str">
        <f>IF(A211="IRPJ",IF(LEFT(B211,1)="1","|M305|",IF(LEFT(B211,1)="2","|M310|",IF(AND(LEFT(B211,1)="3",Tabela_BaseM[[#This Row],[CONTA PARTE B]]&lt;&gt;""),"|M305|",IF(LEFT(B211,1)="4","|M312|","")))),      IF(LEFT(B211,1)="1","|M355|",IF(LEFT(B211,1)="2","|M360|",IF(AND(LEFT(B211,1)="3",Tabela_BaseM[[#This Row],[CONTA PARTE B]]&lt;&gt;""),"|M355|",IF(LEFT(B211,1)="4","|M362|","")))))</f>
        <v/>
      </c>
      <c r="M211" t="str">
        <f>IF(LEFT(Tabela_BaseM[[#This Row],[TIPO RELACIONAMENTO]],1)="3",(IF(A211="IRPJ",IF(LEFT(B211,1)="1","|M305|",IF(LEFT(B211,1)="2","|M310|",IF(LEFT(B211,1)="3","|M310|",IF(LEFT(B211,1)="4","|M312|","")))),IF(LEFT(B211,1)="1","|M355|",IF(LEFT(B211,1)="2","|M360|",IF(LEFT(B211,1)="3","|M360|",IF(LEFT(B211,1)="4","|M362|","")))))),"")</f>
        <v/>
      </c>
      <c r="N21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1" t="e">
        <f>IF(A211="IRPJ",("|M300|"&amp;LEFT(C211,FIND("-",C211)-1)&amp;"|"&amp;RIGHT(C211,LEN(C211)-FIND("-",C211))&amp;"|"&amp;LEFT(D211,1)&amp;"|"&amp;LEFT(B211,1)&amp;"|"&amp;Tabela_BaseM[[#This Row],[Valor]]&amp;"|"&amp;Tabela_BaseM[[#This Row],[HISTÓRICO]]&amp;"|"),("|M350|"&amp;LEFT(C211,FIND("-",C211)-1)&amp;"|"&amp;RIGHT(C211,LEN(C211)-FIND("-",C211))&amp;"|"&amp;LEFT(D211,1)&amp;"|"&amp;LEFT(B211,1)&amp;"|"&amp;Tabela_BaseM[[#This Row],[Valor]]&amp;"|"&amp;Tabela_BaseM[[#This Row],[HISTÓRICO]]&amp;"|"))</f>
        <v>#VALUE!</v>
      </c>
    </row>
    <row r="212" spans="10:17" x14ac:dyDescent="0.25">
      <c r="J212" s="11"/>
      <c r="L212" t="str">
        <f>IF(A212="IRPJ",IF(LEFT(B212,1)="1","|M305|",IF(LEFT(B212,1)="2","|M310|",IF(AND(LEFT(B212,1)="3",Tabela_BaseM[[#This Row],[CONTA PARTE B]]&lt;&gt;""),"|M305|",IF(LEFT(B212,1)="4","|M312|","")))),      IF(LEFT(B212,1)="1","|M355|",IF(LEFT(B212,1)="2","|M360|",IF(AND(LEFT(B212,1)="3",Tabela_BaseM[[#This Row],[CONTA PARTE B]]&lt;&gt;""),"|M355|",IF(LEFT(B212,1)="4","|M362|","")))))</f>
        <v/>
      </c>
      <c r="M212" t="str">
        <f>IF(LEFT(Tabela_BaseM[[#This Row],[TIPO RELACIONAMENTO]],1)="3",(IF(A212="IRPJ",IF(LEFT(B212,1)="1","|M305|",IF(LEFT(B212,1)="2","|M310|",IF(LEFT(B212,1)="3","|M310|",IF(LEFT(B212,1)="4","|M312|","")))),IF(LEFT(B212,1)="1","|M355|",IF(LEFT(B212,1)="2","|M360|",IF(LEFT(B212,1)="3","|M360|",IF(LEFT(B212,1)="4","|M362|","")))))),"")</f>
        <v/>
      </c>
      <c r="N21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2" t="e">
        <f>IF(A212="IRPJ",("|M300|"&amp;LEFT(C212,FIND("-",C212)-1)&amp;"|"&amp;RIGHT(C212,LEN(C212)-FIND("-",C212))&amp;"|"&amp;LEFT(D212,1)&amp;"|"&amp;LEFT(B212,1)&amp;"|"&amp;Tabela_BaseM[[#This Row],[Valor]]&amp;"|"&amp;Tabela_BaseM[[#This Row],[HISTÓRICO]]&amp;"|"),("|M350|"&amp;LEFT(C212,FIND("-",C212)-1)&amp;"|"&amp;RIGHT(C212,LEN(C212)-FIND("-",C212))&amp;"|"&amp;LEFT(D212,1)&amp;"|"&amp;LEFT(B212,1)&amp;"|"&amp;Tabela_BaseM[[#This Row],[Valor]]&amp;"|"&amp;Tabela_BaseM[[#This Row],[HISTÓRICO]]&amp;"|"))</f>
        <v>#VALUE!</v>
      </c>
    </row>
    <row r="213" spans="10:17" x14ac:dyDescent="0.25">
      <c r="J213" s="11"/>
      <c r="L213" t="str">
        <f>IF(A213="IRPJ",IF(LEFT(B213,1)="1","|M305|",IF(LEFT(B213,1)="2","|M310|",IF(AND(LEFT(B213,1)="3",Tabela_BaseM[[#This Row],[CONTA PARTE B]]&lt;&gt;""),"|M305|",IF(LEFT(B213,1)="4","|M312|","")))),      IF(LEFT(B213,1)="1","|M355|",IF(LEFT(B213,1)="2","|M360|",IF(AND(LEFT(B213,1)="3",Tabela_BaseM[[#This Row],[CONTA PARTE B]]&lt;&gt;""),"|M355|",IF(LEFT(B213,1)="4","|M362|","")))))</f>
        <v/>
      </c>
      <c r="M213" t="str">
        <f>IF(LEFT(Tabela_BaseM[[#This Row],[TIPO RELACIONAMENTO]],1)="3",(IF(A213="IRPJ",IF(LEFT(B213,1)="1","|M305|",IF(LEFT(B213,1)="2","|M310|",IF(LEFT(B213,1)="3","|M310|",IF(LEFT(B213,1)="4","|M312|","")))),IF(LEFT(B213,1)="1","|M355|",IF(LEFT(B213,1)="2","|M360|",IF(LEFT(B213,1)="3","|M360|",IF(LEFT(B213,1)="4","|M362|","")))))),"")</f>
        <v/>
      </c>
      <c r="N21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3" t="e">
        <f>IF(A213="IRPJ",("|M300|"&amp;LEFT(C213,FIND("-",C213)-1)&amp;"|"&amp;RIGHT(C213,LEN(C213)-FIND("-",C213))&amp;"|"&amp;LEFT(D213,1)&amp;"|"&amp;LEFT(B213,1)&amp;"|"&amp;Tabela_BaseM[[#This Row],[Valor]]&amp;"|"&amp;Tabela_BaseM[[#This Row],[HISTÓRICO]]&amp;"|"),("|M350|"&amp;LEFT(C213,FIND("-",C213)-1)&amp;"|"&amp;RIGHT(C213,LEN(C213)-FIND("-",C213))&amp;"|"&amp;LEFT(D213,1)&amp;"|"&amp;LEFT(B213,1)&amp;"|"&amp;Tabela_BaseM[[#This Row],[Valor]]&amp;"|"&amp;Tabela_BaseM[[#This Row],[HISTÓRICO]]&amp;"|"))</f>
        <v>#VALUE!</v>
      </c>
    </row>
    <row r="214" spans="10:17" x14ac:dyDescent="0.25">
      <c r="J214" s="11"/>
      <c r="L214" t="str">
        <f>IF(A214="IRPJ",IF(LEFT(B214,1)="1","|M305|",IF(LEFT(B214,1)="2","|M310|",IF(AND(LEFT(B214,1)="3",Tabela_BaseM[[#This Row],[CONTA PARTE B]]&lt;&gt;""),"|M305|",IF(LEFT(B214,1)="4","|M312|","")))),      IF(LEFT(B214,1)="1","|M355|",IF(LEFT(B214,1)="2","|M360|",IF(AND(LEFT(B214,1)="3",Tabela_BaseM[[#This Row],[CONTA PARTE B]]&lt;&gt;""),"|M355|",IF(LEFT(B214,1)="4","|M362|","")))))</f>
        <v/>
      </c>
      <c r="M214" t="str">
        <f>IF(LEFT(Tabela_BaseM[[#This Row],[TIPO RELACIONAMENTO]],1)="3",(IF(A214="IRPJ",IF(LEFT(B214,1)="1","|M305|",IF(LEFT(B214,1)="2","|M310|",IF(LEFT(B214,1)="3","|M310|",IF(LEFT(B214,1)="4","|M312|","")))),IF(LEFT(B214,1)="1","|M355|",IF(LEFT(B214,1)="2","|M360|",IF(LEFT(B214,1)="3","|M360|",IF(LEFT(B214,1)="4","|M362|","")))))),"")</f>
        <v/>
      </c>
      <c r="N21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4" t="e">
        <f>IF(A214="IRPJ",("|M300|"&amp;LEFT(C214,FIND("-",C214)-1)&amp;"|"&amp;RIGHT(C214,LEN(C214)-FIND("-",C214))&amp;"|"&amp;LEFT(D214,1)&amp;"|"&amp;LEFT(B214,1)&amp;"|"&amp;Tabela_BaseM[[#This Row],[Valor]]&amp;"|"&amp;Tabela_BaseM[[#This Row],[HISTÓRICO]]&amp;"|"),("|M350|"&amp;LEFT(C214,FIND("-",C214)-1)&amp;"|"&amp;RIGHT(C214,LEN(C214)-FIND("-",C214))&amp;"|"&amp;LEFT(D214,1)&amp;"|"&amp;LEFT(B214,1)&amp;"|"&amp;Tabela_BaseM[[#This Row],[Valor]]&amp;"|"&amp;Tabela_BaseM[[#This Row],[HISTÓRICO]]&amp;"|"))</f>
        <v>#VALUE!</v>
      </c>
    </row>
    <row r="215" spans="10:17" x14ac:dyDescent="0.25">
      <c r="J215" s="11"/>
      <c r="L215" t="str">
        <f>IF(A215="IRPJ",IF(LEFT(B215,1)="1","|M305|",IF(LEFT(B215,1)="2","|M310|",IF(AND(LEFT(B215,1)="3",Tabela_BaseM[[#This Row],[CONTA PARTE B]]&lt;&gt;""),"|M305|",IF(LEFT(B215,1)="4","|M312|","")))),      IF(LEFT(B215,1)="1","|M355|",IF(LEFT(B215,1)="2","|M360|",IF(AND(LEFT(B215,1)="3",Tabela_BaseM[[#This Row],[CONTA PARTE B]]&lt;&gt;""),"|M355|",IF(LEFT(B215,1)="4","|M362|","")))))</f>
        <v/>
      </c>
      <c r="M215" t="str">
        <f>IF(LEFT(Tabela_BaseM[[#This Row],[TIPO RELACIONAMENTO]],1)="3",(IF(A215="IRPJ",IF(LEFT(B215,1)="1","|M305|",IF(LEFT(B215,1)="2","|M310|",IF(LEFT(B215,1)="3","|M310|",IF(LEFT(B215,1)="4","|M312|","")))),IF(LEFT(B215,1)="1","|M355|",IF(LEFT(B215,1)="2","|M360|",IF(LEFT(B215,1)="3","|M360|",IF(LEFT(B215,1)="4","|M362|","")))))),"")</f>
        <v/>
      </c>
      <c r="N21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5" t="e">
        <f>IF(A215="IRPJ",("|M300|"&amp;LEFT(C215,FIND("-",C215)-1)&amp;"|"&amp;RIGHT(C215,LEN(C215)-FIND("-",C215))&amp;"|"&amp;LEFT(D215,1)&amp;"|"&amp;LEFT(B215,1)&amp;"|"&amp;Tabela_BaseM[[#This Row],[Valor]]&amp;"|"&amp;Tabela_BaseM[[#This Row],[HISTÓRICO]]&amp;"|"),("|M350|"&amp;LEFT(C215,FIND("-",C215)-1)&amp;"|"&amp;RIGHT(C215,LEN(C215)-FIND("-",C215))&amp;"|"&amp;LEFT(D215,1)&amp;"|"&amp;LEFT(B215,1)&amp;"|"&amp;Tabela_BaseM[[#This Row],[Valor]]&amp;"|"&amp;Tabela_BaseM[[#This Row],[HISTÓRICO]]&amp;"|"))</f>
        <v>#VALUE!</v>
      </c>
    </row>
    <row r="216" spans="10:17" x14ac:dyDescent="0.25">
      <c r="J216" s="11"/>
      <c r="L216" t="str">
        <f>IF(A216="IRPJ",IF(LEFT(B216,1)="1","|M305|",IF(LEFT(B216,1)="2","|M310|",IF(AND(LEFT(B216,1)="3",Tabela_BaseM[[#This Row],[CONTA PARTE B]]&lt;&gt;""),"|M305|",IF(LEFT(B216,1)="4","|M312|","")))),      IF(LEFT(B216,1)="1","|M355|",IF(LEFT(B216,1)="2","|M360|",IF(AND(LEFT(B216,1)="3",Tabela_BaseM[[#This Row],[CONTA PARTE B]]&lt;&gt;""),"|M355|",IF(LEFT(B216,1)="4","|M362|","")))))</f>
        <v/>
      </c>
      <c r="M216" t="str">
        <f>IF(LEFT(Tabela_BaseM[[#This Row],[TIPO RELACIONAMENTO]],1)="3",(IF(A216="IRPJ",IF(LEFT(B216,1)="1","|M305|",IF(LEFT(B216,1)="2","|M310|",IF(LEFT(B216,1)="3","|M310|",IF(LEFT(B216,1)="4","|M312|","")))),IF(LEFT(B216,1)="1","|M355|",IF(LEFT(B216,1)="2","|M360|",IF(LEFT(B216,1)="3","|M360|",IF(LEFT(B216,1)="4","|M362|","")))))),"")</f>
        <v/>
      </c>
      <c r="N21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6" t="e">
        <f>IF(A216="IRPJ",("|M300|"&amp;LEFT(C216,FIND("-",C216)-1)&amp;"|"&amp;RIGHT(C216,LEN(C216)-FIND("-",C216))&amp;"|"&amp;LEFT(D216,1)&amp;"|"&amp;LEFT(B216,1)&amp;"|"&amp;Tabela_BaseM[[#This Row],[Valor]]&amp;"|"&amp;Tabela_BaseM[[#This Row],[HISTÓRICO]]&amp;"|"),("|M350|"&amp;LEFT(C216,FIND("-",C216)-1)&amp;"|"&amp;RIGHT(C216,LEN(C216)-FIND("-",C216))&amp;"|"&amp;LEFT(D216,1)&amp;"|"&amp;LEFT(B216,1)&amp;"|"&amp;Tabela_BaseM[[#This Row],[Valor]]&amp;"|"&amp;Tabela_BaseM[[#This Row],[HISTÓRICO]]&amp;"|"))</f>
        <v>#VALUE!</v>
      </c>
    </row>
    <row r="217" spans="10:17" x14ac:dyDescent="0.25">
      <c r="J217" s="11"/>
      <c r="L217" t="str">
        <f>IF(A217="IRPJ",IF(LEFT(B217,1)="1","|M305|",IF(LEFT(B217,1)="2","|M310|",IF(AND(LEFT(B217,1)="3",Tabela_BaseM[[#This Row],[CONTA PARTE B]]&lt;&gt;""),"|M305|",IF(LEFT(B217,1)="4","|M312|","")))),      IF(LEFT(B217,1)="1","|M355|",IF(LEFT(B217,1)="2","|M360|",IF(AND(LEFT(B217,1)="3",Tabela_BaseM[[#This Row],[CONTA PARTE B]]&lt;&gt;""),"|M355|",IF(LEFT(B217,1)="4","|M362|","")))))</f>
        <v/>
      </c>
      <c r="M217" t="str">
        <f>IF(LEFT(Tabela_BaseM[[#This Row],[TIPO RELACIONAMENTO]],1)="3",(IF(A217="IRPJ",IF(LEFT(B217,1)="1","|M305|",IF(LEFT(B217,1)="2","|M310|",IF(LEFT(B217,1)="3","|M310|",IF(LEFT(B217,1)="4","|M312|","")))),IF(LEFT(B217,1)="1","|M355|",IF(LEFT(B217,1)="2","|M360|",IF(LEFT(B217,1)="3","|M360|",IF(LEFT(B217,1)="4","|M362|","")))))),"")</f>
        <v/>
      </c>
      <c r="N21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7" t="e">
        <f>IF(A217="IRPJ",("|M300|"&amp;LEFT(C217,FIND("-",C217)-1)&amp;"|"&amp;RIGHT(C217,LEN(C217)-FIND("-",C217))&amp;"|"&amp;LEFT(D217,1)&amp;"|"&amp;LEFT(B217,1)&amp;"|"&amp;Tabela_BaseM[[#This Row],[Valor]]&amp;"|"&amp;Tabela_BaseM[[#This Row],[HISTÓRICO]]&amp;"|"),("|M350|"&amp;LEFT(C217,FIND("-",C217)-1)&amp;"|"&amp;RIGHT(C217,LEN(C217)-FIND("-",C217))&amp;"|"&amp;LEFT(D217,1)&amp;"|"&amp;LEFT(B217,1)&amp;"|"&amp;Tabela_BaseM[[#This Row],[Valor]]&amp;"|"&amp;Tabela_BaseM[[#This Row],[HISTÓRICO]]&amp;"|"))</f>
        <v>#VALUE!</v>
      </c>
    </row>
    <row r="218" spans="10:17" x14ac:dyDescent="0.25">
      <c r="J218" s="11"/>
      <c r="L218" t="str">
        <f>IF(A218="IRPJ",IF(LEFT(B218,1)="1","|M305|",IF(LEFT(B218,1)="2","|M310|",IF(AND(LEFT(B218,1)="3",Tabela_BaseM[[#This Row],[CONTA PARTE B]]&lt;&gt;""),"|M305|",IF(LEFT(B218,1)="4","|M312|","")))),      IF(LEFT(B218,1)="1","|M355|",IF(LEFT(B218,1)="2","|M360|",IF(AND(LEFT(B218,1)="3",Tabela_BaseM[[#This Row],[CONTA PARTE B]]&lt;&gt;""),"|M355|",IF(LEFT(B218,1)="4","|M362|","")))))</f>
        <v/>
      </c>
      <c r="M218" t="str">
        <f>IF(LEFT(Tabela_BaseM[[#This Row],[TIPO RELACIONAMENTO]],1)="3",(IF(A218="IRPJ",IF(LEFT(B218,1)="1","|M305|",IF(LEFT(B218,1)="2","|M310|",IF(LEFT(B218,1)="3","|M310|",IF(LEFT(B218,1)="4","|M312|","")))),IF(LEFT(B218,1)="1","|M355|",IF(LEFT(B218,1)="2","|M360|",IF(LEFT(B218,1)="3","|M360|",IF(LEFT(B218,1)="4","|M362|","")))))),"")</f>
        <v/>
      </c>
      <c r="N21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8" t="e">
        <f>IF(A218="IRPJ",("|M300|"&amp;LEFT(C218,FIND("-",C218)-1)&amp;"|"&amp;RIGHT(C218,LEN(C218)-FIND("-",C218))&amp;"|"&amp;LEFT(D218,1)&amp;"|"&amp;LEFT(B218,1)&amp;"|"&amp;Tabela_BaseM[[#This Row],[Valor]]&amp;"|"&amp;Tabela_BaseM[[#This Row],[HISTÓRICO]]&amp;"|"),("|M350|"&amp;LEFT(C218,FIND("-",C218)-1)&amp;"|"&amp;RIGHT(C218,LEN(C218)-FIND("-",C218))&amp;"|"&amp;LEFT(D218,1)&amp;"|"&amp;LEFT(B218,1)&amp;"|"&amp;Tabela_BaseM[[#This Row],[Valor]]&amp;"|"&amp;Tabela_BaseM[[#This Row],[HISTÓRICO]]&amp;"|"))</f>
        <v>#VALUE!</v>
      </c>
    </row>
    <row r="219" spans="10:17" x14ac:dyDescent="0.25">
      <c r="J219" s="11"/>
      <c r="L219" t="str">
        <f>IF(A219="IRPJ",IF(LEFT(B219,1)="1","|M305|",IF(LEFT(B219,1)="2","|M310|",IF(AND(LEFT(B219,1)="3",Tabela_BaseM[[#This Row],[CONTA PARTE B]]&lt;&gt;""),"|M305|",IF(LEFT(B219,1)="4","|M312|","")))),      IF(LEFT(B219,1)="1","|M355|",IF(LEFT(B219,1)="2","|M360|",IF(AND(LEFT(B219,1)="3",Tabela_BaseM[[#This Row],[CONTA PARTE B]]&lt;&gt;""),"|M355|",IF(LEFT(B219,1)="4","|M362|","")))))</f>
        <v/>
      </c>
      <c r="M219" t="str">
        <f>IF(LEFT(Tabela_BaseM[[#This Row],[TIPO RELACIONAMENTO]],1)="3",(IF(A219="IRPJ",IF(LEFT(B219,1)="1","|M305|",IF(LEFT(B219,1)="2","|M310|",IF(LEFT(B219,1)="3","|M310|",IF(LEFT(B219,1)="4","|M312|","")))),IF(LEFT(B219,1)="1","|M355|",IF(LEFT(B219,1)="2","|M360|",IF(LEFT(B219,1)="3","|M360|",IF(LEFT(B219,1)="4","|M362|","")))))),"")</f>
        <v/>
      </c>
      <c r="N21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1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1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19" t="e">
        <f>IF(A219="IRPJ",("|M300|"&amp;LEFT(C219,FIND("-",C219)-1)&amp;"|"&amp;RIGHT(C219,LEN(C219)-FIND("-",C219))&amp;"|"&amp;LEFT(D219,1)&amp;"|"&amp;LEFT(B219,1)&amp;"|"&amp;Tabela_BaseM[[#This Row],[Valor]]&amp;"|"&amp;Tabela_BaseM[[#This Row],[HISTÓRICO]]&amp;"|"),("|M350|"&amp;LEFT(C219,FIND("-",C219)-1)&amp;"|"&amp;RIGHT(C219,LEN(C219)-FIND("-",C219))&amp;"|"&amp;LEFT(D219,1)&amp;"|"&amp;LEFT(B219,1)&amp;"|"&amp;Tabela_BaseM[[#This Row],[Valor]]&amp;"|"&amp;Tabela_BaseM[[#This Row],[HISTÓRICO]]&amp;"|"))</f>
        <v>#VALUE!</v>
      </c>
    </row>
    <row r="220" spans="10:17" x14ac:dyDescent="0.25">
      <c r="J220" s="11"/>
      <c r="L220" t="str">
        <f>IF(A220="IRPJ",IF(LEFT(B220,1)="1","|M305|",IF(LEFT(B220,1)="2","|M310|",IF(AND(LEFT(B220,1)="3",Tabela_BaseM[[#This Row],[CONTA PARTE B]]&lt;&gt;""),"|M305|",IF(LEFT(B220,1)="4","|M312|","")))),      IF(LEFT(B220,1)="1","|M355|",IF(LEFT(B220,1)="2","|M360|",IF(AND(LEFT(B220,1)="3",Tabela_BaseM[[#This Row],[CONTA PARTE B]]&lt;&gt;""),"|M355|",IF(LEFT(B220,1)="4","|M362|","")))))</f>
        <v/>
      </c>
      <c r="M220" t="str">
        <f>IF(LEFT(Tabela_BaseM[[#This Row],[TIPO RELACIONAMENTO]],1)="3",(IF(A220="IRPJ",IF(LEFT(B220,1)="1","|M305|",IF(LEFT(B220,1)="2","|M310|",IF(LEFT(B220,1)="3","|M310|",IF(LEFT(B220,1)="4","|M312|","")))),IF(LEFT(B220,1)="1","|M355|",IF(LEFT(B220,1)="2","|M360|",IF(LEFT(B220,1)="3","|M360|",IF(LEFT(B220,1)="4","|M362|","")))))),"")</f>
        <v/>
      </c>
      <c r="N22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0" t="e">
        <f>IF(A220="IRPJ",("|M300|"&amp;LEFT(C220,FIND("-",C220)-1)&amp;"|"&amp;RIGHT(C220,LEN(C220)-FIND("-",C220))&amp;"|"&amp;LEFT(D220,1)&amp;"|"&amp;LEFT(B220,1)&amp;"|"&amp;Tabela_BaseM[[#This Row],[Valor]]&amp;"|"&amp;Tabela_BaseM[[#This Row],[HISTÓRICO]]&amp;"|"),("|M350|"&amp;LEFT(C220,FIND("-",C220)-1)&amp;"|"&amp;RIGHT(C220,LEN(C220)-FIND("-",C220))&amp;"|"&amp;LEFT(D220,1)&amp;"|"&amp;LEFT(B220,1)&amp;"|"&amp;Tabela_BaseM[[#This Row],[Valor]]&amp;"|"&amp;Tabela_BaseM[[#This Row],[HISTÓRICO]]&amp;"|"))</f>
        <v>#VALUE!</v>
      </c>
    </row>
    <row r="221" spans="10:17" x14ac:dyDescent="0.25">
      <c r="J221" s="11"/>
      <c r="L221" t="str">
        <f>IF(A221="IRPJ",IF(LEFT(B221,1)="1","|M305|",IF(LEFT(B221,1)="2","|M310|",IF(AND(LEFT(B221,1)="3",Tabela_BaseM[[#This Row],[CONTA PARTE B]]&lt;&gt;""),"|M305|",IF(LEFT(B221,1)="4","|M312|","")))),      IF(LEFT(B221,1)="1","|M355|",IF(LEFT(B221,1)="2","|M360|",IF(AND(LEFT(B221,1)="3",Tabela_BaseM[[#This Row],[CONTA PARTE B]]&lt;&gt;""),"|M355|",IF(LEFT(B221,1)="4","|M362|","")))))</f>
        <v/>
      </c>
      <c r="M221" t="str">
        <f>IF(LEFT(Tabela_BaseM[[#This Row],[TIPO RELACIONAMENTO]],1)="3",(IF(A221="IRPJ",IF(LEFT(B221,1)="1","|M305|",IF(LEFT(B221,1)="2","|M310|",IF(LEFT(B221,1)="3","|M310|",IF(LEFT(B221,1)="4","|M312|","")))),IF(LEFT(B221,1)="1","|M355|",IF(LEFT(B221,1)="2","|M360|",IF(LEFT(B221,1)="3","|M360|",IF(LEFT(B221,1)="4","|M362|","")))))),"")</f>
        <v/>
      </c>
      <c r="N22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1" t="e">
        <f>IF(A221="IRPJ",("|M300|"&amp;LEFT(C221,FIND("-",C221)-1)&amp;"|"&amp;RIGHT(C221,LEN(C221)-FIND("-",C221))&amp;"|"&amp;LEFT(D221,1)&amp;"|"&amp;LEFT(B221,1)&amp;"|"&amp;Tabela_BaseM[[#This Row],[Valor]]&amp;"|"&amp;Tabela_BaseM[[#This Row],[HISTÓRICO]]&amp;"|"),("|M350|"&amp;LEFT(C221,FIND("-",C221)-1)&amp;"|"&amp;RIGHT(C221,LEN(C221)-FIND("-",C221))&amp;"|"&amp;LEFT(D221,1)&amp;"|"&amp;LEFT(B221,1)&amp;"|"&amp;Tabela_BaseM[[#This Row],[Valor]]&amp;"|"&amp;Tabela_BaseM[[#This Row],[HISTÓRICO]]&amp;"|"))</f>
        <v>#VALUE!</v>
      </c>
    </row>
    <row r="222" spans="10:17" x14ac:dyDescent="0.25">
      <c r="J222" s="11"/>
      <c r="L222" t="str">
        <f>IF(A222="IRPJ",IF(LEFT(B222,1)="1","|M305|",IF(LEFT(B222,1)="2","|M310|",IF(AND(LEFT(B222,1)="3",Tabela_BaseM[[#This Row],[CONTA PARTE B]]&lt;&gt;""),"|M305|",IF(LEFT(B222,1)="4","|M312|","")))),      IF(LEFT(B222,1)="1","|M355|",IF(LEFT(B222,1)="2","|M360|",IF(AND(LEFT(B222,1)="3",Tabela_BaseM[[#This Row],[CONTA PARTE B]]&lt;&gt;""),"|M355|",IF(LEFT(B222,1)="4","|M362|","")))))</f>
        <v/>
      </c>
      <c r="M222" t="str">
        <f>IF(LEFT(Tabela_BaseM[[#This Row],[TIPO RELACIONAMENTO]],1)="3",(IF(A222="IRPJ",IF(LEFT(B222,1)="1","|M305|",IF(LEFT(B222,1)="2","|M310|",IF(LEFT(B222,1)="3","|M310|",IF(LEFT(B222,1)="4","|M312|","")))),IF(LEFT(B222,1)="1","|M355|",IF(LEFT(B222,1)="2","|M360|",IF(LEFT(B222,1)="3","|M360|",IF(LEFT(B222,1)="4","|M362|","")))))),"")</f>
        <v/>
      </c>
      <c r="N22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2" t="e">
        <f>IF(A222="IRPJ",("|M300|"&amp;LEFT(C222,FIND("-",C222)-1)&amp;"|"&amp;RIGHT(C222,LEN(C222)-FIND("-",C222))&amp;"|"&amp;LEFT(D222,1)&amp;"|"&amp;LEFT(B222,1)&amp;"|"&amp;Tabela_BaseM[[#This Row],[Valor]]&amp;"|"&amp;Tabela_BaseM[[#This Row],[HISTÓRICO]]&amp;"|"),("|M350|"&amp;LEFT(C222,FIND("-",C222)-1)&amp;"|"&amp;RIGHT(C222,LEN(C222)-FIND("-",C222))&amp;"|"&amp;LEFT(D222,1)&amp;"|"&amp;LEFT(B222,1)&amp;"|"&amp;Tabela_BaseM[[#This Row],[Valor]]&amp;"|"&amp;Tabela_BaseM[[#This Row],[HISTÓRICO]]&amp;"|"))</f>
        <v>#VALUE!</v>
      </c>
    </row>
    <row r="223" spans="10:17" x14ac:dyDescent="0.25">
      <c r="J223" s="11"/>
      <c r="L223" t="str">
        <f>IF(A223="IRPJ",IF(LEFT(B223,1)="1","|M305|",IF(LEFT(B223,1)="2","|M310|",IF(AND(LEFT(B223,1)="3",Tabela_BaseM[[#This Row],[CONTA PARTE B]]&lt;&gt;""),"|M305|",IF(LEFT(B223,1)="4","|M312|","")))),      IF(LEFT(B223,1)="1","|M355|",IF(LEFT(B223,1)="2","|M360|",IF(AND(LEFT(B223,1)="3",Tabela_BaseM[[#This Row],[CONTA PARTE B]]&lt;&gt;""),"|M355|",IF(LEFT(B223,1)="4","|M362|","")))))</f>
        <v/>
      </c>
      <c r="M223" t="str">
        <f>IF(LEFT(Tabela_BaseM[[#This Row],[TIPO RELACIONAMENTO]],1)="3",(IF(A223="IRPJ",IF(LEFT(B223,1)="1","|M305|",IF(LEFT(B223,1)="2","|M310|",IF(LEFT(B223,1)="3","|M310|",IF(LEFT(B223,1)="4","|M312|","")))),IF(LEFT(B223,1)="1","|M355|",IF(LEFT(B223,1)="2","|M360|",IF(LEFT(B223,1)="3","|M360|",IF(LEFT(B223,1)="4","|M362|","")))))),"")</f>
        <v/>
      </c>
      <c r="N22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3" t="e">
        <f>IF(A223="IRPJ",("|M300|"&amp;LEFT(C223,FIND("-",C223)-1)&amp;"|"&amp;RIGHT(C223,LEN(C223)-FIND("-",C223))&amp;"|"&amp;LEFT(D223,1)&amp;"|"&amp;LEFT(B223,1)&amp;"|"&amp;Tabela_BaseM[[#This Row],[Valor]]&amp;"|"&amp;Tabela_BaseM[[#This Row],[HISTÓRICO]]&amp;"|"),("|M350|"&amp;LEFT(C223,FIND("-",C223)-1)&amp;"|"&amp;RIGHT(C223,LEN(C223)-FIND("-",C223))&amp;"|"&amp;LEFT(D223,1)&amp;"|"&amp;LEFT(B223,1)&amp;"|"&amp;Tabela_BaseM[[#This Row],[Valor]]&amp;"|"&amp;Tabela_BaseM[[#This Row],[HISTÓRICO]]&amp;"|"))</f>
        <v>#VALUE!</v>
      </c>
    </row>
    <row r="224" spans="10:17" x14ac:dyDescent="0.25">
      <c r="J224" s="11"/>
      <c r="L224" t="str">
        <f>IF(A224="IRPJ",IF(LEFT(B224,1)="1","|M305|",IF(LEFT(B224,1)="2","|M310|",IF(AND(LEFT(B224,1)="3",Tabela_BaseM[[#This Row],[CONTA PARTE B]]&lt;&gt;""),"|M305|",IF(LEFT(B224,1)="4","|M312|","")))),      IF(LEFT(B224,1)="1","|M355|",IF(LEFT(B224,1)="2","|M360|",IF(AND(LEFT(B224,1)="3",Tabela_BaseM[[#This Row],[CONTA PARTE B]]&lt;&gt;""),"|M355|",IF(LEFT(B224,1)="4","|M362|","")))))</f>
        <v/>
      </c>
      <c r="M224" t="str">
        <f>IF(LEFT(Tabela_BaseM[[#This Row],[TIPO RELACIONAMENTO]],1)="3",(IF(A224="IRPJ",IF(LEFT(B224,1)="1","|M305|",IF(LEFT(B224,1)="2","|M310|",IF(LEFT(B224,1)="3","|M310|",IF(LEFT(B224,1)="4","|M312|","")))),IF(LEFT(B224,1)="1","|M355|",IF(LEFT(B224,1)="2","|M360|",IF(LEFT(B224,1)="3","|M360|",IF(LEFT(B224,1)="4","|M362|","")))))),"")</f>
        <v/>
      </c>
      <c r="N22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4" t="e">
        <f>IF(A224="IRPJ",("|M300|"&amp;LEFT(C224,FIND("-",C224)-1)&amp;"|"&amp;RIGHT(C224,LEN(C224)-FIND("-",C224))&amp;"|"&amp;LEFT(D224,1)&amp;"|"&amp;LEFT(B224,1)&amp;"|"&amp;Tabela_BaseM[[#This Row],[Valor]]&amp;"|"&amp;Tabela_BaseM[[#This Row],[HISTÓRICO]]&amp;"|"),("|M350|"&amp;LEFT(C224,FIND("-",C224)-1)&amp;"|"&amp;RIGHT(C224,LEN(C224)-FIND("-",C224))&amp;"|"&amp;LEFT(D224,1)&amp;"|"&amp;LEFT(B224,1)&amp;"|"&amp;Tabela_BaseM[[#This Row],[Valor]]&amp;"|"&amp;Tabela_BaseM[[#This Row],[HISTÓRICO]]&amp;"|"))</f>
        <v>#VALUE!</v>
      </c>
    </row>
    <row r="225" spans="10:17" x14ac:dyDescent="0.25">
      <c r="J225" s="11"/>
      <c r="L225" t="str">
        <f>IF(A225="IRPJ",IF(LEFT(B225,1)="1","|M305|",IF(LEFT(B225,1)="2","|M310|",IF(AND(LEFT(B225,1)="3",Tabela_BaseM[[#This Row],[CONTA PARTE B]]&lt;&gt;""),"|M305|",IF(LEFT(B225,1)="4","|M312|","")))),      IF(LEFT(B225,1)="1","|M355|",IF(LEFT(B225,1)="2","|M360|",IF(AND(LEFT(B225,1)="3",Tabela_BaseM[[#This Row],[CONTA PARTE B]]&lt;&gt;""),"|M355|",IF(LEFT(B225,1)="4","|M362|","")))))</f>
        <v/>
      </c>
      <c r="M225" t="str">
        <f>IF(LEFT(Tabela_BaseM[[#This Row],[TIPO RELACIONAMENTO]],1)="3",(IF(A225="IRPJ",IF(LEFT(B225,1)="1","|M305|",IF(LEFT(B225,1)="2","|M310|",IF(LEFT(B225,1)="3","|M310|",IF(LEFT(B225,1)="4","|M312|","")))),IF(LEFT(B225,1)="1","|M355|",IF(LEFT(B225,1)="2","|M360|",IF(LEFT(B225,1)="3","|M360|",IF(LEFT(B225,1)="4","|M362|","")))))),"")</f>
        <v/>
      </c>
      <c r="N22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5" t="e">
        <f>IF(A225="IRPJ",("|M300|"&amp;LEFT(C225,FIND("-",C225)-1)&amp;"|"&amp;RIGHT(C225,LEN(C225)-FIND("-",C225))&amp;"|"&amp;LEFT(D225,1)&amp;"|"&amp;LEFT(B225,1)&amp;"|"&amp;Tabela_BaseM[[#This Row],[Valor]]&amp;"|"&amp;Tabela_BaseM[[#This Row],[HISTÓRICO]]&amp;"|"),("|M350|"&amp;LEFT(C225,FIND("-",C225)-1)&amp;"|"&amp;RIGHT(C225,LEN(C225)-FIND("-",C225))&amp;"|"&amp;LEFT(D225,1)&amp;"|"&amp;LEFT(B225,1)&amp;"|"&amp;Tabela_BaseM[[#This Row],[Valor]]&amp;"|"&amp;Tabela_BaseM[[#This Row],[HISTÓRICO]]&amp;"|"))</f>
        <v>#VALUE!</v>
      </c>
    </row>
    <row r="226" spans="10:17" x14ac:dyDescent="0.25">
      <c r="J226" s="11"/>
      <c r="L226" t="str">
        <f>IF(A226="IRPJ",IF(LEFT(B226,1)="1","|M305|",IF(LEFT(B226,1)="2","|M310|",IF(AND(LEFT(B226,1)="3",Tabela_BaseM[[#This Row],[CONTA PARTE B]]&lt;&gt;""),"|M305|",IF(LEFT(B226,1)="4","|M312|","")))),      IF(LEFT(B226,1)="1","|M355|",IF(LEFT(B226,1)="2","|M360|",IF(AND(LEFT(B226,1)="3",Tabela_BaseM[[#This Row],[CONTA PARTE B]]&lt;&gt;""),"|M355|",IF(LEFT(B226,1)="4","|M362|","")))))</f>
        <v/>
      </c>
      <c r="M226" t="str">
        <f>IF(LEFT(Tabela_BaseM[[#This Row],[TIPO RELACIONAMENTO]],1)="3",(IF(A226="IRPJ",IF(LEFT(B226,1)="1","|M305|",IF(LEFT(B226,1)="2","|M310|",IF(LEFT(B226,1)="3","|M310|",IF(LEFT(B226,1)="4","|M312|","")))),IF(LEFT(B226,1)="1","|M355|",IF(LEFT(B226,1)="2","|M360|",IF(LEFT(B226,1)="3","|M360|",IF(LEFT(B226,1)="4","|M362|","")))))),"")</f>
        <v/>
      </c>
      <c r="N22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6" t="e">
        <f>IF(A226="IRPJ",("|M300|"&amp;LEFT(C226,FIND("-",C226)-1)&amp;"|"&amp;RIGHT(C226,LEN(C226)-FIND("-",C226))&amp;"|"&amp;LEFT(D226,1)&amp;"|"&amp;LEFT(B226,1)&amp;"|"&amp;Tabela_BaseM[[#This Row],[Valor]]&amp;"|"&amp;Tabela_BaseM[[#This Row],[HISTÓRICO]]&amp;"|"),("|M350|"&amp;LEFT(C226,FIND("-",C226)-1)&amp;"|"&amp;RIGHT(C226,LEN(C226)-FIND("-",C226))&amp;"|"&amp;LEFT(D226,1)&amp;"|"&amp;LEFT(B226,1)&amp;"|"&amp;Tabela_BaseM[[#This Row],[Valor]]&amp;"|"&amp;Tabela_BaseM[[#This Row],[HISTÓRICO]]&amp;"|"))</f>
        <v>#VALUE!</v>
      </c>
    </row>
    <row r="227" spans="10:17" x14ac:dyDescent="0.25">
      <c r="J227" s="11"/>
      <c r="L227" t="str">
        <f>IF(A227="IRPJ",IF(LEFT(B227,1)="1","|M305|",IF(LEFT(B227,1)="2","|M310|",IF(AND(LEFT(B227,1)="3",Tabela_BaseM[[#This Row],[CONTA PARTE B]]&lt;&gt;""),"|M305|",IF(LEFT(B227,1)="4","|M312|","")))),      IF(LEFT(B227,1)="1","|M355|",IF(LEFT(B227,1)="2","|M360|",IF(AND(LEFT(B227,1)="3",Tabela_BaseM[[#This Row],[CONTA PARTE B]]&lt;&gt;""),"|M355|",IF(LEFT(B227,1)="4","|M362|","")))))</f>
        <v/>
      </c>
      <c r="M227" t="str">
        <f>IF(LEFT(Tabela_BaseM[[#This Row],[TIPO RELACIONAMENTO]],1)="3",(IF(A227="IRPJ",IF(LEFT(B227,1)="1","|M305|",IF(LEFT(B227,1)="2","|M310|",IF(LEFT(B227,1)="3","|M310|",IF(LEFT(B227,1)="4","|M312|","")))),IF(LEFT(B227,1)="1","|M355|",IF(LEFT(B227,1)="2","|M360|",IF(LEFT(B227,1)="3","|M360|",IF(LEFT(B227,1)="4","|M362|","")))))),"")</f>
        <v/>
      </c>
      <c r="N22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7" t="e">
        <f>IF(A227="IRPJ",("|M300|"&amp;LEFT(C227,FIND("-",C227)-1)&amp;"|"&amp;RIGHT(C227,LEN(C227)-FIND("-",C227))&amp;"|"&amp;LEFT(D227,1)&amp;"|"&amp;LEFT(B227,1)&amp;"|"&amp;Tabela_BaseM[[#This Row],[Valor]]&amp;"|"&amp;Tabela_BaseM[[#This Row],[HISTÓRICO]]&amp;"|"),("|M350|"&amp;LEFT(C227,FIND("-",C227)-1)&amp;"|"&amp;RIGHT(C227,LEN(C227)-FIND("-",C227))&amp;"|"&amp;LEFT(D227,1)&amp;"|"&amp;LEFT(B227,1)&amp;"|"&amp;Tabela_BaseM[[#This Row],[Valor]]&amp;"|"&amp;Tabela_BaseM[[#This Row],[HISTÓRICO]]&amp;"|"))</f>
        <v>#VALUE!</v>
      </c>
    </row>
    <row r="228" spans="10:17" x14ac:dyDescent="0.25">
      <c r="J228" s="11"/>
      <c r="L228" t="str">
        <f>IF(A228="IRPJ",IF(LEFT(B228,1)="1","|M305|",IF(LEFT(B228,1)="2","|M310|",IF(AND(LEFT(B228,1)="3",Tabela_BaseM[[#This Row],[CONTA PARTE B]]&lt;&gt;""),"|M305|",IF(LEFT(B228,1)="4","|M312|","")))),      IF(LEFT(B228,1)="1","|M355|",IF(LEFT(B228,1)="2","|M360|",IF(AND(LEFT(B228,1)="3",Tabela_BaseM[[#This Row],[CONTA PARTE B]]&lt;&gt;""),"|M355|",IF(LEFT(B228,1)="4","|M362|","")))))</f>
        <v/>
      </c>
      <c r="M228" t="str">
        <f>IF(LEFT(Tabela_BaseM[[#This Row],[TIPO RELACIONAMENTO]],1)="3",(IF(A228="IRPJ",IF(LEFT(B228,1)="1","|M305|",IF(LEFT(B228,1)="2","|M310|",IF(LEFT(B228,1)="3","|M310|",IF(LEFT(B228,1)="4","|M312|","")))),IF(LEFT(B228,1)="1","|M355|",IF(LEFT(B228,1)="2","|M360|",IF(LEFT(B228,1)="3","|M360|",IF(LEFT(B228,1)="4","|M362|","")))))),"")</f>
        <v/>
      </c>
      <c r="N22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8" t="e">
        <f>IF(A228="IRPJ",("|M300|"&amp;LEFT(C228,FIND("-",C228)-1)&amp;"|"&amp;RIGHT(C228,LEN(C228)-FIND("-",C228))&amp;"|"&amp;LEFT(D228,1)&amp;"|"&amp;LEFT(B228,1)&amp;"|"&amp;Tabela_BaseM[[#This Row],[Valor]]&amp;"|"&amp;Tabela_BaseM[[#This Row],[HISTÓRICO]]&amp;"|"),("|M350|"&amp;LEFT(C228,FIND("-",C228)-1)&amp;"|"&amp;RIGHT(C228,LEN(C228)-FIND("-",C228))&amp;"|"&amp;LEFT(D228,1)&amp;"|"&amp;LEFT(B228,1)&amp;"|"&amp;Tabela_BaseM[[#This Row],[Valor]]&amp;"|"&amp;Tabela_BaseM[[#This Row],[HISTÓRICO]]&amp;"|"))</f>
        <v>#VALUE!</v>
      </c>
    </row>
    <row r="229" spans="10:17" x14ac:dyDescent="0.25">
      <c r="J229" s="11"/>
      <c r="L229" t="str">
        <f>IF(A229="IRPJ",IF(LEFT(B229,1)="1","|M305|",IF(LEFT(B229,1)="2","|M310|",IF(AND(LEFT(B229,1)="3",Tabela_BaseM[[#This Row],[CONTA PARTE B]]&lt;&gt;""),"|M305|",IF(LEFT(B229,1)="4","|M312|","")))),      IF(LEFT(B229,1)="1","|M355|",IF(LEFT(B229,1)="2","|M360|",IF(AND(LEFT(B229,1)="3",Tabela_BaseM[[#This Row],[CONTA PARTE B]]&lt;&gt;""),"|M355|",IF(LEFT(B229,1)="4","|M362|","")))))</f>
        <v/>
      </c>
      <c r="M229" t="str">
        <f>IF(LEFT(Tabela_BaseM[[#This Row],[TIPO RELACIONAMENTO]],1)="3",(IF(A229="IRPJ",IF(LEFT(B229,1)="1","|M305|",IF(LEFT(B229,1)="2","|M310|",IF(LEFT(B229,1)="3","|M310|",IF(LEFT(B229,1)="4","|M312|","")))),IF(LEFT(B229,1)="1","|M355|",IF(LEFT(B229,1)="2","|M360|",IF(LEFT(B229,1)="3","|M360|",IF(LEFT(B229,1)="4","|M362|","")))))),"")</f>
        <v/>
      </c>
      <c r="N22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2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2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29" t="e">
        <f>IF(A229="IRPJ",("|M300|"&amp;LEFT(C229,FIND("-",C229)-1)&amp;"|"&amp;RIGHT(C229,LEN(C229)-FIND("-",C229))&amp;"|"&amp;LEFT(D229,1)&amp;"|"&amp;LEFT(B229,1)&amp;"|"&amp;Tabela_BaseM[[#This Row],[Valor]]&amp;"|"&amp;Tabela_BaseM[[#This Row],[HISTÓRICO]]&amp;"|"),("|M350|"&amp;LEFT(C229,FIND("-",C229)-1)&amp;"|"&amp;RIGHT(C229,LEN(C229)-FIND("-",C229))&amp;"|"&amp;LEFT(D229,1)&amp;"|"&amp;LEFT(B229,1)&amp;"|"&amp;Tabela_BaseM[[#This Row],[Valor]]&amp;"|"&amp;Tabela_BaseM[[#This Row],[HISTÓRICO]]&amp;"|"))</f>
        <v>#VALUE!</v>
      </c>
    </row>
    <row r="230" spans="10:17" x14ac:dyDescent="0.25">
      <c r="J230" s="11"/>
      <c r="L230" t="str">
        <f>IF(A230="IRPJ",IF(LEFT(B230,1)="1","|M305|",IF(LEFT(B230,1)="2","|M310|",IF(AND(LEFT(B230,1)="3",Tabela_BaseM[[#This Row],[CONTA PARTE B]]&lt;&gt;""),"|M305|",IF(LEFT(B230,1)="4","|M312|","")))),      IF(LEFT(B230,1)="1","|M355|",IF(LEFT(B230,1)="2","|M360|",IF(AND(LEFT(B230,1)="3",Tabela_BaseM[[#This Row],[CONTA PARTE B]]&lt;&gt;""),"|M355|",IF(LEFT(B230,1)="4","|M362|","")))))</f>
        <v/>
      </c>
      <c r="M230" t="str">
        <f>IF(LEFT(Tabela_BaseM[[#This Row],[TIPO RELACIONAMENTO]],1)="3",(IF(A230="IRPJ",IF(LEFT(B230,1)="1","|M305|",IF(LEFT(B230,1)="2","|M310|",IF(LEFT(B230,1)="3","|M310|",IF(LEFT(B230,1)="4","|M312|","")))),IF(LEFT(B230,1)="1","|M355|",IF(LEFT(B230,1)="2","|M360|",IF(LEFT(B230,1)="3","|M360|",IF(LEFT(B230,1)="4","|M362|","")))))),"")</f>
        <v/>
      </c>
      <c r="N23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0" t="e">
        <f>IF(A230="IRPJ",("|M300|"&amp;LEFT(C230,FIND("-",C230)-1)&amp;"|"&amp;RIGHT(C230,LEN(C230)-FIND("-",C230))&amp;"|"&amp;LEFT(D230,1)&amp;"|"&amp;LEFT(B230,1)&amp;"|"&amp;Tabela_BaseM[[#This Row],[Valor]]&amp;"|"&amp;Tabela_BaseM[[#This Row],[HISTÓRICO]]&amp;"|"),("|M350|"&amp;LEFT(C230,FIND("-",C230)-1)&amp;"|"&amp;RIGHT(C230,LEN(C230)-FIND("-",C230))&amp;"|"&amp;LEFT(D230,1)&amp;"|"&amp;LEFT(B230,1)&amp;"|"&amp;Tabela_BaseM[[#This Row],[Valor]]&amp;"|"&amp;Tabela_BaseM[[#This Row],[HISTÓRICO]]&amp;"|"))</f>
        <v>#VALUE!</v>
      </c>
    </row>
    <row r="231" spans="10:17" x14ac:dyDescent="0.25">
      <c r="J231" s="11"/>
      <c r="L231" t="str">
        <f>IF(A231="IRPJ",IF(LEFT(B231,1)="1","|M305|",IF(LEFT(B231,1)="2","|M310|",IF(AND(LEFT(B231,1)="3",Tabela_BaseM[[#This Row],[CONTA PARTE B]]&lt;&gt;""),"|M305|",IF(LEFT(B231,1)="4","|M312|","")))),      IF(LEFT(B231,1)="1","|M355|",IF(LEFT(B231,1)="2","|M360|",IF(AND(LEFT(B231,1)="3",Tabela_BaseM[[#This Row],[CONTA PARTE B]]&lt;&gt;""),"|M355|",IF(LEFT(B231,1)="4","|M362|","")))))</f>
        <v/>
      </c>
      <c r="M231" t="str">
        <f>IF(LEFT(Tabela_BaseM[[#This Row],[TIPO RELACIONAMENTO]],1)="3",(IF(A231="IRPJ",IF(LEFT(B231,1)="1","|M305|",IF(LEFT(B231,1)="2","|M310|",IF(LEFT(B231,1)="3","|M310|",IF(LEFT(B231,1)="4","|M312|","")))),IF(LEFT(B231,1)="1","|M355|",IF(LEFT(B231,1)="2","|M360|",IF(LEFT(B231,1)="3","|M360|",IF(LEFT(B231,1)="4","|M362|","")))))),"")</f>
        <v/>
      </c>
      <c r="N23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1" t="e">
        <f>IF(A231="IRPJ",("|M300|"&amp;LEFT(C231,FIND("-",C231)-1)&amp;"|"&amp;RIGHT(C231,LEN(C231)-FIND("-",C231))&amp;"|"&amp;LEFT(D231,1)&amp;"|"&amp;LEFT(B231,1)&amp;"|"&amp;Tabela_BaseM[[#This Row],[Valor]]&amp;"|"&amp;Tabela_BaseM[[#This Row],[HISTÓRICO]]&amp;"|"),("|M350|"&amp;LEFT(C231,FIND("-",C231)-1)&amp;"|"&amp;RIGHT(C231,LEN(C231)-FIND("-",C231))&amp;"|"&amp;LEFT(D231,1)&amp;"|"&amp;LEFT(B231,1)&amp;"|"&amp;Tabela_BaseM[[#This Row],[Valor]]&amp;"|"&amp;Tabela_BaseM[[#This Row],[HISTÓRICO]]&amp;"|"))</f>
        <v>#VALUE!</v>
      </c>
    </row>
    <row r="232" spans="10:17" x14ac:dyDescent="0.25">
      <c r="J232" s="11"/>
      <c r="L232" t="str">
        <f>IF(A232="IRPJ",IF(LEFT(B232,1)="1","|M305|",IF(LEFT(B232,1)="2","|M310|",IF(AND(LEFT(B232,1)="3",Tabela_BaseM[[#This Row],[CONTA PARTE B]]&lt;&gt;""),"|M305|",IF(LEFT(B232,1)="4","|M312|","")))),      IF(LEFT(B232,1)="1","|M355|",IF(LEFT(B232,1)="2","|M360|",IF(AND(LEFT(B232,1)="3",Tabela_BaseM[[#This Row],[CONTA PARTE B]]&lt;&gt;""),"|M355|",IF(LEFT(B232,1)="4","|M362|","")))))</f>
        <v/>
      </c>
      <c r="M232" t="str">
        <f>IF(LEFT(Tabela_BaseM[[#This Row],[TIPO RELACIONAMENTO]],1)="3",(IF(A232="IRPJ",IF(LEFT(B232,1)="1","|M305|",IF(LEFT(B232,1)="2","|M310|",IF(LEFT(B232,1)="3","|M310|",IF(LEFT(B232,1)="4","|M312|","")))),IF(LEFT(B232,1)="1","|M355|",IF(LEFT(B232,1)="2","|M360|",IF(LEFT(B232,1)="3","|M360|",IF(LEFT(B232,1)="4","|M362|","")))))),"")</f>
        <v/>
      </c>
      <c r="N23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2" t="e">
        <f>IF(A232="IRPJ",("|M300|"&amp;LEFT(C232,FIND("-",C232)-1)&amp;"|"&amp;RIGHT(C232,LEN(C232)-FIND("-",C232))&amp;"|"&amp;LEFT(D232,1)&amp;"|"&amp;LEFT(B232,1)&amp;"|"&amp;Tabela_BaseM[[#This Row],[Valor]]&amp;"|"&amp;Tabela_BaseM[[#This Row],[HISTÓRICO]]&amp;"|"),("|M350|"&amp;LEFT(C232,FIND("-",C232)-1)&amp;"|"&amp;RIGHT(C232,LEN(C232)-FIND("-",C232))&amp;"|"&amp;LEFT(D232,1)&amp;"|"&amp;LEFT(B232,1)&amp;"|"&amp;Tabela_BaseM[[#This Row],[Valor]]&amp;"|"&amp;Tabela_BaseM[[#This Row],[HISTÓRICO]]&amp;"|"))</f>
        <v>#VALUE!</v>
      </c>
    </row>
    <row r="233" spans="10:17" x14ac:dyDescent="0.25">
      <c r="J233" s="11"/>
      <c r="L233" t="str">
        <f>IF(A233="IRPJ",IF(LEFT(B233,1)="1","|M305|",IF(LEFT(B233,1)="2","|M310|",IF(AND(LEFT(B233,1)="3",Tabela_BaseM[[#This Row],[CONTA PARTE B]]&lt;&gt;""),"|M305|",IF(LEFT(B233,1)="4","|M312|","")))),      IF(LEFT(B233,1)="1","|M355|",IF(LEFT(B233,1)="2","|M360|",IF(AND(LEFT(B233,1)="3",Tabela_BaseM[[#This Row],[CONTA PARTE B]]&lt;&gt;""),"|M355|",IF(LEFT(B233,1)="4","|M362|","")))))</f>
        <v/>
      </c>
      <c r="M233" t="str">
        <f>IF(LEFT(Tabela_BaseM[[#This Row],[TIPO RELACIONAMENTO]],1)="3",(IF(A233="IRPJ",IF(LEFT(B233,1)="1","|M305|",IF(LEFT(B233,1)="2","|M310|",IF(LEFT(B233,1)="3","|M310|",IF(LEFT(B233,1)="4","|M312|","")))),IF(LEFT(B233,1)="1","|M355|",IF(LEFT(B233,1)="2","|M360|",IF(LEFT(B233,1)="3","|M360|",IF(LEFT(B233,1)="4","|M362|","")))))),"")</f>
        <v/>
      </c>
      <c r="N23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3" t="e">
        <f>IF(A233="IRPJ",("|M300|"&amp;LEFT(C233,FIND("-",C233)-1)&amp;"|"&amp;RIGHT(C233,LEN(C233)-FIND("-",C233))&amp;"|"&amp;LEFT(D233,1)&amp;"|"&amp;LEFT(B233,1)&amp;"|"&amp;Tabela_BaseM[[#This Row],[Valor]]&amp;"|"&amp;Tabela_BaseM[[#This Row],[HISTÓRICO]]&amp;"|"),("|M350|"&amp;LEFT(C233,FIND("-",C233)-1)&amp;"|"&amp;RIGHT(C233,LEN(C233)-FIND("-",C233))&amp;"|"&amp;LEFT(D233,1)&amp;"|"&amp;LEFT(B233,1)&amp;"|"&amp;Tabela_BaseM[[#This Row],[Valor]]&amp;"|"&amp;Tabela_BaseM[[#This Row],[HISTÓRICO]]&amp;"|"))</f>
        <v>#VALUE!</v>
      </c>
    </row>
    <row r="234" spans="10:17" x14ac:dyDescent="0.25">
      <c r="J234" s="11"/>
      <c r="L234" t="str">
        <f>IF(A234="IRPJ",IF(LEFT(B234,1)="1","|M305|",IF(LEFT(B234,1)="2","|M310|",IF(AND(LEFT(B234,1)="3",Tabela_BaseM[[#This Row],[CONTA PARTE B]]&lt;&gt;""),"|M305|",IF(LEFT(B234,1)="4","|M312|","")))),      IF(LEFT(B234,1)="1","|M355|",IF(LEFT(B234,1)="2","|M360|",IF(AND(LEFT(B234,1)="3",Tabela_BaseM[[#This Row],[CONTA PARTE B]]&lt;&gt;""),"|M355|",IF(LEFT(B234,1)="4","|M362|","")))))</f>
        <v/>
      </c>
      <c r="M234" t="str">
        <f>IF(LEFT(Tabela_BaseM[[#This Row],[TIPO RELACIONAMENTO]],1)="3",(IF(A234="IRPJ",IF(LEFT(B234,1)="1","|M305|",IF(LEFT(B234,1)="2","|M310|",IF(LEFT(B234,1)="3","|M310|",IF(LEFT(B234,1)="4","|M312|","")))),IF(LEFT(B234,1)="1","|M355|",IF(LEFT(B234,1)="2","|M360|",IF(LEFT(B234,1)="3","|M360|",IF(LEFT(B234,1)="4","|M362|","")))))),"")</f>
        <v/>
      </c>
      <c r="N23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4" t="e">
        <f>IF(A234="IRPJ",("|M300|"&amp;LEFT(C234,FIND("-",C234)-1)&amp;"|"&amp;RIGHT(C234,LEN(C234)-FIND("-",C234))&amp;"|"&amp;LEFT(D234,1)&amp;"|"&amp;LEFT(B234,1)&amp;"|"&amp;Tabela_BaseM[[#This Row],[Valor]]&amp;"|"&amp;Tabela_BaseM[[#This Row],[HISTÓRICO]]&amp;"|"),("|M350|"&amp;LEFT(C234,FIND("-",C234)-1)&amp;"|"&amp;RIGHT(C234,LEN(C234)-FIND("-",C234))&amp;"|"&amp;LEFT(D234,1)&amp;"|"&amp;LEFT(B234,1)&amp;"|"&amp;Tabela_BaseM[[#This Row],[Valor]]&amp;"|"&amp;Tabela_BaseM[[#This Row],[HISTÓRICO]]&amp;"|"))</f>
        <v>#VALUE!</v>
      </c>
    </row>
    <row r="235" spans="10:17" x14ac:dyDescent="0.25">
      <c r="J235" s="11"/>
      <c r="L235" t="str">
        <f>IF(A235="IRPJ",IF(LEFT(B235,1)="1","|M305|",IF(LEFT(B235,1)="2","|M310|",IF(AND(LEFT(B235,1)="3",Tabela_BaseM[[#This Row],[CONTA PARTE B]]&lt;&gt;""),"|M305|",IF(LEFT(B235,1)="4","|M312|","")))),      IF(LEFT(B235,1)="1","|M355|",IF(LEFT(B235,1)="2","|M360|",IF(AND(LEFT(B235,1)="3",Tabela_BaseM[[#This Row],[CONTA PARTE B]]&lt;&gt;""),"|M355|",IF(LEFT(B235,1)="4","|M362|","")))))</f>
        <v/>
      </c>
      <c r="M235" t="str">
        <f>IF(LEFT(Tabela_BaseM[[#This Row],[TIPO RELACIONAMENTO]],1)="3",(IF(A235="IRPJ",IF(LEFT(B235,1)="1","|M305|",IF(LEFT(B235,1)="2","|M310|",IF(LEFT(B235,1)="3","|M310|",IF(LEFT(B235,1)="4","|M312|","")))),IF(LEFT(B235,1)="1","|M355|",IF(LEFT(B235,1)="2","|M360|",IF(LEFT(B235,1)="3","|M360|",IF(LEFT(B235,1)="4","|M362|","")))))),"")</f>
        <v/>
      </c>
      <c r="N23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5" t="e">
        <f>IF(A235="IRPJ",("|M300|"&amp;LEFT(C235,FIND("-",C235)-1)&amp;"|"&amp;RIGHT(C235,LEN(C235)-FIND("-",C235))&amp;"|"&amp;LEFT(D235,1)&amp;"|"&amp;LEFT(B235,1)&amp;"|"&amp;Tabela_BaseM[[#This Row],[Valor]]&amp;"|"&amp;Tabela_BaseM[[#This Row],[HISTÓRICO]]&amp;"|"),("|M350|"&amp;LEFT(C235,FIND("-",C235)-1)&amp;"|"&amp;RIGHT(C235,LEN(C235)-FIND("-",C235))&amp;"|"&amp;LEFT(D235,1)&amp;"|"&amp;LEFT(B235,1)&amp;"|"&amp;Tabela_BaseM[[#This Row],[Valor]]&amp;"|"&amp;Tabela_BaseM[[#This Row],[HISTÓRICO]]&amp;"|"))</f>
        <v>#VALUE!</v>
      </c>
    </row>
    <row r="236" spans="10:17" x14ac:dyDescent="0.25">
      <c r="J236" s="11"/>
      <c r="L236" t="str">
        <f>IF(A236="IRPJ",IF(LEFT(B236,1)="1","|M305|",IF(LEFT(B236,1)="2","|M310|",IF(AND(LEFT(B236,1)="3",Tabela_BaseM[[#This Row],[CONTA PARTE B]]&lt;&gt;""),"|M305|",IF(LEFT(B236,1)="4","|M312|","")))),      IF(LEFT(B236,1)="1","|M355|",IF(LEFT(B236,1)="2","|M360|",IF(AND(LEFT(B236,1)="3",Tabela_BaseM[[#This Row],[CONTA PARTE B]]&lt;&gt;""),"|M355|",IF(LEFT(B236,1)="4","|M362|","")))))</f>
        <v/>
      </c>
      <c r="M236" t="str">
        <f>IF(LEFT(Tabela_BaseM[[#This Row],[TIPO RELACIONAMENTO]],1)="3",(IF(A236="IRPJ",IF(LEFT(B236,1)="1","|M305|",IF(LEFT(B236,1)="2","|M310|",IF(LEFT(B236,1)="3","|M310|",IF(LEFT(B236,1)="4","|M312|","")))),IF(LEFT(B236,1)="1","|M355|",IF(LEFT(B236,1)="2","|M360|",IF(LEFT(B236,1)="3","|M360|",IF(LEFT(B236,1)="4","|M362|","")))))),"")</f>
        <v/>
      </c>
      <c r="N23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6" t="e">
        <f>IF(A236="IRPJ",("|M300|"&amp;LEFT(C236,FIND("-",C236)-1)&amp;"|"&amp;RIGHT(C236,LEN(C236)-FIND("-",C236))&amp;"|"&amp;LEFT(D236,1)&amp;"|"&amp;LEFT(B236,1)&amp;"|"&amp;Tabela_BaseM[[#This Row],[Valor]]&amp;"|"&amp;Tabela_BaseM[[#This Row],[HISTÓRICO]]&amp;"|"),("|M350|"&amp;LEFT(C236,FIND("-",C236)-1)&amp;"|"&amp;RIGHT(C236,LEN(C236)-FIND("-",C236))&amp;"|"&amp;LEFT(D236,1)&amp;"|"&amp;LEFT(B236,1)&amp;"|"&amp;Tabela_BaseM[[#This Row],[Valor]]&amp;"|"&amp;Tabela_BaseM[[#This Row],[HISTÓRICO]]&amp;"|"))</f>
        <v>#VALUE!</v>
      </c>
    </row>
    <row r="237" spans="10:17" x14ac:dyDescent="0.25">
      <c r="J237" s="11"/>
      <c r="L237" t="str">
        <f>IF(A237="IRPJ",IF(LEFT(B237,1)="1","|M305|",IF(LEFT(B237,1)="2","|M310|",IF(AND(LEFT(B237,1)="3",Tabela_BaseM[[#This Row],[CONTA PARTE B]]&lt;&gt;""),"|M305|",IF(LEFT(B237,1)="4","|M312|","")))),      IF(LEFT(B237,1)="1","|M355|",IF(LEFT(B237,1)="2","|M360|",IF(AND(LEFT(B237,1)="3",Tabela_BaseM[[#This Row],[CONTA PARTE B]]&lt;&gt;""),"|M355|",IF(LEFT(B237,1)="4","|M362|","")))))</f>
        <v/>
      </c>
      <c r="M237" t="str">
        <f>IF(LEFT(Tabela_BaseM[[#This Row],[TIPO RELACIONAMENTO]],1)="3",(IF(A237="IRPJ",IF(LEFT(B237,1)="1","|M305|",IF(LEFT(B237,1)="2","|M310|",IF(LEFT(B237,1)="3","|M310|",IF(LEFT(B237,1)="4","|M312|","")))),IF(LEFT(B237,1)="1","|M355|",IF(LEFT(B237,1)="2","|M360|",IF(LEFT(B237,1)="3","|M360|",IF(LEFT(B237,1)="4","|M362|","")))))),"")</f>
        <v/>
      </c>
      <c r="N23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7" t="e">
        <f>IF(A237="IRPJ",("|M300|"&amp;LEFT(C237,FIND("-",C237)-1)&amp;"|"&amp;RIGHT(C237,LEN(C237)-FIND("-",C237))&amp;"|"&amp;LEFT(D237,1)&amp;"|"&amp;LEFT(B237,1)&amp;"|"&amp;Tabela_BaseM[[#This Row],[Valor]]&amp;"|"&amp;Tabela_BaseM[[#This Row],[HISTÓRICO]]&amp;"|"),("|M350|"&amp;LEFT(C237,FIND("-",C237)-1)&amp;"|"&amp;RIGHT(C237,LEN(C237)-FIND("-",C237))&amp;"|"&amp;LEFT(D237,1)&amp;"|"&amp;LEFT(B237,1)&amp;"|"&amp;Tabela_BaseM[[#This Row],[Valor]]&amp;"|"&amp;Tabela_BaseM[[#This Row],[HISTÓRICO]]&amp;"|"))</f>
        <v>#VALUE!</v>
      </c>
    </row>
    <row r="238" spans="10:17" x14ac:dyDescent="0.25">
      <c r="J238" s="11"/>
      <c r="L238" t="str">
        <f>IF(A238="IRPJ",IF(LEFT(B238,1)="1","|M305|",IF(LEFT(B238,1)="2","|M310|",IF(AND(LEFT(B238,1)="3",Tabela_BaseM[[#This Row],[CONTA PARTE B]]&lt;&gt;""),"|M305|",IF(LEFT(B238,1)="4","|M312|","")))),      IF(LEFT(B238,1)="1","|M355|",IF(LEFT(B238,1)="2","|M360|",IF(AND(LEFT(B238,1)="3",Tabela_BaseM[[#This Row],[CONTA PARTE B]]&lt;&gt;""),"|M355|",IF(LEFT(B238,1)="4","|M362|","")))))</f>
        <v/>
      </c>
      <c r="M238" t="str">
        <f>IF(LEFT(Tabela_BaseM[[#This Row],[TIPO RELACIONAMENTO]],1)="3",(IF(A238="IRPJ",IF(LEFT(B238,1)="1","|M305|",IF(LEFT(B238,1)="2","|M310|",IF(LEFT(B238,1)="3","|M310|",IF(LEFT(B238,1)="4","|M312|","")))),IF(LEFT(B238,1)="1","|M355|",IF(LEFT(B238,1)="2","|M360|",IF(LEFT(B238,1)="3","|M360|",IF(LEFT(B238,1)="4","|M362|","")))))),"")</f>
        <v/>
      </c>
      <c r="N23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8" t="e">
        <f>IF(A238="IRPJ",("|M300|"&amp;LEFT(C238,FIND("-",C238)-1)&amp;"|"&amp;RIGHT(C238,LEN(C238)-FIND("-",C238))&amp;"|"&amp;LEFT(D238,1)&amp;"|"&amp;LEFT(B238,1)&amp;"|"&amp;Tabela_BaseM[[#This Row],[Valor]]&amp;"|"&amp;Tabela_BaseM[[#This Row],[HISTÓRICO]]&amp;"|"),("|M350|"&amp;LEFT(C238,FIND("-",C238)-1)&amp;"|"&amp;RIGHT(C238,LEN(C238)-FIND("-",C238))&amp;"|"&amp;LEFT(D238,1)&amp;"|"&amp;LEFT(B238,1)&amp;"|"&amp;Tabela_BaseM[[#This Row],[Valor]]&amp;"|"&amp;Tabela_BaseM[[#This Row],[HISTÓRICO]]&amp;"|"))</f>
        <v>#VALUE!</v>
      </c>
    </row>
    <row r="239" spans="10:17" x14ac:dyDescent="0.25">
      <c r="J239" s="11"/>
      <c r="L239" t="str">
        <f>IF(A239="IRPJ",IF(LEFT(B239,1)="1","|M305|",IF(LEFT(B239,1)="2","|M310|",IF(AND(LEFT(B239,1)="3",Tabela_BaseM[[#This Row],[CONTA PARTE B]]&lt;&gt;""),"|M305|",IF(LEFT(B239,1)="4","|M312|","")))),      IF(LEFT(B239,1)="1","|M355|",IF(LEFT(B239,1)="2","|M360|",IF(AND(LEFT(B239,1)="3",Tabela_BaseM[[#This Row],[CONTA PARTE B]]&lt;&gt;""),"|M355|",IF(LEFT(B239,1)="4","|M362|","")))))</f>
        <v/>
      </c>
      <c r="M239" t="str">
        <f>IF(LEFT(Tabela_BaseM[[#This Row],[TIPO RELACIONAMENTO]],1)="3",(IF(A239="IRPJ",IF(LEFT(B239,1)="1","|M305|",IF(LEFT(B239,1)="2","|M310|",IF(LEFT(B239,1)="3","|M310|",IF(LEFT(B239,1)="4","|M312|","")))),IF(LEFT(B239,1)="1","|M355|",IF(LEFT(B239,1)="2","|M360|",IF(LEFT(B239,1)="3","|M360|",IF(LEFT(B239,1)="4","|M362|","")))))),"")</f>
        <v/>
      </c>
      <c r="N23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3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3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39" t="e">
        <f>IF(A239="IRPJ",("|M300|"&amp;LEFT(C239,FIND("-",C239)-1)&amp;"|"&amp;RIGHT(C239,LEN(C239)-FIND("-",C239))&amp;"|"&amp;LEFT(D239,1)&amp;"|"&amp;LEFT(B239,1)&amp;"|"&amp;Tabela_BaseM[[#This Row],[Valor]]&amp;"|"&amp;Tabela_BaseM[[#This Row],[HISTÓRICO]]&amp;"|"),("|M350|"&amp;LEFT(C239,FIND("-",C239)-1)&amp;"|"&amp;RIGHT(C239,LEN(C239)-FIND("-",C239))&amp;"|"&amp;LEFT(D239,1)&amp;"|"&amp;LEFT(B239,1)&amp;"|"&amp;Tabela_BaseM[[#This Row],[Valor]]&amp;"|"&amp;Tabela_BaseM[[#This Row],[HISTÓRICO]]&amp;"|"))</f>
        <v>#VALUE!</v>
      </c>
    </row>
    <row r="240" spans="10:17" x14ac:dyDescent="0.25">
      <c r="J240" s="11"/>
      <c r="L240" t="str">
        <f>IF(A240="IRPJ",IF(LEFT(B240,1)="1","|M305|",IF(LEFT(B240,1)="2","|M310|",IF(AND(LEFT(B240,1)="3",Tabela_BaseM[[#This Row],[CONTA PARTE B]]&lt;&gt;""),"|M305|",IF(LEFT(B240,1)="4","|M312|","")))),      IF(LEFT(B240,1)="1","|M355|",IF(LEFT(B240,1)="2","|M360|",IF(AND(LEFT(B240,1)="3",Tabela_BaseM[[#This Row],[CONTA PARTE B]]&lt;&gt;""),"|M355|",IF(LEFT(B240,1)="4","|M362|","")))))</f>
        <v/>
      </c>
      <c r="M240" t="str">
        <f>IF(LEFT(Tabela_BaseM[[#This Row],[TIPO RELACIONAMENTO]],1)="3",(IF(A240="IRPJ",IF(LEFT(B240,1)="1","|M305|",IF(LEFT(B240,1)="2","|M310|",IF(LEFT(B240,1)="3","|M310|",IF(LEFT(B240,1)="4","|M312|","")))),IF(LEFT(B240,1)="1","|M355|",IF(LEFT(B240,1)="2","|M360|",IF(LEFT(B240,1)="3","|M360|",IF(LEFT(B240,1)="4","|M362|","")))))),"")</f>
        <v/>
      </c>
      <c r="N24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0" t="e">
        <f>IF(A240="IRPJ",("|M300|"&amp;LEFT(C240,FIND("-",C240)-1)&amp;"|"&amp;RIGHT(C240,LEN(C240)-FIND("-",C240))&amp;"|"&amp;LEFT(D240,1)&amp;"|"&amp;LEFT(B240,1)&amp;"|"&amp;Tabela_BaseM[[#This Row],[Valor]]&amp;"|"&amp;Tabela_BaseM[[#This Row],[HISTÓRICO]]&amp;"|"),("|M350|"&amp;LEFT(C240,FIND("-",C240)-1)&amp;"|"&amp;RIGHT(C240,LEN(C240)-FIND("-",C240))&amp;"|"&amp;LEFT(D240,1)&amp;"|"&amp;LEFT(B240,1)&amp;"|"&amp;Tabela_BaseM[[#This Row],[Valor]]&amp;"|"&amp;Tabela_BaseM[[#This Row],[HISTÓRICO]]&amp;"|"))</f>
        <v>#VALUE!</v>
      </c>
    </row>
    <row r="241" spans="10:17" x14ac:dyDescent="0.25">
      <c r="J241" s="11"/>
      <c r="L241" t="str">
        <f>IF(A241="IRPJ",IF(LEFT(B241,1)="1","|M305|",IF(LEFT(B241,1)="2","|M310|",IF(AND(LEFT(B241,1)="3",Tabela_BaseM[[#This Row],[CONTA PARTE B]]&lt;&gt;""),"|M305|",IF(LEFT(B241,1)="4","|M312|","")))),      IF(LEFT(B241,1)="1","|M355|",IF(LEFT(B241,1)="2","|M360|",IF(AND(LEFT(B241,1)="3",Tabela_BaseM[[#This Row],[CONTA PARTE B]]&lt;&gt;""),"|M355|",IF(LEFT(B241,1)="4","|M362|","")))))</f>
        <v/>
      </c>
      <c r="M241" t="str">
        <f>IF(LEFT(Tabela_BaseM[[#This Row],[TIPO RELACIONAMENTO]],1)="3",(IF(A241="IRPJ",IF(LEFT(B241,1)="1","|M305|",IF(LEFT(B241,1)="2","|M310|",IF(LEFT(B241,1)="3","|M310|",IF(LEFT(B241,1)="4","|M312|","")))),IF(LEFT(B241,1)="1","|M355|",IF(LEFT(B241,1)="2","|M360|",IF(LEFT(B241,1)="3","|M360|",IF(LEFT(B241,1)="4","|M362|","")))))),"")</f>
        <v/>
      </c>
      <c r="N24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1" t="e">
        <f>IF(A241="IRPJ",("|M300|"&amp;LEFT(C241,FIND("-",C241)-1)&amp;"|"&amp;RIGHT(C241,LEN(C241)-FIND("-",C241))&amp;"|"&amp;LEFT(D241,1)&amp;"|"&amp;LEFT(B241,1)&amp;"|"&amp;Tabela_BaseM[[#This Row],[Valor]]&amp;"|"&amp;Tabela_BaseM[[#This Row],[HISTÓRICO]]&amp;"|"),("|M350|"&amp;LEFT(C241,FIND("-",C241)-1)&amp;"|"&amp;RIGHT(C241,LEN(C241)-FIND("-",C241))&amp;"|"&amp;LEFT(D241,1)&amp;"|"&amp;LEFT(B241,1)&amp;"|"&amp;Tabela_BaseM[[#This Row],[Valor]]&amp;"|"&amp;Tabela_BaseM[[#This Row],[HISTÓRICO]]&amp;"|"))</f>
        <v>#VALUE!</v>
      </c>
    </row>
    <row r="242" spans="10:17" x14ac:dyDescent="0.25">
      <c r="J242" s="11"/>
      <c r="L242" t="str">
        <f>IF(A242="IRPJ",IF(LEFT(B242,1)="1","|M305|",IF(LEFT(B242,1)="2","|M310|",IF(AND(LEFT(B242,1)="3",Tabela_BaseM[[#This Row],[CONTA PARTE B]]&lt;&gt;""),"|M305|",IF(LEFT(B242,1)="4","|M312|","")))),      IF(LEFT(B242,1)="1","|M355|",IF(LEFT(B242,1)="2","|M360|",IF(AND(LEFT(B242,1)="3",Tabela_BaseM[[#This Row],[CONTA PARTE B]]&lt;&gt;""),"|M355|",IF(LEFT(B242,1)="4","|M362|","")))))</f>
        <v/>
      </c>
      <c r="M242" t="str">
        <f>IF(LEFT(Tabela_BaseM[[#This Row],[TIPO RELACIONAMENTO]],1)="3",(IF(A242="IRPJ",IF(LEFT(B242,1)="1","|M305|",IF(LEFT(B242,1)="2","|M310|",IF(LEFT(B242,1)="3","|M310|",IF(LEFT(B242,1)="4","|M312|","")))),IF(LEFT(B242,1)="1","|M355|",IF(LEFT(B242,1)="2","|M360|",IF(LEFT(B242,1)="3","|M360|",IF(LEFT(B242,1)="4","|M362|","")))))),"")</f>
        <v/>
      </c>
      <c r="N24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2" t="e">
        <f>IF(A242="IRPJ",("|M300|"&amp;LEFT(C242,FIND("-",C242)-1)&amp;"|"&amp;RIGHT(C242,LEN(C242)-FIND("-",C242))&amp;"|"&amp;LEFT(D242,1)&amp;"|"&amp;LEFT(B242,1)&amp;"|"&amp;Tabela_BaseM[[#This Row],[Valor]]&amp;"|"&amp;Tabela_BaseM[[#This Row],[HISTÓRICO]]&amp;"|"),("|M350|"&amp;LEFT(C242,FIND("-",C242)-1)&amp;"|"&amp;RIGHT(C242,LEN(C242)-FIND("-",C242))&amp;"|"&amp;LEFT(D242,1)&amp;"|"&amp;LEFT(B242,1)&amp;"|"&amp;Tabela_BaseM[[#This Row],[Valor]]&amp;"|"&amp;Tabela_BaseM[[#This Row],[HISTÓRICO]]&amp;"|"))</f>
        <v>#VALUE!</v>
      </c>
    </row>
    <row r="243" spans="10:17" x14ac:dyDescent="0.25">
      <c r="J243" s="11"/>
      <c r="L243" t="str">
        <f>IF(A243="IRPJ",IF(LEFT(B243,1)="1","|M305|",IF(LEFT(B243,1)="2","|M310|",IF(AND(LEFT(B243,1)="3",Tabela_BaseM[[#This Row],[CONTA PARTE B]]&lt;&gt;""),"|M305|",IF(LEFT(B243,1)="4","|M312|","")))),      IF(LEFT(B243,1)="1","|M355|",IF(LEFT(B243,1)="2","|M360|",IF(AND(LEFT(B243,1)="3",Tabela_BaseM[[#This Row],[CONTA PARTE B]]&lt;&gt;""),"|M355|",IF(LEFT(B243,1)="4","|M362|","")))))</f>
        <v/>
      </c>
      <c r="M243" t="str">
        <f>IF(LEFT(Tabela_BaseM[[#This Row],[TIPO RELACIONAMENTO]],1)="3",(IF(A243="IRPJ",IF(LEFT(B243,1)="1","|M305|",IF(LEFT(B243,1)="2","|M310|",IF(LEFT(B243,1)="3","|M310|",IF(LEFT(B243,1)="4","|M312|","")))),IF(LEFT(B243,1)="1","|M355|",IF(LEFT(B243,1)="2","|M360|",IF(LEFT(B243,1)="3","|M360|",IF(LEFT(B243,1)="4","|M362|","")))))),"")</f>
        <v/>
      </c>
      <c r="N24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3" t="e">
        <f>IF(A243="IRPJ",("|M300|"&amp;LEFT(C243,FIND("-",C243)-1)&amp;"|"&amp;RIGHT(C243,LEN(C243)-FIND("-",C243))&amp;"|"&amp;LEFT(D243,1)&amp;"|"&amp;LEFT(B243,1)&amp;"|"&amp;Tabela_BaseM[[#This Row],[Valor]]&amp;"|"&amp;Tabela_BaseM[[#This Row],[HISTÓRICO]]&amp;"|"),("|M350|"&amp;LEFT(C243,FIND("-",C243)-1)&amp;"|"&amp;RIGHT(C243,LEN(C243)-FIND("-",C243))&amp;"|"&amp;LEFT(D243,1)&amp;"|"&amp;LEFT(B243,1)&amp;"|"&amp;Tabela_BaseM[[#This Row],[Valor]]&amp;"|"&amp;Tabela_BaseM[[#This Row],[HISTÓRICO]]&amp;"|"))</f>
        <v>#VALUE!</v>
      </c>
    </row>
    <row r="244" spans="10:17" x14ac:dyDescent="0.25">
      <c r="J244" s="11"/>
      <c r="L244" t="str">
        <f>IF(A244="IRPJ",IF(LEFT(B244,1)="1","|M305|",IF(LEFT(B244,1)="2","|M310|",IF(AND(LEFT(B244,1)="3",Tabela_BaseM[[#This Row],[CONTA PARTE B]]&lt;&gt;""),"|M305|",IF(LEFT(B244,1)="4","|M312|","")))),      IF(LEFT(B244,1)="1","|M355|",IF(LEFT(B244,1)="2","|M360|",IF(AND(LEFT(B244,1)="3",Tabela_BaseM[[#This Row],[CONTA PARTE B]]&lt;&gt;""),"|M355|",IF(LEFT(B244,1)="4","|M362|","")))))</f>
        <v/>
      </c>
      <c r="M244" t="str">
        <f>IF(LEFT(Tabela_BaseM[[#This Row],[TIPO RELACIONAMENTO]],1)="3",(IF(A244="IRPJ",IF(LEFT(B244,1)="1","|M305|",IF(LEFT(B244,1)="2","|M310|",IF(LEFT(B244,1)="3","|M310|",IF(LEFT(B244,1)="4","|M312|","")))),IF(LEFT(B244,1)="1","|M355|",IF(LEFT(B244,1)="2","|M360|",IF(LEFT(B244,1)="3","|M360|",IF(LEFT(B244,1)="4","|M362|","")))))),"")</f>
        <v/>
      </c>
      <c r="N24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4" t="e">
        <f>IF(A244="IRPJ",("|M300|"&amp;LEFT(C244,FIND("-",C244)-1)&amp;"|"&amp;RIGHT(C244,LEN(C244)-FIND("-",C244))&amp;"|"&amp;LEFT(D244,1)&amp;"|"&amp;LEFT(B244,1)&amp;"|"&amp;Tabela_BaseM[[#This Row],[Valor]]&amp;"|"&amp;Tabela_BaseM[[#This Row],[HISTÓRICO]]&amp;"|"),("|M350|"&amp;LEFT(C244,FIND("-",C244)-1)&amp;"|"&amp;RIGHT(C244,LEN(C244)-FIND("-",C244))&amp;"|"&amp;LEFT(D244,1)&amp;"|"&amp;LEFT(B244,1)&amp;"|"&amp;Tabela_BaseM[[#This Row],[Valor]]&amp;"|"&amp;Tabela_BaseM[[#This Row],[HISTÓRICO]]&amp;"|"))</f>
        <v>#VALUE!</v>
      </c>
    </row>
    <row r="245" spans="10:17" x14ac:dyDescent="0.25">
      <c r="J245" s="11"/>
      <c r="L245" t="str">
        <f>IF(A245="IRPJ",IF(LEFT(B245,1)="1","|M305|",IF(LEFT(B245,1)="2","|M310|",IF(AND(LEFT(B245,1)="3",Tabela_BaseM[[#This Row],[CONTA PARTE B]]&lt;&gt;""),"|M305|",IF(LEFT(B245,1)="4","|M312|","")))),      IF(LEFT(B245,1)="1","|M355|",IF(LEFT(B245,1)="2","|M360|",IF(AND(LEFT(B245,1)="3",Tabela_BaseM[[#This Row],[CONTA PARTE B]]&lt;&gt;""),"|M355|",IF(LEFT(B245,1)="4","|M362|","")))))</f>
        <v/>
      </c>
      <c r="M245" t="str">
        <f>IF(LEFT(Tabela_BaseM[[#This Row],[TIPO RELACIONAMENTO]],1)="3",(IF(A245="IRPJ",IF(LEFT(B245,1)="1","|M305|",IF(LEFT(B245,1)="2","|M310|",IF(LEFT(B245,1)="3","|M310|",IF(LEFT(B245,1)="4","|M312|","")))),IF(LEFT(B245,1)="1","|M355|",IF(LEFT(B245,1)="2","|M360|",IF(LEFT(B245,1)="3","|M360|",IF(LEFT(B245,1)="4","|M362|","")))))),"")</f>
        <v/>
      </c>
      <c r="N24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5" t="e">
        <f>IF(A245="IRPJ",("|M300|"&amp;LEFT(C245,FIND("-",C245)-1)&amp;"|"&amp;RIGHT(C245,LEN(C245)-FIND("-",C245))&amp;"|"&amp;LEFT(D245,1)&amp;"|"&amp;LEFT(B245,1)&amp;"|"&amp;Tabela_BaseM[[#This Row],[Valor]]&amp;"|"&amp;Tabela_BaseM[[#This Row],[HISTÓRICO]]&amp;"|"),("|M350|"&amp;LEFT(C245,FIND("-",C245)-1)&amp;"|"&amp;RIGHT(C245,LEN(C245)-FIND("-",C245))&amp;"|"&amp;LEFT(D245,1)&amp;"|"&amp;LEFT(B245,1)&amp;"|"&amp;Tabela_BaseM[[#This Row],[Valor]]&amp;"|"&amp;Tabela_BaseM[[#This Row],[HISTÓRICO]]&amp;"|"))</f>
        <v>#VALUE!</v>
      </c>
    </row>
    <row r="246" spans="10:17" x14ac:dyDescent="0.25">
      <c r="J246" s="11"/>
      <c r="L246" t="str">
        <f>IF(A246="IRPJ",IF(LEFT(B246,1)="1","|M305|",IF(LEFT(B246,1)="2","|M310|",IF(AND(LEFT(B246,1)="3",Tabela_BaseM[[#This Row],[CONTA PARTE B]]&lt;&gt;""),"|M305|",IF(LEFT(B246,1)="4","|M312|","")))),      IF(LEFT(B246,1)="1","|M355|",IF(LEFT(B246,1)="2","|M360|",IF(AND(LEFT(B246,1)="3",Tabela_BaseM[[#This Row],[CONTA PARTE B]]&lt;&gt;""),"|M355|",IF(LEFT(B246,1)="4","|M362|","")))))</f>
        <v/>
      </c>
      <c r="M246" t="str">
        <f>IF(LEFT(Tabela_BaseM[[#This Row],[TIPO RELACIONAMENTO]],1)="3",(IF(A246="IRPJ",IF(LEFT(B246,1)="1","|M305|",IF(LEFT(B246,1)="2","|M310|",IF(LEFT(B246,1)="3","|M310|",IF(LEFT(B246,1)="4","|M312|","")))),IF(LEFT(B246,1)="1","|M355|",IF(LEFT(B246,1)="2","|M360|",IF(LEFT(B246,1)="3","|M360|",IF(LEFT(B246,1)="4","|M362|","")))))),"")</f>
        <v/>
      </c>
      <c r="N24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6" t="e">
        <f>IF(A246="IRPJ",("|M300|"&amp;LEFT(C246,FIND("-",C246)-1)&amp;"|"&amp;RIGHT(C246,LEN(C246)-FIND("-",C246))&amp;"|"&amp;LEFT(D246,1)&amp;"|"&amp;LEFT(B246,1)&amp;"|"&amp;Tabela_BaseM[[#This Row],[Valor]]&amp;"|"&amp;Tabela_BaseM[[#This Row],[HISTÓRICO]]&amp;"|"),("|M350|"&amp;LEFT(C246,FIND("-",C246)-1)&amp;"|"&amp;RIGHT(C246,LEN(C246)-FIND("-",C246))&amp;"|"&amp;LEFT(D246,1)&amp;"|"&amp;LEFT(B246,1)&amp;"|"&amp;Tabela_BaseM[[#This Row],[Valor]]&amp;"|"&amp;Tabela_BaseM[[#This Row],[HISTÓRICO]]&amp;"|"))</f>
        <v>#VALUE!</v>
      </c>
    </row>
    <row r="247" spans="10:17" x14ac:dyDescent="0.25">
      <c r="J247" s="11"/>
      <c r="L247" t="str">
        <f>IF(A247="IRPJ",IF(LEFT(B247,1)="1","|M305|",IF(LEFT(B247,1)="2","|M310|",IF(AND(LEFT(B247,1)="3",Tabela_BaseM[[#This Row],[CONTA PARTE B]]&lt;&gt;""),"|M305|",IF(LEFT(B247,1)="4","|M312|","")))),      IF(LEFT(B247,1)="1","|M355|",IF(LEFT(B247,1)="2","|M360|",IF(AND(LEFT(B247,1)="3",Tabela_BaseM[[#This Row],[CONTA PARTE B]]&lt;&gt;""),"|M355|",IF(LEFT(B247,1)="4","|M362|","")))))</f>
        <v/>
      </c>
      <c r="M247" t="str">
        <f>IF(LEFT(Tabela_BaseM[[#This Row],[TIPO RELACIONAMENTO]],1)="3",(IF(A247="IRPJ",IF(LEFT(B247,1)="1","|M305|",IF(LEFT(B247,1)="2","|M310|",IF(LEFT(B247,1)="3","|M310|",IF(LEFT(B247,1)="4","|M312|","")))),IF(LEFT(B247,1)="1","|M355|",IF(LEFT(B247,1)="2","|M360|",IF(LEFT(B247,1)="3","|M360|",IF(LEFT(B247,1)="4","|M362|","")))))),"")</f>
        <v/>
      </c>
      <c r="N24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7" t="e">
        <f>IF(A247="IRPJ",("|M300|"&amp;LEFT(C247,FIND("-",C247)-1)&amp;"|"&amp;RIGHT(C247,LEN(C247)-FIND("-",C247))&amp;"|"&amp;LEFT(D247,1)&amp;"|"&amp;LEFT(B247,1)&amp;"|"&amp;Tabela_BaseM[[#This Row],[Valor]]&amp;"|"&amp;Tabela_BaseM[[#This Row],[HISTÓRICO]]&amp;"|"),("|M350|"&amp;LEFT(C247,FIND("-",C247)-1)&amp;"|"&amp;RIGHT(C247,LEN(C247)-FIND("-",C247))&amp;"|"&amp;LEFT(D247,1)&amp;"|"&amp;LEFT(B247,1)&amp;"|"&amp;Tabela_BaseM[[#This Row],[Valor]]&amp;"|"&amp;Tabela_BaseM[[#This Row],[HISTÓRICO]]&amp;"|"))</f>
        <v>#VALUE!</v>
      </c>
    </row>
    <row r="248" spans="10:17" x14ac:dyDescent="0.25">
      <c r="J248" s="11"/>
      <c r="L248" t="str">
        <f>IF(A248="IRPJ",IF(LEFT(B248,1)="1","|M305|",IF(LEFT(B248,1)="2","|M310|",IF(AND(LEFT(B248,1)="3",Tabela_BaseM[[#This Row],[CONTA PARTE B]]&lt;&gt;""),"|M305|",IF(LEFT(B248,1)="4","|M312|","")))),      IF(LEFT(B248,1)="1","|M355|",IF(LEFT(B248,1)="2","|M360|",IF(AND(LEFT(B248,1)="3",Tabela_BaseM[[#This Row],[CONTA PARTE B]]&lt;&gt;""),"|M355|",IF(LEFT(B248,1)="4","|M362|","")))))</f>
        <v/>
      </c>
      <c r="M248" t="str">
        <f>IF(LEFT(Tabela_BaseM[[#This Row],[TIPO RELACIONAMENTO]],1)="3",(IF(A248="IRPJ",IF(LEFT(B248,1)="1","|M305|",IF(LEFT(B248,1)="2","|M310|",IF(LEFT(B248,1)="3","|M310|",IF(LEFT(B248,1)="4","|M312|","")))),IF(LEFT(B248,1)="1","|M355|",IF(LEFT(B248,1)="2","|M360|",IF(LEFT(B248,1)="3","|M360|",IF(LEFT(B248,1)="4","|M362|","")))))),"")</f>
        <v/>
      </c>
      <c r="N24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8" t="e">
        <f>IF(A248="IRPJ",("|M300|"&amp;LEFT(C248,FIND("-",C248)-1)&amp;"|"&amp;RIGHT(C248,LEN(C248)-FIND("-",C248))&amp;"|"&amp;LEFT(D248,1)&amp;"|"&amp;LEFT(B248,1)&amp;"|"&amp;Tabela_BaseM[[#This Row],[Valor]]&amp;"|"&amp;Tabela_BaseM[[#This Row],[HISTÓRICO]]&amp;"|"),("|M350|"&amp;LEFT(C248,FIND("-",C248)-1)&amp;"|"&amp;RIGHT(C248,LEN(C248)-FIND("-",C248))&amp;"|"&amp;LEFT(D248,1)&amp;"|"&amp;LEFT(B248,1)&amp;"|"&amp;Tabela_BaseM[[#This Row],[Valor]]&amp;"|"&amp;Tabela_BaseM[[#This Row],[HISTÓRICO]]&amp;"|"))</f>
        <v>#VALUE!</v>
      </c>
    </row>
    <row r="249" spans="10:17" x14ac:dyDescent="0.25">
      <c r="J249" s="11"/>
      <c r="L249" t="str">
        <f>IF(A249="IRPJ",IF(LEFT(B249,1)="1","|M305|",IF(LEFT(B249,1)="2","|M310|",IF(AND(LEFT(B249,1)="3",Tabela_BaseM[[#This Row],[CONTA PARTE B]]&lt;&gt;""),"|M305|",IF(LEFT(B249,1)="4","|M312|","")))),      IF(LEFT(B249,1)="1","|M355|",IF(LEFT(B249,1)="2","|M360|",IF(AND(LEFT(B249,1)="3",Tabela_BaseM[[#This Row],[CONTA PARTE B]]&lt;&gt;""),"|M355|",IF(LEFT(B249,1)="4","|M362|","")))))</f>
        <v/>
      </c>
      <c r="M249" t="str">
        <f>IF(LEFT(Tabela_BaseM[[#This Row],[TIPO RELACIONAMENTO]],1)="3",(IF(A249="IRPJ",IF(LEFT(B249,1)="1","|M305|",IF(LEFT(B249,1)="2","|M310|",IF(LEFT(B249,1)="3","|M310|",IF(LEFT(B249,1)="4","|M312|","")))),IF(LEFT(B249,1)="1","|M355|",IF(LEFT(B249,1)="2","|M360|",IF(LEFT(B249,1)="3","|M360|",IF(LEFT(B249,1)="4","|M362|","")))))),"")</f>
        <v/>
      </c>
      <c r="N24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4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4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49" t="e">
        <f>IF(A249="IRPJ",("|M300|"&amp;LEFT(C249,FIND("-",C249)-1)&amp;"|"&amp;RIGHT(C249,LEN(C249)-FIND("-",C249))&amp;"|"&amp;LEFT(D249,1)&amp;"|"&amp;LEFT(B249,1)&amp;"|"&amp;Tabela_BaseM[[#This Row],[Valor]]&amp;"|"&amp;Tabela_BaseM[[#This Row],[HISTÓRICO]]&amp;"|"),("|M350|"&amp;LEFT(C249,FIND("-",C249)-1)&amp;"|"&amp;RIGHT(C249,LEN(C249)-FIND("-",C249))&amp;"|"&amp;LEFT(D249,1)&amp;"|"&amp;LEFT(B249,1)&amp;"|"&amp;Tabela_BaseM[[#This Row],[Valor]]&amp;"|"&amp;Tabela_BaseM[[#This Row],[HISTÓRICO]]&amp;"|"))</f>
        <v>#VALUE!</v>
      </c>
    </row>
    <row r="250" spans="10:17" x14ac:dyDescent="0.25">
      <c r="J250" s="11"/>
      <c r="L250" t="str">
        <f>IF(A250="IRPJ",IF(LEFT(B250,1)="1","|M305|",IF(LEFT(B250,1)="2","|M310|",IF(AND(LEFT(B250,1)="3",Tabela_BaseM[[#This Row],[CONTA PARTE B]]&lt;&gt;""),"|M305|",IF(LEFT(B250,1)="4","|M312|","")))),      IF(LEFT(B250,1)="1","|M355|",IF(LEFT(B250,1)="2","|M360|",IF(AND(LEFT(B250,1)="3",Tabela_BaseM[[#This Row],[CONTA PARTE B]]&lt;&gt;""),"|M355|",IF(LEFT(B250,1)="4","|M362|","")))))</f>
        <v/>
      </c>
      <c r="M250" t="str">
        <f>IF(LEFT(Tabela_BaseM[[#This Row],[TIPO RELACIONAMENTO]],1)="3",(IF(A250="IRPJ",IF(LEFT(B250,1)="1","|M305|",IF(LEFT(B250,1)="2","|M310|",IF(LEFT(B250,1)="3","|M310|",IF(LEFT(B250,1)="4","|M312|","")))),IF(LEFT(B250,1)="1","|M355|",IF(LEFT(B250,1)="2","|M360|",IF(LEFT(B250,1)="3","|M360|",IF(LEFT(B250,1)="4","|M362|","")))))),"")</f>
        <v/>
      </c>
      <c r="N25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0" t="e">
        <f>IF(A250="IRPJ",("|M300|"&amp;LEFT(C250,FIND("-",C250)-1)&amp;"|"&amp;RIGHT(C250,LEN(C250)-FIND("-",C250))&amp;"|"&amp;LEFT(D250,1)&amp;"|"&amp;LEFT(B250,1)&amp;"|"&amp;Tabela_BaseM[[#This Row],[Valor]]&amp;"|"&amp;Tabela_BaseM[[#This Row],[HISTÓRICO]]&amp;"|"),("|M350|"&amp;LEFT(C250,FIND("-",C250)-1)&amp;"|"&amp;RIGHT(C250,LEN(C250)-FIND("-",C250))&amp;"|"&amp;LEFT(D250,1)&amp;"|"&amp;LEFT(B250,1)&amp;"|"&amp;Tabela_BaseM[[#This Row],[Valor]]&amp;"|"&amp;Tabela_BaseM[[#This Row],[HISTÓRICO]]&amp;"|"))</f>
        <v>#VALUE!</v>
      </c>
    </row>
    <row r="251" spans="10:17" x14ac:dyDescent="0.25">
      <c r="J251" s="11"/>
      <c r="L251" t="str">
        <f>IF(A251="IRPJ",IF(LEFT(B251,1)="1","|M305|",IF(LEFT(B251,1)="2","|M310|",IF(AND(LEFT(B251,1)="3",Tabela_BaseM[[#This Row],[CONTA PARTE B]]&lt;&gt;""),"|M305|",IF(LEFT(B251,1)="4","|M312|","")))),      IF(LEFT(B251,1)="1","|M355|",IF(LEFT(B251,1)="2","|M360|",IF(AND(LEFT(B251,1)="3",Tabela_BaseM[[#This Row],[CONTA PARTE B]]&lt;&gt;""),"|M355|",IF(LEFT(B251,1)="4","|M362|","")))))</f>
        <v/>
      </c>
      <c r="M251" t="str">
        <f>IF(LEFT(Tabela_BaseM[[#This Row],[TIPO RELACIONAMENTO]],1)="3",(IF(A251="IRPJ",IF(LEFT(B251,1)="1","|M305|",IF(LEFT(B251,1)="2","|M310|",IF(LEFT(B251,1)="3","|M310|",IF(LEFT(B251,1)="4","|M312|","")))),IF(LEFT(B251,1)="1","|M355|",IF(LEFT(B251,1)="2","|M360|",IF(LEFT(B251,1)="3","|M360|",IF(LEFT(B251,1)="4","|M362|","")))))),"")</f>
        <v/>
      </c>
      <c r="N25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1" t="e">
        <f>IF(A251="IRPJ",("|M300|"&amp;LEFT(C251,FIND("-",C251)-1)&amp;"|"&amp;RIGHT(C251,LEN(C251)-FIND("-",C251))&amp;"|"&amp;LEFT(D251,1)&amp;"|"&amp;LEFT(B251,1)&amp;"|"&amp;Tabela_BaseM[[#This Row],[Valor]]&amp;"|"&amp;Tabela_BaseM[[#This Row],[HISTÓRICO]]&amp;"|"),("|M350|"&amp;LEFT(C251,FIND("-",C251)-1)&amp;"|"&amp;RIGHT(C251,LEN(C251)-FIND("-",C251))&amp;"|"&amp;LEFT(D251,1)&amp;"|"&amp;LEFT(B251,1)&amp;"|"&amp;Tabela_BaseM[[#This Row],[Valor]]&amp;"|"&amp;Tabela_BaseM[[#This Row],[HISTÓRICO]]&amp;"|"))</f>
        <v>#VALUE!</v>
      </c>
    </row>
    <row r="252" spans="10:17" x14ac:dyDescent="0.25">
      <c r="J252" s="11"/>
      <c r="L252" t="str">
        <f>IF(A252="IRPJ",IF(LEFT(B252,1)="1","|M305|",IF(LEFT(B252,1)="2","|M310|",IF(AND(LEFT(B252,1)="3",Tabela_BaseM[[#This Row],[CONTA PARTE B]]&lt;&gt;""),"|M305|",IF(LEFT(B252,1)="4","|M312|","")))),      IF(LEFT(B252,1)="1","|M355|",IF(LEFT(B252,1)="2","|M360|",IF(AND(LEFT(B252,1)="3",Tabela_BaseM[[#This Row],[CONTA PARTE B]]&lt;&gt;""),"|M355|",IF(LEFT(B252,1)="4","|M362|","")))))</f>
        <v/>
      </c>
      <c r="M252" t="str">
        <f>IF(LEFT(Tabela_BaseM[[#This Row],[TIPO RELACIONAMENTO]],1)="3",(IF(A252="IRPJ",IF(LEFT(B252,1)="1","|M305|",IF(LEFT(B252,1)="2","|M310|",IF(LEFT(B252,1)="3","|M310|",IF(LEFT(B252,1)="4","|M312|","")))),IF(LEFT(B252,1)="1","|M355|",IF(LEFT(B252,1)="2","|M360|",IF(LEFT(B252,1)="3","|M360|",IF(LEFT(B252,1)="4","|M362|","")))))),"")</f>
        <v/>
      </c>
      <c r="N25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2" t="e">
        <f>IF(A252="IRPJ",("|M300|"&amp;LEFT(C252,FIND("-",C252)-1)&amp;"|"&amp;RIGHT(C252,LEN(C252)-FIND("-",C252))&amp;"|"&amp;LEFT(D252,1)&amp;"|"&amp;LEFT(B252,1)&amp;"|"&amp;Tabela_BaseM[[#This Row],[Valor]]&amp;"|"&amp;Tabela_BaseM[[#This Row],[HISTÓRICO]]&amp;"|"),("|M350|"&amp;LEFT(C252,FIND("-",C252)-1)&amp;"|"&amp;RIGHT(C252,LEN(C252)-FIND("-",C252))&amp;"|"&amp;LEFT(D252,1)&amp;"|"&amp;LEFT(B252,1)&amp;"|"&amp;Tabela_BaseM[[#This Row],[Valor]]&amp;"|"&amp;Tabela_BaseM[[#This Row],[HISTÓRICO]]&amp;"|"))</f>
        <v>#VALUE!</v>
      </c>
    </row>
    <row r="253" spans="10:17" x14ac:dyDescent="0.25">
      <c r="J253" s="11"/>
      <c r="L253" t="str">
        <f>IF(A253="IRPJ",IF(LEFT(B253,1)="1","|M305|",IF(LEFT(B253,1)="2","|M310|",IF(AND(LEFT(B253,1)="3",Tabela_BaseM[[#This Row],[CONTA PARTE B]]&lt;&gt;""),"|M305|",IF(LEFT(B253,1)="4","|M312|","")))),      IF(LEFT(B253,1)="1","|M355|",IF(LEFT(B253,1)="2","|M360|",IF(AND(LEFT(B253,1)="3",Tabela_BaseM[[#This Row],[CONTA PARTE B]]&lt;&gt;""),"|M355|",IF(LEFT(B253,1)="4","|M362|","")))))</f>
        <v/>
      </c>
      <c r="M253" t="str">
        <f>IF(LEFT(Tabela_BaseM[[#This Row],[TIPO RELACIONAMENTO]],1)="3",(IF(A253="IRPJ",IF(LEFT(B253,1)="1","|M305|",IF(LEFT(B253,1)="2","|M310|",IF(LEFT(B253,1)="3","|M310|",IF(LEFT(B253,1)="4","|M312|","")))),IF(LEFT(B253,1)="1","|M355|",IF(LEFT(B253,1)="2","|M360|",IF(LEFT(B253,1)="3","|M360|",IF(LEFT(B253,1)="4","|M362|","")))))),"")</f>
        <v/>
      </c>
      <c r="N25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3" t="e">
        <f>IF(A253="IRPJ",("|M300|"&amp;LEFT(C253,FIND("-",C253)-1)&amp;"|"&amp;RIGHT(C253,LEN(C253)-FIND("-",C253))&amp;"|"&amp;LEFT(D253,1)&amp;"|"&amp;LEFT(B253,1)&amp;"|"&amp;Tabela_BaseM[[#This Row],[Valor]]&amp;"|"&amp;Tabela_BaseM[[#This Row],[HISTÓRICO]]&amp;"|"),("|M350|"&amp;LEFT(C253,FIND("-",C253)-1)&amp;"|"&amp;RIGHT(C253,LEN(C253)-FIND("-",C253))&amp;"|"&amp;LEFT(D253,1)&amp;"|"&amp;LEFT(B253,1)&amp;"|"&amp;Tabela_BaseM[[#This Row],[Valor]]&amp;"|"&amp;Tabela_BaseM[[#This Row],[HISTÓRICO]]&amp;"|"))</f>
        <v>#VALUE!</v>
      </c>
    </row>
    <row r="254" spans="10:17" x14ac:dyDescent="0.25">
      <c r="J254" s="11"/>
      <c r="L254" t="str">
        <f>IF(A254="IRPJ",IF(LEFT(B254,1)="1","|M305|",IF(LEFT(B254,1)="2","|M310|",IF(AND(LEFT(B254,1)="3",Tabela_BaseM[[#This Row],[CONTA PARTE B]]&lt;&gt;""),"|M305|",IF(LEFT(B254,1)="4","|M312|","")))),      IF(LEFT(B254,1)="1","|M355|",IF(LEFT(B254,1)="2","|M360|",IF(AND(LEFT(B254,1)="3",Tabela_BaseM[[#This Row],[CONTA PARTE B]]&lt;&gt;""),"|M355|",IF(LEFT(B254,1)="4","|M362|","")))))</f>
        <v/>
      </c>
      <c r="M254" t="str">
        <f>IF(LEFT(Tabela_BaseM[[#This Row],[TIPO RELACIONAMENTO]],1)="3",(IF(A254="IRPJ",IF(LEFT(B254,1)="1","|M305|",IF(LEFT(B254,1)="2","|M310|",IF(LEFT(B254,1)="3","|M310|",IF(LEFT(B254,1)="4","|M312|","")))),IF(LEFT(B254,1)="1","|M355|",IF(LEFT(B254,1)="2","|M360|",IF(LEFT(B254,1)="3","|M360|",IF(LEFT(B254,1)="4","|M362|","")))))),"")</f>
        <v/>
      </c>
      <c r="N25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4" t="e">
        <f>IF(A254="IRPJ",("|M300|"&amp;LEFT(C254,FIND("-",C254)-1)&amp;"|"&amp;RIGHT(C254,LEN(C254)-FIND("-",C254))&amp;"|"&amp;LEFT(D254,1)&amp;"|"&amp;LEFT(B254,1)&amp;"|"&amp;Tabela_BaseM[[#This Row],[Valor]]&amp;"|"&amp;Tabela_BaseM[[#This Row],[HISTÓRICO]]&amp;"|"),("|M350|"&amp;LEFT(C254,FIND("-",C254)-1)&amp;"|"&amp;RIGHT(C254,LEN(C254)-FIND("-",C254))&amp;"|"&amp;LEFT(D254,1)&amp;"|"&amp;LEFT(B254,1)&amp;"|"&amp;Tabela_BaseM[[#This Row],[Valor]]&amp;"|"&amp;Tabela_BaseM[[#This Row],[HISTÓRICO]]&amp;"|"))</f>
        <v>#VALUE!</v>
      </c>
    </row>
    <row r="255" spans="10:17" x14ac:dyDescent="0.25">
      <c r="J255" s="11"/>
      <c r="L255" t="str">
        <f>IF(A255="IRPJ",IF(LEFT(B255,1)="1","|M305|",IF(LEFT(B255,1)="2","|M310|",IF(AND(LEFT(B255,1)="3",Tabela_BaseM[[#This Row],[CONTA PARTE B]]&lt;&gt;""),"|M305|",IF(LEFT(B255,1)="4","|M312|","")))),      IF(LEFT(B255,1)="1","|M355|",IF(LEFT(B255,1)="2","|M360|",IF(AND(LEFT(B255,1)="3",Tabela_BaseM[[#This Row],[CONTA PARTE B]]&lt;&gt;""),"|M355|",IF(LEFT(B255,1)="4","|M362|","")))))</f>
        <v/>
      </c>
      <c r="M255" t="str">
        <f>IF(LEFT(Tabela_BaseM[[#This Row],[TIPO RELACIONAMENTO]],1)="3",(IF(A255="IRPJ",IF(LEFT(B255,1)="1","|M305|",IF(LEFT(B255,1)="2","|M310|",IF(LEFT(B255,1)="3","|M310|",IF(LEFT(B255,1)="4","|M312|","")))),IF(LEFT(B255,1)="1","|M355|",IF(LEFT(B255,1)="2","|M360|",IF(LEFT(B255,1)="3","|M360|",IF(LEFT(B255,1)="4","|M362|","")))))),"")</f>
        <v/>
      </c>
      <c r="N25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5" t="e">
        <f>IF(A255="IRPJ",("|M300|"&amp;LEFT(C255,FIND("-",C255)-1)&amp;"|"&amp;RIGHT(C255,LEN(C255)-FIND("-",C255))&amp;"|"&amp;LEFT(D255,1)&amp;"|"&amp;LEFT(B255,1)&amp;"|"&amp;Tabela_BaseM[[#This Row],[Valor]]&amp;"|"&amp;Tabela_BaseM[[#This Row],[HISTÓRICO]]&amp;"|"),("|M350|"&amp;LEFT(C255,FIND("-",C255)-1)&amp;"|"&amp;RIGHT(C255,LEN(C255)-FIND("-",C255))&amp;"|"&amp;LEFT(D255,1)&amp;"|"&amp;LEFT(B255,1)&amp;"|"&amp;Tabela_BaseM[[#This Row],[Valor]]&amp;"|"&amp;Tabela_BaseM[[#This Row],[HISTÓRICO]]&amp;"|"))</f>
        <v>#VALUE!</v>
      </c>
    </row>
    <row r="256" spans="10:17" x14ac:dyDescent="0.25">
      <c r="J256" s="11"/>
      <c r="L256" t="str">
        <f>IF(A256="IRPJ",IF(LEFT(B256,1)="1","|M305|",IF(LEFT(B256,1)="2","|M310|",IF(AND(LEFT(B256,1)="3",Tabela_BaseM[[#This Row],[CONTA PARTE B]]&lt;&gt;""),"|M305|",IF(LEFT(B256,1)="4","|M312|","")))),      IF(LEFT(B256,1)="1","|M355|",IF(LEFT(B256,1)="2","|M360|",IF(AND(LEFT(B256,1)="3",Tabela_BaseM[[#This Row],[CONTA PARTE B]]&lt;&gt;""),"|M355|",IF(LEFT(B256,1)="4","|M362|","")))))</f>
        <v/>
      </c>
      <c r="M256" t="str">
        <f>IF(LEFT(Tabela_BaseM[[#This Row],[TIPO RELACIONAMENTO]],1)="3",(IF(A256="IRPJ",IF(LEFT(B256,1)="1","|M305|",IF(LEFT(B256,1)="2","|M310|",IF(LEFT(B256,1)="3","|M310|",IF(LEFT(B256,1)="4","|M312|","")))),IF(LEFT(B256,1)="1","|M355|",IF(LEFT(B256,1)="2","|M360|",IF(LEFT(B256,1)="3","|M360|",IF(LEFT(B256,1)="4","|M362|","")))))),"")</f>
        <v/>
      </c>
      <c r="N25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6" t="e">
        <f>IF(A256="IRPJ",("|M300|"&amp;LEFT(C256,FIND("-",C256)-1)&amp;"|"&amp;RIGHT(C256,LEN(C256)-FIND("-",C256))&amp;"|"&amp;LEFT(D256,1)&amp;"|"&amp;LEFT(B256,1)&amp;"|"&amp;Tabela_BaseM[[#This Row],[Valor]]&amp;"|"&amp;Tabela_BaseM[[#This Row],[HISTÓRICO]]&amp;"|"),("|M350|"&amp;LEFT(C256,FIND("-",C256)-1)&amp;"|"&amp;RIGHT(C256,LEN(C256)-FIND("-",C256))&amp;"|"&amp;LEFT(D256,1)&amp;"|"&amp;LEFT(B256,1)&amp;"|"&amp;Tabela_BaseM[[#This Row],[Valor]]&amp;"|"&amp;Tabela_BaseM[[#This Row],[HISTÓRICO]]&amp;"|"))</f>
        <v>#VALUE!</v>
      </c>
    </row>
    <row r="257" spans="10:17" x14ac:dyDescent="0.25">
      <c r="J257" s="11"/>
      <c r="L257" t="str">
        <f>IF(A257="IRPJ",IF(LEFT(B257,1)="1","|M305|",IF(LEFT(B257,1)="2","|M310|",IF(AND(LEFT(B257,1)="3",Tabela_BaseM[[#This Row],[CONTA PARTE B]]&lt;&gt;""),"|M305|",IF(LEFT(B257,1)="4","|M312|","")))),      IF(LEFT(B257,1)="1","|M355|",IF(LEFT(B257,1)="2","|M360|",IF(AND(LEFT(B257,1)="3",Tabela_BaseM[[#This Row],[CONTA PARTE B]]&lt;&gt;""),"|M355|",IF(LEFT(B257,1)="4","|M362|","")))))</f>
        <v/>
      </c>
      <c r="M257" t="str">
        <f>IF(LEFT(Tabela_BaseM[[#This Row],[TIPO RELACIONAMENTO]],1)="3",(IF(A257="IRPJ",IF(LEFT(B257,1)="1","|M305|",IF(LEFT(B257,1)="2","|M310|",IF(LEFT(B257,1)="3","|M310|",IF(LEFT(B257,1)="4","|M312|","")))),IF(LEFT(B257,1)="1","|M355|",IF(LEFT(B257,1)="2","|M360|",IF(LEFT(B257,1)="3","|M360|",IF(LEFT(B257,1)="4","|M362|","")))))),"")</f>
        <v/>
      </c>
      <c r="N25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7" t="e">
        <f>IF(A257="IRPJ",("|M300|"&amp;LEFT(C257,FIND("-",C257)-1)&amp;"|"&amp;RIGHT(C257,LEN(C257)-FIND("-",C257))&amp;"|"&amp;LEFT(D257,1)&amp;"|"&amp;LEFT(B257,1)&amp;"|"&amp;Tabela_BaseM[[#This Row],[Valor]]&amp;"|"&amp;Tabela_BaseM[[#This Row],[HISTÓRICO]]&amp;"|"),("|M350|"&amp;LEFT(C257,FIND("-",C257)-1)&amp;"|"&amp;RIGHT(C257,LEN(C257)-FIND("-",C257))&amp;"|"&amp;LEFT(D257,1)&amp;"|"&amp;LEFT(B257,1)&amp;"|"&amp;Tabela_BaseM[[#This Row],[Valor]]&amp;"|"&amp;Tabela_BaseM[[#This Row],[HISTÓRICO]]&amp;"|"))</f>
        <v>#VALUE!</v>
      </c>
    </row>
    <row r="258" spans="10:17" x14ac:dyDescent="0.25">
      <c r="J258" s="11"/>
      <c r="L258" t="str">
        <f>IF(A258="IRPJ",IF(LEFT(B258,1)="1","|M305|",IF(LEFT(B258,1)="2","|M310|",IF(AND(LEFT(B258,1)="3",Tabela_BaseM[[#This Row],[CONTA PARTE B]]&lt;&gt;""),"|M305|",IF(LEFT(B258,1)="4","|M312|","")))),      IF(LEFT(B258,1)="1","|M355|",IF(LEFT(B258,1)="2","|M360|",IF(AND(LEFT(B258,1)="3",Tabela_BaseM[[#This Row],[CONTA PARTE B]]&lt;&gt;""),"|M355|",IF(LEFT(B258,1)="4","|M362|","")))))</f>
        <v/>
      </c>
      <c r="M258" t="str">
        <f>IF(LEFT(Tabela_BaseM[[#This Row],[TIPO RELACIONAMENTO]],1)="3",(IF(A258="IRPJ",IF(LEFT(B258,1)="1","|M305|",IF(LEFT(B258,1)="2","|M310|",IF(LEFT(B258,1)="3","|M310|",IF(LEFT(B258,1)="4","|M312|","")))),IF(LEFT(B258,1)="1","|M355|",IF(LEFT(B258,1)="2","|M360|",IF(LEFT(B258,1)="3","|M360|",IF(LEFT(B258,1)="4","|M362|","")))))),"")</f>
        <v/>
      </c>
      <c r="N25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8" t="e">
        <f>IF(A258="IRPJ",("|M300|"&amp;LEFT(C258,FIND("-",C258)-1)&amp;"|"&amp;RIGHT(C258,LEN(C258)-FIND("-",C258))&amp;"|"&amp;LEFT(D258,1)&amp;"|"&amp;LEFT(B258,1)&amp;"|"&amp;Tabela_BaseM[[#This Row],[Valor]]&amp;"|"&amp;Tabela_BaseM[[#This Row],[HISTÓRICO]]&amp;"|"),("|M350|"&amp;LEFT(C258,FIND("-",C258)-1)&amp;"|"&amp;RIGHT(C258,LEN(C258)-FIND("-",C258))&amp;"|"&amp;LEFT(D258,1)&amp;"|"&amp;LEFT(B258,1)&amp;"|"&amp;Tabela_BaseM[[#This Row],[Valor]]&amp;"|"&amp;Tabela_BaseM[[#This Row],[HISTÓRICO]]&amp;"|"))</f>
        <v>#VALUE!</v>
      </c>
    </row>
    <row r="259" spans="10:17" x14ac:dyDescent="0.25">
      <c r="J259" s="11"/>
      <c r="L259" t="str">
        <f>IF(A259="IRPJ",IF(LEFT(B259,1)="1","|M305|",IF(LEFT(B259,1)="2","|M310|",IF(AND(LEFT(B259,1)="3",Tabela_BaseM[[#This Row],[CONTA PARTE B]]&lt;&gt;""),"|M305|",IF(LEFT(B259,1)="4","|M312|","")))),      IF(LEFT(B259,1)="1","|M355|",IF(LEFT(B259,1)="2","|M360|",IF(AND(LEFT(B259,1)="3",Tabela_BaseM[[#This Row],[CONTA PARTE B]]&lt;&gt;""),"|M355|",IF(LEFT(B259,1)="4","|M362|","")))))</f>
        <v/>
      </c>
      <c r="M259" t="str">
        <f>IF(LEFT(Tabela_BaseM[[#This Row],[TIPO RELACIONAMENTO]],1)="3",(IF(A259="IRPJ",IF(LEFT(B259,1)="1","|M305|",IF(LEFT(B259,1)="2","|M310|",IF(LEFT(B259,1)="3","|M310|",IF(LEFT(B259,1)="4","|M312|","")))),IF(LEFT(B259,1)="1","|M355|",IF(LEFT(B259,1)="2","|M360|",IF(LEFT(B259,1)="3","|M360|",IF(LEFT(B259,1)="4","|M362|","")))))),"")</f>
        <v/>
      </c>
      <c r="N25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5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5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59" t="e">
        <f>IF(A259="IRPJ",("|M300|"&amp;LEFT(C259,FIND("-",C259)-1)&amp;"|"&amp;RIGHT(C259,LEN(C259)-FIND("-",C259))&amp;"|"&amp;LEFT(D259,1)&amp;"|"&amp;LEFT(B259,1)&amp;"|"&amp;Tabela_BaseM[[#This Row],[Valor]]&amp;"|"&amp;Tabela_BaseM[[#This Row],[HISTÓRICO]]&amp;"|"),("|M350|"&amp;LEFT(C259,FIND("-",C259)-1)&amp;"|"&amp;RIGHT(C259,LEN(C259)-FIND("-",C259))&amp;"|"&amp;LEFT(D259,1)&amp;"|"&amp;LEFT(B259,1)&amp;"|"&amp;Tabela_BaseM[[#This Row],[Valor]]&amp;"|"&amp;Tabela_BaseM[[#This Row],[HISTÓRICO]]&amp;"|"))</f>
        <v>#VALUE!</v>
      </c>
    </row>
    <row r="260" spans="10:17" x14ac:dyDescent="0.25">
      <c r="J260" s="11"/>
      <c r="L260" t="str">
        <f>IF(A260="IRPJ",IF(LEFT(B260,1)="1","|M305|",IF(LEFT(B260,1)="2","|M310|",IF(AND(LEFT(B260,1)="3",Tabela_BaseM[[#This Row],[CONTA PARTE B]]&lt;&gt;""),"|M305|",IF(LEFT(B260,1)="4","|M312|","")))),      IF(LEFT(B260,1)="1","|M355|",IF(LEFT(B260,1)="2","|M360|",IF(AND(LEFT(B260,1)="3",Tabela_BaseM[[#This Row],[CONTA PARTE B]]&lt;&gt;""),"|M355|",IF(LEFT(B260,1)="4","|M362|","")))))</f>
        <v/>
      </c>
      <c r="M260" t="str">
        <f>IF(LEFT(Tabela_BaseM[[#This Row],[TIPO RELACIONAMENTO]],1)="3",(IF(A260="IRPJ",IF(LEFT(B260,1)="1","|M305|",IF(LEFT(B260,1)="2","|M310|",IF(LEFT(B260,1)="3","|M310|",IF(LEFT(B260,1)="4","|M312|","")))),IF(LEFT(B260,1)="1","|M355|",IF(LEFT(B260,1)="2","|M360|",IF(LEFT(B260,1)="3","|M360|",IF(LEFT(B260,1)="4","|M362|","")))))),"")</f>
        <v/>
      </c>
      <c r="N26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0" t="e">
        <f>IF(A260="IRPJ",("|M300|"&amp;LEFT(C260,FIND("-",C260)-1)&amp;"|"&amp;RIGHT(C260,LEN(C260)-FIND("-",C260))&amp;"|"&amp;LEFT(D260,1)&amp;"|"&amp;LEFT(B260,1)&amp;"|"&amp;Tabela_BaseM[[#This Row],[Valor]]&amp;"|"&amp;Tabela_BaseM[[#This Row],[HISTÓRICO]]&amp;"|"),("|M350|"&amp;LEFT(C260,FIND("-",C260)-1)&amp;"|"&amp;RIGHT(C260,LEN(C260)-FIND("-",C260))&amp;"|"&amp;LEFT(D260,1)&amp;"|"&amp;LEFT(B260,1)&amp;"|"&amp;Tabela_BaseM[[#This Row],[Valor]]&amp;"|"&amp;Tabela_BaseM[[#This Row],[HISTÓRICO]]&amp;"|"))</f>
        <v>#VALUE!</v>
      </c>
    </row>
    <row r="261" spans="10:17" x14ac:dyDescent="0.25">
      <c r="J261" s="11"/>
      <c r="L261" t="str">
        <f>IF(A261="IRPJ",IF(LEFT(B261,1)="1","|M305|",IF(LEFT(B261,1)="2","|M310|",IF(AND(LEFT(B261,1)="3",Tabela_BaseM[[#This Row],[CONTA PARTE B]]&lt;&gt;""),"|M305|",IF(LEFT(B261,1)="4","|M312|","")))),      IF(LEFT(B261,1)="1","|M355|",IF(LEFT(B261,1)="2","|M360|",IF(AND(LEFT(B261,1)="3",Tabela_BaseM[[#This Row],[CONTA PARTE B]]&lt;&gt;""),"|M355|",IF(LEFT(B261,1)="4","|M362|","")))))</f>
        <v/>
      </c>
      <c r="M261" t="str">
        <f>IF(LEFT(Tabela_BaseM[[#This Row],[TIPO RELACIONAMENTO]],1)="3",(IF(A261="IRPJ",IF(LEFT(B261,1)="1","|M305|",IF(LEFT(B261,1)="2","|M310|",IF(LEFT(B261,1)="3","|M310|",IF(LEFT(B261,1)="4","|M312|","")))),IF(LEFT(B261,1)="1","|M355|",IF(LEFT(B261,1)="2","|M360|",IF(LEFT(B261,1)="3","|M360|",IF(LEFT(B261,1)="4","|M362|","")))))),"")</f>
        <v/>
      </c>
      <c r="N26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1" t="e">
        <f>IF(A261="IRPJ",("|M300|"&amp;LEFT(C261,FIND("-",C261)-1)&amp;"|"&amp;RIGHT(C261,LEN(C261)-FIND("-",C261))&amp;"|"&amp;LEFT(D261,1)&amp;"|"&amp;LEFT(B261,1)&amp;"|"&amp;Tabela_BaseM[[#This Row],[Valor]]&amp;"|"&amp;Tabela_BaseM[[#This Row],[HISTÓRICO]]&amp;"|"),("|M350|"&amp;LEFT(C261,FIND("-",C261)-1)&amp;"|"&amp;RIGHT(C261,LEN(C261)-FIND("-",C261))&amp;"|"&amp;LEFT(D261,1)&amp;"|"&amp;LEFT(B261,1)&amp;"|"&amp;Tabela_BaseM[[#This Row],[Valor]]&amp;"|"&amp;Tabela_BaseM[[#This Row],[HISTÓRICO]]&amp;"|"))</f>
        <v>#VALUE!</v>
      </c>
    </row>
    <row r="262" spans="10:17" x14ac:dyDescent="0.25">
      <c r="J262" s="11"/>
      <c r="L262" t="str">
        <f>IF(A262="IRPJ",IF(LEFT(B262,1)="1","|M305|",IF(LEFT(B262,1)="2","|M310|",IF(AND(LEFT(B262,1)="3",Tabela_BaseM[[#This Row],[CONTA PARTE B]]&lt;&gt;""),"|M305|",IF(LEFT(B262,1)="4","|M312|","")))),      IF(LEFT(B262,1)="1","|M355|",IF(LEFT(B262,1)="2","|M360|",IF(AND(LEFT(B262,1)="3",Tabela_BaseM[[#This Row],[CONTA PARTE B]]&lt;&gt;""),"|M355|",IF(LEFT(B262,1)="4","|M362|","")))))</f>
        <v/>
      </c>
      <c r="M262" t="str">
        <f>IF(LEFT(Tabela_BaseM[[#This Row],[TIPO RELACIONAMENTO]],1)="3",(IF(A262="IRPJ",IF(LEFT(B262,1)="1","|M305|",IF(LEFT(B262,1)="2","|M310|",IF(LEFT(B262,1)="3","|M310|",IF(LEFT(B262,1)="4","|M312|","")))),IF(LEFT(B262,1)="1","|M355|",IF(LEFT(B262,1)="2","|M360|",IF(LEFT(B262,1)="3","|M360|",IF(LEFT(B262,1)="4","|M362|","")))))),"")</f>
        <v/>
      </c>
      <c r="N26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2" t="e">
        <f>IF(A262="IRPJ",("|M300|"&amp;LEFT(C262,FIND("-",C262)-1)&amp;"|"&amp;RIGHT(C262,LEN(C262)-FIND("-",C262))&amp;"|"&amp;LEFT(D262,1)&amp;"|"&amp;LEFT(B262,1)&amp;"|"&amp;Tabela_BaseM[[#This Row],[Valor]]&amp;"|"&amp;Tabela_BaseM[[#This Row],[HISTÓRICO]]&amp;"|"),("|M350|"&amp;LEFT(C262,FIND("-",C262)-1)&amp;"|"&amp;RIGHT(C262,LEN(C262)-FIND("-",C262))&amp;"|"&amp;LEFT(D262,1)&amp;"|"&amp;LEFT(B262,1)&amp;"|"&amp;Tabela_BaseM[[#This Row],[Valor]]&amp;"|"&amp;Tabela_BaseM[[#This Row],[HISTÓRICO]]&amp;"|"))</f>
        <v>#VALUE!</v>
      </c>
    </row>
    <row r="263" spans="10:17" x14ac:dyDescent="0.25">
      <c r="J263" s="11"/>
      <c r="L263" t="str">
        <f>IF(A263="IRPJ",IF(LEFT(B263,1)="1","|M305|",IF(LEFT(B263,1)="2","|M310|",IF(AND(LEFT(B263,1)="3",Tabela_BaseM[[#This Row],[CONTA PARTE B]]&lt;&gt;""),"|M305|",IF(LEFT(B263,1)="4","|M312|","")))),      IF(LEFT(B263,1)="1","|M355|",IF(LEFT(B263,1)="2","|M360|",IF(AND(LEFT(B263,1)="3",Tabela_BaseM[[#This Row],[CONTA PARTE B]]&lt;&gt;""),"|M355|",IF(LEFT(B263,1)="4","|M362|","")))))</f>
        <v/>
      </c>
      <c r="M263" t="str">
        <f>IF(LEFT(Tabela_BaseM[[#This Row],[TIPO RELACIONAMENTO]],1)="3",(IF(A263="IRPJ",IF(LEFT(B263,1)="1","|M305|",IF(LEFT(B263,1)="2","|M310|",IF(LEFT(B263,1)="3","|M310|",IF(LEFT(B263,1)="4","|M312|","")))),IF(LEFT(B263,1)="1","|M355|",IF(LEFT(B263,1)="2","|M360|",IF(LEFT(B263,1)="3","|M360|",IF(LEFT(B263,1)="4","|M362|","")))))),"")</f>
        <v/>
      </c>
      <c r="N26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3" t="e">
        <f>IF(A263="IRPJ",("|M300|"&amp;LEFT(C263,FIND("-",C263)-1)&amp;"|"&amp;RIGHT(C263,LEN(C263)-FIND("-",C263))&amp;"|"&amp;LEFT(D263,1)&amp;"|"&amp;LEFT(B263,1)&amp;"|"&amp;Tabela_BaseM[[#This Row],[Valor]]&amp;"|"&amp;Tabela_BaseM[[#This Row],[HISTÓRICO]]&amp;"|"),("|M350|"&amp;LEFT(C263,FIND("-",C263)-1)&amp;"|"&amp;RIGHT(C263,LEN(C263)-FIND("-",C263))&amp;"|"&amp;LEFT(D263,1)&amp;"|"&amp;LEFT(B263,1)&amp;"|"&amp;Tabela_BaseM[[#This Row],[Valor]]&amp;"|"&amp;Tabela_BaseM[[#This Row],[HISTÓRICO]]&amp;"|"))</f>
        <v>#VALUE!</v>
      </c>
    </row>
    <row r="264" spans="10:17" x14ac:dyDescent="0.25">
      <c r="J264" s="11"/>
      <c r="L264" t="str">
        <f>IF(A264="IRPJ",IF(LEFT(B264,1)="1","|M305|",IF(LEFT(B264,1)="2","|M310|",IF(AND(LEFT(B264,1)="3",Tabela_BaseM[[#This Row],[CONTA PARTE B]]&lt;&gt;""),"|M305|",IF(LEFT(B264,1)="4","|M312|","")))),      IF(LEFT(B264,1)="1","|M355|",IF(LEFT(B264,1)="2","|M360|",IF(AND(LEFT(B264,1)="3",Tabela_BaseM[[#This Row],[CONTA PARTE B]]&lt;&gt;""),"|M355|",IF(LEFT(B264,1)="4","|M362|","")))))</f>
        <v/>
      </c>
      <c r="M264" t="str">
        <f>IF(LEFT(Tabela_BaseM[[#This Row],[TIPO RELACIONAMENTO]],1)="3",(IF(A264="IRPJ",IF(LEFT(B264,1)="1","|M305|",IF(LEFT(B264,1)="2","|M310|",IF(LEFT(B264,1)="3","|M310|",IF(LEFT(B264,1)="4","|M312|","")))),IF(LEFT(B264,1)="1","|M355|",IF(LEFT(B264,1)="2","|M360|",IF(LEFT(B264,1)="3","|M360|",IF(LEFT(B264,1)="4","|M362|","")))))),"")</f>
        <v/>
      </c>
      <c r="N26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4" t="e">
        <f>IF(A264="IRPJ",("|M300|"&amp;LEFT(C264,FIND("-",C264)-1)&amp;"|"&amp;RIGHT(C264,LEN(C264)-FIND("-",C264))&amp;"|"&amp;LEFT(D264,1)&amp;"|"&amp;LEFT(B264,1)&amp;"|"&amp;Tabela_BaseM[[#This Row],[Valor]]&amp;"|"&amp;Tabela_BaseM[[#This Row],[HISTÓRICO]]&amp;"|"),("|M350|"&amp;LEFT(C264,FIND("-",C264)-1)&amp;"|"&amp;RIGHT(C264,LEN(C264)-FIND("-",C264))&amp;"|"&amp;LEFT(D264,1)&amp;"|"&amp;LEFT(B264,1)&amp;"|"&amp;Tabela_BaseM[[#This Row],[Valor]]&amp;"|"&amp;Tabela_BaseM[[#This Row],[HISTÓRICO]]&amp;"|"))</f>
        <v>#VALUE!</v>
      </c>
    </row>
    <row r="265" spans="10:17" x14ac:dyDescent="0.25">
      <c r="J265" s="11"/>
      <c r="L265" t="str">
        <f>IF(A265="IRPJ",IF(LEFT(B265,1)="1","|M305|",IF(LEFT(B265,1)="2","|M310|",IF(AND(LEFT(B265,1)="3",Tabela_BaseM[[#This Row],[CONTA PARTE B]]&lt;&gt;""),"|M305|",IF(LEFT(B265,1)="4","|M312|","")))),      IF(LEFT(B265,1)="1","|M355|",IF(LEFT(B265,1)="2","|M360|",IF(AND(LEFT(B265,1)="3",Tabela_BaseM[[#This Row],[CONTA PARTE B]]&lt;&gt;""),"|M355|",IF(LEFT(B265,1)="4","|M362|","")))))</f>
        <v/>
      </c>
      <c r="M265" t="str">
        <f>IF(LEFT(Tabela_BaseM[[#This Row],[TIPO RELACIONAMENTO]],1)="3",(IF(A265="IRPJ",IF(LEFT(B265,1)="1","|M305|",IF(LEFT(B265,1)="2","|M310|",IF(LEFT(B265,1)="3","|M310|",IF(LEFT(B265,1)="4","|M312|","")))),IF(LEFT(B265,1)="1","|M355|",IF(LEFT(B265,1)="2","|M360|",IF(LEFT(B265,1)="3","|M360|",IF(LEFT(B265,1)="4","|M362|","")))))),"")</f>
        <v/>
      </c>
      <c r="N26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5" t="e">
        <f>IF(A265="IRPJ",("|M300|"&amp;LEFT(C265,FIND("-",C265)-1)&amp;"|"&amp;RIGHT(C265,LEN(C265)-FIND("-",C265))&amp;"|"&amp;LEFT(D265,1)&amp;"|"&amp;LEFT(B265,1)&amp;"|"&amp;Tabela_BaseM[[#This Row],[Valor]]&amp;"|"&amp;Tabela_BaseM[[#This Row],[HISTÓRICO]]&amp;"|"),("|M350|"&amp;LEFT(C265,FIND("-",C265)-1)&amp;"|"&amp;RIGHT(C265,LEN(C265)-FIND("-",C265))&amp;"|"&amp;LEFT(D265,1)&amp;"|"&amp;LEFT(B265,1)&amp;"|"&amp;Tabela_BaseM[[#This Row],[Valor]]&amp;"|"&amp;Tabela_BaseM[[#This Row],[HISTÓRICO]]&amp;"|"))</f>
        <v>#VALUE!</v>
      </c>
    </row>
    <row r="266" spans="10:17" x14ac:dyDescent="0.25">
      <c r="J266" s="11"/>
      <c r="L266" t="str">
        <f>IF(A266="IRPJ",IF(LEFT(B266,1)="1","|M305|",IF(LEFT(B266,1)="2","|M310|",IF(AND(LEFT(B266,1)="3",Tabela_BaseM[[#This Row],[CONTA PARTE B]]&lt;&gt;""),"|M305|",IF(LEFT(B266,1)="4","|M312|","")))),      IF(LEFT(B266,1)="1","|M355|",IF(LEFT(B266,1)="2","|M360|",IF(AND(LEFT(B266,1)="3",Tabela_BaseM[[#This Row],[CONTA PARTE B]]&lt;&gt;""),"|M355|",IF(LEFT(B266,1)="4","|M362|","")))))</f>
        <v/>
      </c>
      <c r="M266" t="str">
        <f>IF(LEFT(Tabela_BaseM[[#This Row],[TIPO RELACIONAMENTO]],1)="3",(IF(A266="IRPJ",IF(LEFT(B266,1)="1","|M305|",IF(LEFT(B266,1)="2","|M310|",IF(LEFT(B266,1)="3","|M310|",IF(LEFT(B266,1)="4","|M312|","")))),IF(LEFT(B266,1)="1","|M355|",IF(LEFT(B266,1)="2","|M360|",IF(LEFT(B266,1)="3","|M360|",IF(LEFT(B266,1)="4","|M362|","")))))),"")</f>
        <v/>
      </c>
      <c r="N26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6" t="e">
        <f>IF(A266="IRPJ",("|M300|"&amp;LEFT(C266,FIND("-",C266)-1)&amp;"|"&amp;RIGHT(C266,LEN(C266)-FIND("-",C266))&amp;"|"&amp;LEFT(D266,1)&amp;"|"&amp;LEFT(B266,1)&amp;"|"&amp;Tabela_BaseM[[#This Row],[Valor]]&amp;"|"&amp;Tabela_BaseM[[#This Row],[HISTÓRICO]]&amp;"|"),("|M350|"&amp;LEFT(C266,FIND("-",C266)-1)&amp;"|"&amp;RIGHT(C266,LEN(C266)-FIND("-",C266))&amp;"|"&amp;LEFT(D266,1)&amp;"|"&amp;LEFT(B266,1)&amp;"|"&amp;Tabela_BaseM[[#This Row],[Valor]]&amp;"|"&amp;Tabela_BaseM[[#This Row],[HISTÓRICO]]&amp;"|"))</f>
        <v>#VALUE!</v>
      </c>
    </row>
    <row r="267" spans="10:17" x14ac:dyDescent="0.25">
      <c r="J267" s="11"/>
      <c r="L267" t="str">
        <f>IF(A267="IRPJ",IF(LEFT(B267,1)="1","|M305|",IF(LEFT(B267,1)="2","|M310|",IF(AND(LEFT(B267,1)="3",Tabela_BaseM[[#This Row],[CONTA PARTE B]]&lt;&gt;""),"|M305|",IF(LEFT(B267,1)="4","|M312|","")))),      IF(LEFT(B267,1)="1","|M355|",IF(LEFT(B267,1)="2","|M360|",IF(AND(LEFT(B267,1)="3",Tabela_BaseM[[#This Row],[CONTA PARTE B]]&lt;&gt;""),"|M355|",IF(LEFT(B267,1)="4","|M362|","")))))</f>
        <v/>
      </c>
      <c r="M267" t="str">
        <f>IF(LEFT(Tabela_BaseM[[#This Row],[TIPO RELACIONAMENTO]],1)="3",(IF(A267="IRPJ",IF(LEFT(B267,1)="1","|M305|",IF(LEFT(B267,1)="2","|M310|",IF(LEFT(B267,1)="3","|M310|",IF(LEFT(B267,1)="4","|M312|","")))),IF(LEFT(B267,1)="1","|M355|",IF(LEFT(B267,1)="2","|M360|",IF(LEFT(B267,1)="3","|M360|",IF(LEFT(B267,1)="4","|M362|","")))))),"")</f>
        <v/>
      </c>
      <c r="N26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7" t="e">
        <f>IF(A267="IRPJ",("|M300|"&amp;LEFT(C267,FIND("-",C267)-1)&amp;"|"&amp;RIGHT(C267,LEN(C267)-FIND("-",C267))&amp;"|"&amp;LEFT(D267,1)&amp;"|"&amp;LEFT(B267,1)&amp;"|"&amp;Tabela_BaseM[[#This Row],[Valor]]&amp;"|"&amp;Tabela_BaseM[[#This Row],[HISTÓRICO]]&amp;"|"),("|M350|"&amp;LEFT(C267,FIND("-",C267)-1)&amp;"|"&amp;RIGHT(C267,LEN(C267)-FIND("-",C267))&amp;"|"&amp;LEFT(D267,1)&amp;"|"&amp;LEFT(B267,1)&amp;"|"&amp;Tabela_BaseM[[#This Row],[Valor]]&amp;"|"&amp;Tabela_BaseM[[#This Row],[HISTÓRICO]]&amp;"|"))</f>
        <v>#VALUE!</v>
      </c>
    </row>
    <row r="268" spans="10:17" x14ac:dyDescent="0.25">
      <c r="J268" s="11"/>
      <c r="L268" t="str">
        <f>IF(A268="IRPJ",IF(LEFT(B268,1)="1","|M305|",IF(LEFT(B268,1)="2","|M310|",IF(AND(LEFT(B268,1)="3",Tabela_BaseM[[#This Row],[CONTA PARTE B]]&lt;&gt;""),"|M305|",IF(LEFT(B268,1)="4","|M312|","")))),      IF(LEFT(B268,1)="1","|M355|",IF(LEFT(B268,1)="2","|M360|",IF(AND(LEFT(B268,1)="3",Tabela_BaseM[[#This Row],[CONTA PARTE B]]&lt;&gt;""),"|M355|",IF(LEFT(B268,1)="4","|M362|","")))))</f>
        <v/>
      </c>
      <c r="M268" t="str">
        <f>IF(LEFT(Tabela_BaseM[[#This Row],[TIPO RELACIONAMENTO]],1)="3",(IF(A268="IRPJ",IF(LEFT(B268,1)="1","|M305|",IF(LEFT(B268,1)="2","|M310|",IF(LEFT(B268,1)="3","|M310|",IF(LEFT(B268,1)="4","|M312|","")))),IF(LEFT(B268,1)="1","|M355|",IF(LEFT(B268,1)="2","|M360|",IF(LEFT(B268,1)="3","|M360|",IF(LEFT(B268,1)="4","|M362|","")))))),"")</f>
        <v/>
      </c>
      <c r="N26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8" t="e">
        <f>IF(A268="IRPJ",("|M300|"&amp;LEFT(C268,FIND("-",C268)-1)&amp;"|"&amp;RIGHT(C268,LEN(C268)-FIND("-",C268))&amp;"|"&amp;LEFT(D268,1)&amp;"|"&amp;LEFT(B268,1)&amp;"|"&amp;Tabela_BaseM[[#This Row],[Valor]]&amp;"|"&amp;Tabela_BaseM[[#This Row],[HISTÓRICO]]&amp;"|"),("|M350|"&amp;LEFT(C268,FIND("-",C268)-1)&amp;"|"&amp;RIGHT(C268,LEN(C268)-FIND("-",C268))&amp;"|"&amp;LEFT(D268,1)&amp;"|"&amp;LEFT(B268,1)&amp;"|"&amp;Tabela_BaseM[[#This Row],[Valor]]&amp;"|"&amp;Tabela_BaseM[[#This Row],[HISTÓRICO]]&amp;"|"))</f>
        <v>#VALUE!</v>
      </c>
    </row>
    <row r="269" spans="10:17" x14ac:dyDescent="0.25">
      <c r="J269" s="11"/>
      <c r="L269" t="str">
        <f>IF(A269="IRPJ",IF(LEFT(B269,1)="1","|M305|",IF(LEFT(B269,1)="2","|M310|",IF(AND(LEFT(B269,1)="3",Tabela_BaseM[[#This Row],[CONTA PARTE B]]&lt;&gt;""),"|M305|",IF(LEFT(B269,1)="4","|M312|","")))),      IF(LEFT(B269,1)="1","|M355|",IF(LEFT(B269,1)="2","|M360|",IF(AND(LEFT(B269,1)="3",Tabela_BaseM[[#This Row],[CONTA PARTE B]]&lt;&gt;""),"|M355|",IF(LEFT(B269,1)="4","|M362|","")))))</f>
        <v/>
      </c>
      <c r="M269" t="str">
        <f>IF(LEFT(Tabela_BaseM[[#This Row],[TIPO RELACIONAMENTO]],1)="3",(IF(A269="IRPJ",IF(LEFT(B269,1)="1","|M305|",IF(LEFT(B269,1)="2","|M310|",IF(LEFT(B269,1)="3","|M310|",IF(LEFT(B269,1)="4","|M312|","")))),IF(LEFT(B269,1)="1","|M355|",IF(LEFT(B269,1)="2","|M360|",IF(LEFT(B269,1)="3","|M360|",IF(LEFT(B269,1)="4","|M362|","")))))),"")</f>
        <v/>
      </c>
      <c r="N26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6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6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69" t="e">
        <f>IF(A269="IRPJ",("|M300|"&amp;LEFT(C269,FIND("-",C269)-1)&amp;"|"&amp;RIGHT(C269,LEN(C269)-FIND("-",C269))&amp;"|"&amp;LEFT(D269,1)&amp;"|"&amp;LEFT(B269,1)&amp;"|"&amp;Tabela_BaseM[[#This Row],[Valor]]&amp;"|"&amp;Tabela_BaseM[[#This Row],[HISTÓRICO]]&amp;"|"),("|M350|"&amp;LEFT(C269,FIND("-",C269)-1)&amp;"|"&amp;RIGHT(C269,LEN(C269)-FIND("-",C269))&amp;"|"&amp;LEFT(D269,1)&amp;"|"&amp;LEFT(B269,1)&amp;"|"&amp;Tabela_BaseM[[#This Row],[Valor]]&amp;"|"&amp;Tabela_BaseM[[#This Row],[HISTÓRICO]]&amp;"|"))</f>
        <v>#VALUE!</v>
      </c>
    </row>
    <row r="270" spans="10:17" x14ac:dyDescent="0.25">
      <c r="J270" s="11"/>
      <c r="L270" t="str">
        <f>IF(A270="IRPJ",IF(LEFT(B270,1)="1","|M305|",IF(LEFT(B270,1)="2","|M310|",IF(AND(LEFT(B270,1)="3",Tabela_BaseM[[#This Row],[CONTA PARTE B]]&lt;&gt;""),"|M305|",IF(LEFT(B270,1)="4","|M312|","")))),      IF(LEFT(B270,1)="1","|M355|",IF(LEFT(B270,1)="2","|M360|",IF(AND(LEFT(B270,1)="3",Tabela_BaseM[[#This Row],[CONTA PARTE B]]&lt;&gt;""),"|M355|",IF(LEFT(B270,1)="4","|M362|","")))))</f>
        <v/>
      </c>
      <c r="M270" t="str">
        <f>IF(LEFT(Tabela_BaseM[[#This Row],[TIPO RELACIONAMENTO]],1)="3",(IF(A270="IRPJ",IF(LEFT(B270,1)="1","|M305|",IF(LEFT(B270,1)="2","|M310|",IF(LEFT(B270,1)="3","|M310|",IF(LEFT(B270,1)="4","|M312|","")))),IF(LEFT(B270,1)="1","|M355|",IF(LEFT(B270,1)="2","|M360|",IF(LEFT(B270,1)="3","|M360|",IF(LEFT(B270,1)="4","|M362|","")))))),"")</f>
        <v/>
      </c>
      <c r="N27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0" t="e">
        <f>IF(A270="IRPJ",("|M300|"&amp;LEFT(C270,FIND("-",C270)-1)&amp;"|"&amp;RIGHT(C270,LEN(C270)-FIND("-",C270))&amp;"|"&amp;LEFT(D270,1)&amp;"|"&amp;LEFT(B270,1)&amp;"|"&amp;Tabela_BaseM[[#This Row],[Valor]]&amp;"|"&amp;Tabela_BaseM[[#This Row],[HISTÓRICO]]&amp;"|"),("|M350|"&amp;LEFT(C270,FIND("-",C270)-1)&amp;"|"&amp;RIGHT(C270,LEN(C270)-FIND("-",C270))&amp;"|"&amp;LEFT(D270,1)&amp;"|"&amp;LEFT(B270,1)&amp;"|"&amp;Tabela_BaseM[[#This Row],[Valor]]&amp;"|"&amp;Tabela_BaseM[[#This Row],[HISTÓRICO]]&amp;"|"))</f>
        <v>#VALUE!</v>
      </c>
    </row>
    <row r="271" spans="10:17" x14ac:dyDescent="0.25">
      <c r="J271" s="11"/>
      <c r="L271" t="str">
        <f>IF(A271="IRPJ",IF(LEFT(B271,1)="1","|M305|",IF(LEFT(B271,1)="2","|M310|",IF(AND(LEFT(B271,1)="3",Tabela_BaseM[[#This Row],[CONTA PARTE B]]&lt;&gt;""),"|M305|",IF(LEFT(B271,1)="4","|M312|","")))),      IF(LEFT(B271,1)="1","|M355|",IF(LEFT(B271,1)="2","|M360|",IF(AND(LEFT(B271,1)="3",Tabela_BaseM[[#This Row],[CONTA PARTE B]]&lt;&gt;""),"|M355|",IF(LEFT(B271,1)="4","|M362|","")))))</f>
        <v/>
      </c>
      <c r="M271" t="str">
        <f>IF(LEFT(Tabela_BaseM[[#This Row],[TIPO RELACIONAMENTO]],1)="3",(IF(A271="IRPJ",IF(LEFT(B271,1)="1","|M305|",IF(LEFT(B271,1)="2","|M310|",IF(LEFT(B271,1)="3","|M310|",IF(LEFT(B271,1)="4","|M312|","")))),IF(LEFT(B271,1)="1","|M355|",IF(LEFT(B271,1)="2","|M360|",IF(LEFT(B271,1)="3","|M360|",IF(LEFT(B271,1)="4","|M362|","")))))),"")</f>
        <v/>
      </c>
      <c r="N27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1" t="e">
        <f>IF(A271="IRPJ",("|M300|"&amp;LEFT(C271,FIND("-",C271)-1)&amp;"|"&amp;RIGHT(C271,LEN(C271)-FIND("-",C271))&amp;"|"&amp;LEFT(D271,1)&amp;"|"&amp;LEFT(B271,1)&amp;"|"&amp;Tabela_BaseM[[#This Row],[Valor]]&amp;"|"&amp;Tabela_BaseM[[#This Row],[HISTÓRICO]]&amp;"|"),("|M350|"&amp;LEFT(C271,FIND("-",C271)-1)&amp;"|"&amp;RIGHT(C271,LEN(C271)-FIND("-",C271))&amp;"|"&amp;LEFT(D271,1)&amp;"|"&amp;LEFT(B271,1)&amp;"|"&amp;Tabela_BaseM[[#This Row],[Valor]]&amp;"|"&amp;Tabela_BaseM[[#This Row],[HISTÓRICO]]&amp;"|"))</f>
        <v>#VALUE!</v>
      </c>
    </row>
    <row r="272" spans="10:17" x14ac:dyDescent="0.25">
      <c r="J272" s="11"/>
      <c r="L272" t="str">
        <f>IF(A272="IRPJ",IF(LEFT(B272,1)="1","|M305|",IF(LEFT(B272,1)="2","|M310|",IF(AND(LEFT(B272,1)="3",Tabela_BaseM[[#This Row],[CONTA PARTE B]]&lt;&gt;""),"|M305|",IF(LEFT(B272,1)="4","|M312|","")))),      IF(LEFT(B272,1)="1","|M355|",IF(LEFT(B272,1)="2","|M360|",IF(AND(LEFT(B272,1)="3",Tabela_BaseM[[#This Row],[CONTA PARTE B]]&lt;&gt;""),"|M355|",IF(LEFT(B272,1)="4","|M362|","")))))</f>
        <v/>
      </c>
      <c r="M272" t="str">
        <f>IF(LEFT(Tabela_BaseM[[#This Row],[TIPO RELACIONAMENTO]],1)="3",(IF(A272="IRPJ",IF(LEFT(B272,1)="1","|M305|",IF(LEFT(B272,1)="2","|M310|",IF(LEFT(B272,1)="3","|M310|",IF(LEFT(B272,1)="4","|M312|","")))),IF(LEFT(B272,1)="1","|M355|",IF(LEFT(B272,1)="2","|M360|",IF(LEFT(B272,1)="3","|M360|",IF(LEFT(B272,1)="4","|M362|","")))))),"")</f>
        <v/>
      </c>
      <c r="N27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2" t="e">
        <f>IF(A272="IRPJ",("|M300|"&amp;LEFT(C272,FIND("-",C272)-1)&amp;"|"&amp;RIGHT(C272,LEN(C272)-FIND("-",C272))&amp;"|"&amp;LEFT(D272,1)&amp;"|"&amp;LEFT(B272,1)&amp;"|"&amp;Tabela_BaseM[[#This Row],[Valor]]&amp;"|"&amp;Tabela_BaseM[[#This Row],[HISTÓRICO]]&amp;"|"),("|M350|"&amp;LEFT(C272,FIND("-",C272)-1)&amp;"|"&amp;RIGHT(C272,LEN(C272)-FIND("-",C272))&amp;"|"&amp;LEFT(D272,1)&amp;"|"&amp;LEFT(B272,1)&amp;"|"&amp;Tabela_BaseM[[#This Row],[Valor]]&amp;"|"&amp;Tabela_BaseM[[#This Row],[HISTÓRICO]]&amp;"|"))</f>
        <v>#VALUE!</v>
      </c>
    </row>
    <row r="273" spans="10:17" x14ac:dyDescent="0.25">
      <c r="J273" s="11"/>
      <c r="L273" t="str">
        <f>IF(A273="IRPJ",IF(LEFT(B273,1)="1","|M305|",IF(LEFT(B273,1)="2","|M310|",IF(AND(LEFT(B273,1)="3",Tabela_BaseM[[#This Row],[CONTA PARTE B]]&lt;&gt;""),"|M305|",IF(LEFT(B273,1)="4","|M312|","")))),      IF(LEFT(B273,1)="1","|M355|",IF(LEFT(B273,1)="2","|M360|",IF(AND(LEFT(B273,1)="3",Tabela_BaseM[[#This Row],[CONTA PARTE B]]&lt;&gt;""),"|M355|",IF(LEFT(B273,1)="4","|M362|","")))))</f>
        <v/>
      </c>
      <c r="M273" t="str">
        <f>IF(LEFT(Tabela_BaseM[[#This Row],[TIPO RELACIONAMENTO]],1)="3",(IF(A273="IRPJ",IF(LEFT(B273,1)="1","|M305|",IF(LEFT(B273,1)="2","|M310|",IF(LEFT(B273,1)="3","|M310|",IF(LEFT(B273,1)="4","|M312|","")))),IF(LEFT(B273,1)="1","|M355|",IF(LEFT(B273,1)="2","|M360|",IF(LEFT(B273,1)="3","|M360|",IF(LEFT(B273,1)="4","|M362|","")))))),"")</f>
        <v/>
      </c>
      <c r="N27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3" t="e">
        <f>IF(A273="IRPJ",("|M300|"&amp;LEFT(C273,FIND("-",C273)-1)&amp;"|"&amp;RIGHT(C273,LEN(C273)-FIND("-",C273))&amp;"|"&amp;LEFT(D273,1)&amp;"|"&amp;LEFT(B273,1)&amp;"|"&amp;Tabela_BaseM[[#This Row],[Valor]]&amp;"|"&amp;Tabela_BaseM[[#This Row],[HISTÓRICO]]&amp;"|"),("|M350|"&amp;LEFT(C273,FIND("-",C273)-1)&amp;"|"&amp;RIGHT(C273,LEN(C273)-FIND("-",C273))&amp;"|"&amp;LEFT(D273,1)&amp;"|"&amp;LEFT(B273,1)&amp;"|"&amp;Tabela_BaseM[[#This Row],[Valor]]&amp;"|"&amp;Tabela_BaseM[[#This Row],[HISTÓRICO]]&amp;"|"))</f>
        <v>#VALUE!</v>
      </c>
    </row>
    <row r="274" spans="10:17" x14ac:dyDescent="0.25">
      <c r="J274" s="11"/>
      <c r="L274" t="str">
        <f>IF(A274="IRPJ",IF(LEFT(B274,1)="1","|M305|",IF(LEFT(B274,1)="2","|M310|",IF(AND(LEFT(B274,1)="3",Tabela_BaseM[[#This Row],[CONTA PARTE B]]&lt;&gt;""),"|M305|",IF(LEFT(B274,1)="4","|M312|","")))),      IF(LEFT(B274,1)="1","|M355|",IF(LEFT(B274,1)="2","|M360|",IF(AND(LEFT(B274,1)="3",Tabela_BaseM[[#This Row],[CONTA PARTE B]]&lt;&gt;""),"|M355|",IF(LEFT(B274,1)="4","|M362|","")))))</f>
        <v/>
      </c>
      <c r="M274" t="str">
        <f>IF(LEFT(Tabela_BaseM[[#This Row],[TIPO RELACIONAMENTO]],1)="3",(IF(A274="IRPJ",IF(LEFT(B274,1)="1","|M305|",IF(LEFT(B274,1)="2","|M310|",IF(LEFT(B274,1)="3","|M310|",IF(LEFT(B274,1)="4","|M312|","")))),IF(LEFT(B274,1)="1","|M355|",IF(LEFT(B274,1)="2","|M360|",IF(LEFT(B274,1)="3","|M360|",IF(LEFT(B274,1)="4","|M362|","")))))),"")</f>
        <v/>
      </c>
      <c r="N27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4" t="e">
        <f>IF(A274="IRPJ",("|M300|"&amp;LEFT(C274,FIND("-",C274)-1)&amp;"|"&amp;RIGHT(C274,LEN(C274)-FIND("-",C274))&amp;"|"&amp;LEFT(D274,1)&amp;"|"&amp;LEFT(B274,1)&amp;"|"&amp;Tabela_BaseM[[#This Row],[Valor]]&amp;"|"&amp;Tabela_BaseM[[#This Row],[HISTÓRICO]]&amp;"|"),("|M350|"&amp;LEFT(C274,FIND("-",C274)-1)&amp;"|"&amp;RIGHT(C274,LEN(C274)-FIND("-",C274))&amp;"|"&amp;LEFT(D274,1)&amp;"|"&amp;LEFT(B274,1)&amp;"|"&amp;Tabela_BaseM[[#This Row],[Valor]]&amp;"|"&amp;Tabela_BaseM[[#This Row],[HISTÓRICO]]&amp;"|"))</f>
        <v>#VALUE!</v>
      </c>
    </row>
    <row r="275" spans="10:17" x14ac:dyDescent="0.25">
      <c r="J275" s="11"/>
      <c r="L275" t="str">
        <f>IF(A275="IRPJ",IF(LEFT(B275,1)="1","|M305|",IF(LEFT(B275,1)="2","|M310|",IF(AND(LEFT(B275,1)="3",Tabela_BaseM[[#This Row],[CONTA PARTE B]]&lt;&gt;""),"|M305|",IF(LEFT(B275,1)="4","|M312|","")))),      IF(LEFT(B275,1)="1","|M355|",IF(LEFT(B275,1)="2","|M360|",IF(AND(LEFT(B275,1)="3",Tabela_BaseM[[#This Row],[CONTA PARTE B]]&lt;&gt;""),"|M355|",IF(LEFT(B275,1)="4","|M362|","")))))</f>
        <v/>
      </c>
      <c r="M275" t="str">
        <f>IF(LEFT(Tabela_BaseM[[#This Row],[TIPO RELACIONAMENTO]],1)="3",(IF(A275="IRPJ",IF(LEFT(B275,1)="1","|M305|",IF(LEFT(B275,1)="2","|M310|",IF(LEFT(B275,1)="3","|M310|",IF(LEFT(B275,1)="4","|M312|","")))),IF(LEFT(B275,1)="1","|M355|",IF(LEFT(B275,1)="2","|M360|",IF(LEFT(B275,1)="3","|M360|",IF(LEFT(B275,1)="4","|M362|","")))))),"")</f>
        <v/>
      </c>
      <c r="N27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5" t="e">
        <f>IF(A275="IRPJ",("|M300|"&amp;LEFT(C275,FIND("-",C275)-1)&amp;"|"&amp;RIGHT(C275,LEN(C275)-FIND("-",C275))&amp;"|"&amp;LEFT(D275,1)&amp;"|"&amp;LEFT(B275,1)&amp;"|"&amp;Tabela_BaseM[[#This Row],[Valor]]&amp;"|"&amp;Tabela_BaseM[[#This Row],[HISTÓRICO]]&amp;"|"),("|M350|"&amp;LEFT(C275,FIND("-",C275)-1)&amp;"|"&amp;RIGHT(C275,LEN(C275)-FIND("-",C275))&amp;"|"&amp;LEFT(D275,1)&amp;"|"&amp;LEFT(B275,1)&amp;"|"&amp;Tabela_BaseM[[#This Row],[Valor]]&amp;"|"&amp;Tabela_BaseM[[#This Row],[HISTÓRICO]]&amp;"|"))</f>
        <v>#VALUE!</v>
      </c>
    </row>
    <row r="276" spans="10:17" x14ac:dyDescent="0.25">
      <c r="J276" s="11"/>
      <c r="L276" t="str">
        <f>IF(A276="IRPJ",IF(LEFT(B276,1)="1","|M305|",IF(LEFT(B276,1)="2","|M310|",IF(AND(LEFT(B276,1)="3",Tabela_BaseM[[#This Row],[CONTA PARTE B]]&lt;&gt;""),"|M305|",IF(LEFT(B276,1)="4","|M312|","")))),      IF(LEFT(B276,1)="1","|M355|",IF(LEFT(B276,1)="2","|M360|",IF(AND(LEFT(B276,1)="3",Tabela_BaseM[[#This Row],[CONTA PARTE B]]&lt;&gt;""),"|M355|",IF(LEFT(B276,1)="4","|M362|","")))))</f>
        <v/>
      </c>
      <c r="M276" t="str">
        <f>IF(LEFT(Tabela_BaseM[[#This Row],[TIPO RELACIONAMENTO]],1)="3",(IF(A276="IRPJ",IF(LEFT(B276,1)="1","|M305|",IF(LEFT(B276,1)="2","|M310|",IF(LEFT(B276,1)="3","|M310|",IF(LEFT(B276,1)="4","|M312|","")))),IF(LEFT(B276,1)="1","|M355|",IF(LEFT(B276,1)="2","|M360|",IF(LEFT(B276,1)="3","|M360|",IF(LEFT(B276,1)="4","|M362|","")))))),"")</f>
        <v/>
      </c>
      <c r="N27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6" t="e">
        <f>IF(A276="IRPJ",("|M300|"&amp;LEFT(C276,FIND("-",C276)-1)&amp;"|"&amp;RIGHT(C276,LEN(C276)-FIND("-",C276))&amp;"|"&amp;LEFT(D276,1)&amp;"|"&amp;LEFT(B276,1)&amp;"|"&amp;Tabela_BaseM[[#This Row],[Valor]]&amp;"|"&amp;Tabela_BaseM[[#This Row],[HISTÓRICO]]&amp;"|"),("|M350|"&amp;LEFT(C276,FIND("-",C276)-1)&amp;"|"&amp;RIGHT(C276,LEN(C276)-FIND("-",C276))&amp;"|"&amp;LEFT(D276,1)&amp;"|"&amp;LEFT(B276,1)&amp;"|"&amp;Tabela_BaseM[[#This Row],[Valor]]&amp;"|"&amp;Tabela_BaseM[[#This Row],[HISTÓRICO]]&amp;"|"))</f>
        <v>#VALUE!</v>
      </c>
    </row>
    <row r="277" spans="10:17" x14ac:dyDescent="0.25">
      <c r="J277" s="11"/>
      <c r="L277" t="str">
        <f>IF(A277="IRPJ",IF(LEFT(B277,1)="1","|M305|",IF(LEFT(B277,1)="2","|M310|",IF(AND(LEFT(B277,1)="3",Tabela_BaseM[[#This Row],[CONTA PARTE B]]&lt;&gt;""),"|M305|",IF(LEFT(B277,1)="4","|M312|","")))),      IF(LEFT(B277,1)="1","|M355|",IF(LEFT(B277,1)="2","|M360|",IF(AND(LEFT(B277,1)="3",Tabela_BaseM[[#This Row],[CONTA PARTE B]]&lt;&gt;""),"|M355|",IF(LEFT(B277,1)="4","|M362|","")))))</f>
        <v/>
      </c>
      <c r="M277" t="str">
        <f>IF(LEFT(Tabela_BaseM[[#This Row],[TIPO RELACIONAMENTO]],1)="3",(IF(A277="IRPJ",IF(LEFT(B277,1)="1","|M305|",IF(LEFT(B277,1)="2","|M310|",IF(LEFT(B277,1)="3","|M310|",IF(LEFT(B277,1)="4","|M312|","")))),IF(LEFT(B277,1)="1","|M355|",IF(LEFT(B277,1)="2","|M360|",IF(LEFT(B277,1)="3","|M360|",IF(LEFT(B277,1)="4","|M362|","")))))),"")</f>
        <v/>
      </c>
      <c r="N27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7" t="e">
        <f>IF(A277="IRPJ",("|M300|"&amp;LEFT(C277,FIND("-",C277)-1)&amp;"|"&amp;RIGHT(C277,LEN(C277)-FIND("-",C277))&amp;"|"&amp;LEFT(D277,1)&amp;"|"&amp;LEFT(B277,1)&amp;"|"&amp;Tabela_BaseM[[#This Row],[Valor]]&amp;"|"&amp;Tabela_BaseM[[#This Row],[HISTÓRICO]]&amp;"|"),("|M350|"&amp;LEFT(C277,FIND("-",C277)-1)&amp;"|"&amp;RIGHT(C277,LEN(C277)-FIND("-",C277))&amp;"|"&amp;LEFT(D277,1)&amp;"|"&amp;LEFT(B277,1)&amp;"|"&amp;Tabela_BaseM[[#This Row],[Valor]]&amp;"|"&amp;Tabela_BaseM[[#This Row],[HISTÓRICO]]&amp;"|"))</f>
        <v>#VALUE!</v>
      </c>
    </row>
    <row r="278" spans="10:17" x14ac:dyDescent="0.25">
      <c r="J278" s="11"/>
      <c r="L278" t="str">
        <f>IF(A278="IRPJ",IF(LEFT(B278,1)="1","|M305|",IF(LEFT(B278,1)="2","|M310|",IF(AND(LEFT(B278,1)="3",Tabela_BaseM[[#This Row],[CONTA PARTE B]]&lt;&gt;""),"|M305|",IF(LEFT(B278,1)="4","|M312|","")))),      IF(LEFT(B278,1)="1","|M355|",IF(LEFT(B278,1)="2","|M360|",IF(AND(LEFT(B278,1)="3",Tabela_BaseM[[#This Row],[CONTA PARTE B]]&lt;&gt;""),"|M355|",IF(LEFT(B278,1)="4","|M362|","")))))</f>
        <v/>
      </c>
      <c r="M278" t="str">
        <f>IF(LEFT(Tabela_BaseM[[#This Row],[TIPO RELACIONAMENTO]],1)="3",(IF(A278="IRPJ",IF(LEFT(B278,1)="1","|M305|",IF(LEFT(B278,1)="2","|M310|",IF(LEFT(B278,1)="3","|M310|",IF(LEFT(B278,1)="4","|M312|","")))),IF(LEFT(B278,1)="1","|M355|",IF(LEFT(B278,1)="2","|M360|",IF(LEFT(B278,1)="3","|M360|",IF(LEFT(B278,1)="4","|M362|","")))))),"")</f>
        <v/>
      </c>
      <c r="N27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8" t="e">
        <f>IF(A278="IRPJ",("|M300|"&amp;LEFT(C278,FIND("-",C278)-1)&amp;"|"&amp;RIGHT(C278,LEN(C278)-FIND("-",C278))&amp;"|"&amp;LEFT(D278,1)&amp;"|"&amp;LEFT(B278,1)&amp;"|"&amp;Tabela_BaseM[[#This Row],[Valor]]&amp;"|"&amp;Tabela_BaseM[[#This Row],[HISTÓRICO]]&amp;"|"),("|M350|"&amp;LEFT(C278,FIND("-",C278)-1)&amp;"|"&amp;RIGHT(C278,LEN(C278)-FIND("-",C278))&amp;"|"&amp;LEFT(D278,1)&amp;"|"&amp;LEFT(B278,1)&amp;"|"&amp;Tabela_BaseM[[#This Row],[Valor]]&amp;"|"&amp;Tabela_BaseM[[#This Row],[HISTÓRICO]]&amp;"|"))</f>
        <v>#VALUE!</v>
      </c>
    </row>
    <row r="279" spans="10:17" x14ac:dyDescent="0.25">
      <c r="J279" s="11"/>
      <c r="L279" t="str">
        <f>IF(A279="IRPJ",IF(LEFT(B279,1)="1","|M305|",IF(LEFT(B279,1)="2","|M310|",IF(AND(LEFT(B279,1)="3",Tabela_BaseM[[#This Row],[CONTA PARTE B]]&lt;&gt;""),"|M305|",IF(LEFT(B279,1)="4","|M312|","")))),      IF(LEFT(B279,1)="1","|M355|",IF(LEFT(B279,1)="2","|M360|",IF(AND(LEFT(B279,1)="3",Tabela_BaseM[[#This Row],[CONTA PARTE B]]&lt;&gt;""),"|M355|",IF(LEFT(B279,1)="4","|M362|","")))))</f>
        <v/>
      </c>
      <c r="M279" t="str">
        <f>IF(LEFT(Tabela_BaseM[[#This Row],[TIPO RELACIONAMENTO]],1)="3",(IF(A279="IRPJ",IF(LEFT(B279,1)="1","|M305|",IF(LEFT(B279,1)="2","|M310|",IF(LEFT(B279,1)="3","|M310|",IF(LEFT(B279,1)="4","|M312|","")))),IF(LEFT(B279,1)="1","|M355|",IF(LEFT(B279,1)="2","|M360|",IF(LEFT(B279,1)="3","|M360|",IF(LEFT(B279,1)="4","|M362|","")))))),"")</f>
        <v/>
      </c>
      <c r="N27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7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7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79" t="e">
        <f>IF(A279="IRPJ",("|M300|"&amp;LEFT(C279,FIND("-",C279)-1)&amp;"|"&amp;RIGHT(C279,LEN(C279)-FIND("-",C279))&amp;"|"&amp;LEFT(D279,1)&amp;"|"&amp;LEFT(B279,1)&amp;"|"&amp;Tabela_BaseM[[#This Row],[Valor]]&amp;"|"&amp;Tabela_BaseM[[#This Row],[HISTÓRICO]]&amp;"|"),("|M350|"&amp;LEFT(C279,FIND("-",C279)-1)&amp;"|"&amp;RIGHT(C279,LEN(C279)-FIND("-",C279))&amp;"|"&amp;LEFT(D279,1)&amp;"|"&amp;LEFT(B279,1)&amp;"|"&amp;Tabela_BaseM[[#This Row],[Valor]]&amp;"|"&amp;Tabela_BaseM[[#This Row],[HISTÓRICO]]&amp;"|"))</f>
        <v>#VALUE!</v>
      </c>
    </row>
    <row r="280" spans="10:17" x14ac:dyDescent="0.25">
      <c r="J280" s="11"/>
      <c r="L280" t="str">
        <f>IF(A280="IRPJ",IF(LEFT(B280,1)="1","|M305|",IF(LEFT(B280,1)="2","|M310|",IF(AND(LEFT(B280,1)="3",Tabela_BaseM[[#This Row],[CONTA PARTE B]]&lt;&gt;""),"|M305|",IF(LEFT(B280,1)="4","|M312|","")))),      IF(LEFT(B280,1)="1","|M355|",IF(LEFT(B280,1)="2","|M360|",IF(AND(LEFT(B280,1)="3",Tabela_BaseM[[#This Row],[CONTA PARTE B]]&lt;&gt;""),"|M355|",IF(LEFT(B280,1)="4","|M362|","")))))</f>
        <v/>
      </c>
      <c r="M280" t="str">
        <f>IF(LEFT(Tabela_BaseM[[#This Row],[TIPO RELACIONAMENTO]],1)="3",(IF(A280="IRPJ",IF(LEFT(B280,1)="1","|M305|",IF(LEFT(B280,1)="2","|M310|",IF(LEFT(B280,1)="3","|M310|",IF(LEFT(B280,1)="4","|M312|","")))),IF(LEFT(B280,1)="1","|M355|",IF(LEFT(B280,1)="2","|M360|",IF(LEFT(B280,1)="3","|M360|",IF(LEFT(B280,1)="4","|M362|","")))))),"")</f>
        <v/>
      </c>
      <c r="N28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0" t="e">
        <f>IF(A280="IRPJ",("|M300|"&amp;LEFT(C280,FIND("-",C280)-1)&amp;"|"&amp;RIGHT(C280,LEN(C280)-FIND("-",C280))&amp;"|"&amp;LEFT(D280,1)&amp;"|"&amp;LEFT(B280,1)&amp;"|"&amp;Tabela_BaseM[[#This Row],[Valor]]&amp;"|"&amp;Tabela_BaseM[[#This Row],[HISTÓRICO]]&amp;"|"),("|M350|"&amp;LEFT(C280,FIND("-",C280)-1)&amp;"|"&amp;RIGHT(C280,LEN(C280)-FIND("-",C280))&amp;"|"&amp;LEFT(D280,1)&amp;"|"&amp;LEFT(B280,1)&amp;"|"&amp;Tabela_BaseM[[#This Row],[Valor]]&amp;"|"&amp;Tabela_BaseM[[#This Row],[HISTÓRICO]]&amp;"|"))</f>
        <v>#VALUE!</v>
      </c>
    </row>
    <row r="281" spans="10:17" x14ac:dyDescent="0.25">
      <c r="J281" s="11"/>
      <c r="L281" t="str">
        <f>IF(A281="IRPJ",IF(LEFT(B281,1)="1","|M305|",IF(LEFT(B281,1)="2","|M310|",IF(AND(LEFT(B281,1)="3",Tabela_BaseM[[#This Row],[CONTA PARTE B]]&lt;&gt;""),"|M305|",IF(LEFT(B281,1)="4","|M312|","")))),      IF(LEFT(B281,1)="1","|M355|",IF(LEFT(B281,1)="2","|M360|",IF(AND(LEFT(B281,1)="3",Tabela_BaseM[[#This Row],[CONTA PARTE B]]&lt;&gt;""),"|M355|",IF(LEFT(B281,1)="4","|M362|","")))))</f>
        <v/>
      </c>
      <c r="M281" t="str">
        <f>IF(LEFT(Tabela_BaseM[[#This Row],[TIPO RELACIONAMENTO]],1)="3",(IF(A281="IRPJ",IF(LEFT(B281,1)="1","|M305|",IF(LEFT(B281,1)="2","|M310|",IF(LEFT(B281,1)="3","|M310|",IF(LEFT(B281,1)="4","|M312|","")))),IF(LEFT(B281,1)="1","|M355|",IF(LEFT(B281,1)="2","|M360|",IF(LEFT(B281,1)="3","|M360|",IF(LEFT(B281,1)="4","|M362|","")))))),"")</f>
        <v/>
      </c>
      <c r="N28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1" t="e">
        <f>IF(A281="IRPJ",("|M300|"&amp;LEFT(C281,FIND("-",C281)-1)&amp;"|"&amp;RIGHT(C281,LEN(C281)-FIND("-",C281))&amp;"|"&amp;LEFT(D281,1)&amp;"|"&amp;LEFT(B281,1)&amp;"|"&amp;Tabela_BaseM[[#This Row],[Valor]]&amp;"|"&amp;Tabela_BaseM[[#This Row],[HISTÓRICO]]&amp;"|"),("|M350|"&amp;LEFT(C281,FIND("-",C281)-1)&amp;"|"&amp;RIGHT(C281,LEN(C281)-FIND("-",C281))&amp;"|"&amp;LEFT(D281,1)&amp;"|"&amp;LEFT(B281,1)&amp;"|"&amp;Tabela_BaseM[[#This Row],[Valor]]&amp;"|"&amp;Tabela_BaseM[[#This Row],[HISTÓRICO]]&amp;"|"))</f>
        <v>#VALUE!</v>
      </c>
    </row>
    <row r="282" spans="10:17" x14ac:dyDescent="0.25">
      <c r="J282" s="11"/>
      <c r="L282" t="str">
        <f>IF(A282="IRPJ",IF(LEFT(B282,1)="1","|M305|",IF(LEFT(B282,1)="2","|M310|",IF(AND(LEFT(B282,1)="3",Tabela_BaseM[[#This Row],[CONTA PARTE B]]&lt;&gt;""),"|M305|",IF(LEFT(B282,1)="4","|M312|","")))),      IF(LEFT(B282,1)="1","|M355|",IF(LEFT(B282,1)="2","|M360|",IF(AND(LEFT(B282,1)="3",Tabela_BaseM[[#This Row],[CONTA PARTE B]]&lt;&gt;""),"|M355|",IF(LEFT(B282,1)="4","|M362|","")))))</f>
        <v/>
      </c>
      <c r="M282" t="str">
        <f>IF(LEFT(Tabela_BaseM[[#This Row],[TIPO RELACIONAMENTO]],1)="3",(IF(A282="IRPJ",IF(LEFT(B282,1)="1","|M305|",IF(LEFT(B282,1)="2","|M310|",IF(LEFT(B282,1)="3","|M310|",IF(LEFT(B282,1)="4","|M312|","")))),IF(LEFT(B282,1)="1","|M355|",IF(LEFT(B282,1)="2","|M360|",IF(LEFT(B282,1)="3","|M360|",IF(LEFT(B282,1)="4","|M362|","")))))),"")</f>
        <v/>
      </c>
      <c r="N28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2" t="e">
        <f>IF(A282="IRPJ",("|M300|"&amp;LEFT(C282,FIND("-",C282)-1)&amp;"|"&amp;RIGHT(C282,LEN(C282)-FIND("-",C282))&amp;"|"&amp;LEFT(D282,1)&amp;"|"&amp;LEFT(B282,1)&amp;"|"&amp;Tabela_BaseM[[#This Row],[Valor]]&amp;"|"&amp;Tabela_BaseM[[#This Row],[HISTÓRICO]]&amp;"|"),("|M350|"&amp;LEFT(C282,FIND("-",C282)-1)&amp;"|"&amp;RIGHT(C282,LEN(C282)-FIND("-",C282))&amp;"|"&amp;LEFT(D282,1)&amp;"|"&amp;LEFT(B282,1)&amp;"|"&amp;Tabela_BaseM[[#This Row],[Valor]]&amp;"|"&amp;Tabela_BaseM[[#This Row],[HISTÓRICO]]&amp;"|"))</f>
        <v>#VALUE!</v>
      </c>
    </row>
    <row r="283" spans="10:17" x14ac:dyDescent="0.25">
      <c r="J283" s="11"/>
      <c r="L283" t="str">
        <f>IF(A283="IRPJ",IF(LEFT(B283,1)="1","|M305|",IF(LEFT(B283,1)="2","|M310|",IF(AND(LEFT(B283,1)="3",Tabela_BaseM[[#This Row],[CONTA PARTE B]]&lt;&gt;""),"|M305|",IF(LEFT(B283,1)="4","|M312|","")))),      IF(LEFT(B283,1)="1","|M355|",IF(LEFT(B283,1)="2","|M360|",IF(AND(LEFT(B283,1)="3",Tabela_BaseM[[#This Row],[CONTA PARTE B]]&lt;&gt;""),"|M355|",IF(LEFT(B283,1)="4","|M362|","")))))</f>
        <v/>
      </c>
      <c r="M283" t="str">
        <f>IF(LEFT(Tabela_BaseM[[#This Row],[TIPO RELACIONAMENTO]],1)="3",(IF(A283="IRPJ",IF(LEFT(B283,1)="1","|M305|",IF(LEFT(B283,1)="2","|M310|",IF(LEFT(B283,1)="3","|M310|",IF(LEFT(B283,1)="4","|M312|","")))),IF(LEFT(B283,1)="1","|M355|",IF(LEFT(B283,1)="2","|M360|",IF(LEFT(B283,1)="3","|M360|",IF(LEFT(B283,1)="4","|M362|","")))))),"")</f>
        <v/>
      </c>
      <c r="N28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3" t="e">
        <f>IF(A283="IRPJ",("|M300|"&amp;LEFT(C283,FIND("-",C283)-1)&amp;"|"&amp;RIGHT(C283,LEN(C283)-FIND("-",C283))&amp;"|"&amp;LEFT(D283,1)&amp;"|"&amp;LEFT(B283,1)&amp;"|"&amp;Tabela_BaseM[[#This Row],[Valor]]&amp;"|"&amp;Tabela_BaseM[[#This Row],[HISTÓRICO]]&amp;"|"),("|M350|"&amp;LEFT(C283,FIND("-",C283)-1)&amp;"|"&amp;RIGHT(C283,LEN(C283)-FIND("-",C283))&amp;"|"&amp;LEFT(D283,1)&amp;"|"&amp;LEFT(B283,1)&amp;"|"&amp;Tabela_BaseM[[#This Row],[Valor]]&amp;"|"&amp;Tabela_BaseM[[#This Row],[HISTÓRICO]]&amp;"|"))</f>
        <v>#VALUE!</v>
      </c>
    </row>
    <row r="284" spans="10:17" x14ac:dyDescent="0.25">
      <c r="J284" s="11"/>
      <c r="L284" t="str">
        <f>IF(A284="IRPJ",IF(LEFT(B284,1)="1","|M305|",IF(LEFT(B284,1)="2","|M310|",IF(AND(LEFT(B284,1)="3",Tabela_BaseM[[#This Row],[CONTA PARTE B]]&lt;&gt;""),"|M305|",IF(LEFT(B284,1)="4","|M312|","")))),      IF(LEFT(B284,1)="1","|M355|",IF(LEFT(B284,1)="2","|M360|",IF(AND(LEFT(B284,1)="3",Tabela_BaseM[[#This Row],[CONTA PARTE B]]&lt;&gt;""),"|M355|",IF(LEFT(B284,1)="4","|M362|","")))))</f>
        <v/>
      </c>
      <c r="M284" t="str">
        <f>IF(LEFT(Tabela_BaseM[[#This Row],[TIPO RELACIONAMENTO]],1)="3",(IF(A284="IRPJ",IF(LEFT(B284,1)="1","|M305|",IF(LEFT(B284,1)="2","|M310|",IF(LEFT(B284,1)="3","|M310|",IF(LEFT(B284,1)="4","|M312|","")))),IF(LEFT(B284,1)="1","|M355|",IF(LEFT(B284,1)="2","|M360|",IF(LEFT(B284,1)="3","|M360|",IF(LEFT(B284,1)="4","|M362|","")))))),"")</f>
        <v/>
      </c>
      <c r="N28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4" t="e">
        <f>IF(A284="IRPJ",("|M300|"&amp;LEFT(C284,FIND("-",C284)-1)&amp;"|"&amp;RIGHT(C284,LEN(C284)-FIND("-",C284))&amp;"|"&amp;LEFT(D284,1)&amp;"|"&amp;LEFT(B284,1)&amp;"|"&amp;Tabela_BaseM[[#This Row],[Valor]]&amp;"|"&amp;Tabela_BaseM[[#This Row],[HISTÓRICO]]&amp;"|"),("|M350|"&amp;LEFT(C284,FIND("-",C284)-1)&amp;"|"&amp;RIGHT(C284,LEN(C284)-FIND("-",C284))&amp;"|"&amp;LEFT(D284,1)&amp;"|"&amp;LEFT(B284,1)&amp;"|"&amp;Tabela_BaseM[[#This Row],[Valor]]&amp;"|"&amp;Tabela_BaseM[[#This Row],[HISTÓRICO]]&amp;"|"))</f>
        <v>#VALUE!</v>
      </c>
    </row>
    <row r="285" spans="10:17" x14ac:dyDescent="0.25">
      <c r="J285" s="11"/>
      <c r="L285" t="str">
        <f>IF(A285="IRPJ",IF(LEFT(B285,1)="1","|M305|",IF(LEFT(B285,1)="2","|M310|",IF(AND(LEFT(B285,1)="3",Tabela_BaseM[[#This Row],[CONTA PARTE B]]&lt;&gt;""),"|M305|",IF(LEFT(B285,1)="4","|M312|","")))),      IF(LEFT(B285,1)="1","|M355|",IF(LEFT(B285,1)="2","|M360|",IF(AND(LEFT(B285,1)="3",Tabela_BaseM[[#This Row],[CONTA PARTE B]]&lt;&gt;""),"|M355|",IF(LEFT(B285,1)="4","|M362|","")))))</f>
        <v/>
      </c>
      <c r="M285" t="str">
        <f>IF(LEFT(Tabela_BaseM[[#This Row],[TIPO RELACIONAMENTO]],1)="3",(IF(A285="IRPJ",IF(LEFT(B285,1)="1","|M305|",IF(LEFT(B285,1)="2","|M310|",IF(LEFT(B285,1)="3","|M310|",IF(LEFT(B285,1)="4","|M312|","")))),IF(LEFT(B285,1)="1","|M355|",IF(LEFT(B285,1)="2","|M360|",IF(LEFT(B285,1)="3","|M360|",IF(LEFT(B285,1)="4","|M362|","")))))),"")</f>
        <v/>
      </c>
      <c r="N28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5" t="e">
        <f>IF(A285="IRPJ",("|M300|"&amp;LEFT(C285,FIND("-",C285)-1)&amp;"|"&amp;RIGHT(C285,LEN(C285)-FIND("-",C285))&amp;"|"&amp;LEFT(D285,1)&amp;"|"&amp;LEFT(B285,1)&amp;"|"&amp;Tabela_BaseM[[#This Row],[Valor]]&amp;"|"&amp;Tabela_BaseM[[#This Row],[HISTÓRICO]]&amp;"|"),("|M350|"&amp;LEFT(C285,FIND("-",C285)-1)&amp;"|"&amp;RIGHT(C285,LEN(C285)-FIND("-",C285))&amp;"|"&amp;LEFT(D285,1)&amp;"|"&amp;LEFT(B285,1)&amp;"|"&amp;Tabela_BaseM[[#This Row],[Valor]]&amp;"|"&amp;Tabela_BaseM[[#This Row],[HISTÓRICO]]&amp;"|"))</f>
        <v>#VALUE!</v>
      </c>
    </row>
    <row r="286" spans="10:17" x14ac:dyDescent="0.25">
      <c r="J286" s="11"/>
      <c r="L286" t="str">
        <f>IF(A286="IRPJ",IF(LEFT(B286,1)="1","|M305|",IF(LEFT(B286,1)="2","|M310|",IF(AND(LEFT(B286,1)="3",Tabela_BaseM[[#This Row],[CONTA PARTE B]]&lt;&gt;""),"|M305|",IF(LEFT(B286,1)="4","|M312|","")))),      IF(LEFT(B286,1)="1","|M355|",IF(LEFT(B286,1)="2","|M360|",IF(AND(LEFT(B286,1)="3",Tabela_BaseM[[#This Row],[CONTA PARTE B]]&lt;&gt;""),"|M355|",IF(LEFT(B286,1)="4","|M362|","")))))</f>
        <v/>
      </c>
      <c r="M286" t="str">
        <f>IF(LEFT(Tabela_BaseM[[#This Row],[TIPO RELACIONAMENTO]],1)="3",(IF(A286="IRPJ",IF(LEFT(B286,1)="1","|M305|",IF(LEFT(B286,1)="2","|M310|",IF(LEFT(B286,1)="3","|M310|",IF(LEFT(B286,1)="4","|M312|","")))),IF(LEFT(B286,1)="1","|M355|",IF(LEFT(B286,1)="2","|M360|",IF(LEFT(B286,1)="3","|M360|",IF(LEFT(B286,1)="4","|M362|","")))))),"")</f>
        <v/>
      </c>
      <c r="N28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6" t="e">
        <f>IF(A286="IRPJ",("|M300|"&amp;LEFT(C286,FIND("-",C286)-1)&amp;"|"&amp;RIGHT(C286,LEN(C286)-FIND("-",C286))&amp;"|"&amp;LEFT(D286,1)&amp;"|"&amp;LEFT(B286,1)&amp;"|"&amp;Tabela_BaseM[[#This Row],[Valor]]&amp;"|"&amp;Tabela_BaseM[[#This Row],[HISTÓRICO]]&amp;"|"),("|M350|"&amp;LEFT(C286,FIND("-",C286)-1)&amp;"|"&amp;RIGHT(C286,LEN(C286)-FIND("-",C286))&amp;"|"&amp;LEFT(D286,1)&amp;"|"&amp;LEFT(B286,1)&amp;"|"&amp;Tabela_BaseM[[#This Row],[Valor]]&amp;"|"&amp;Tabela_BaseM[[#This Row],[HISTÓRICO]]&amp;"|"))</f>
        <v>#VALUE!</v>
      </c>
    </row>
    <row r="287" spans="10:17" x14ac:dyDescent="0.25">
      <c r="J287" s="11"/>
      <c r="L287" t="str">
        <f>IF(A287="IRPJ",IF(LEFT(B287,1)="1","|M305|",IF(LEFT(B287,1)="2","|M310|",IF(AND(LEFT(B287,1)="3",Tabela_BaseM[[#This Row],[CONTA PARTE B]]&lt;&gt;""),"|M305|",IF(LEFT(B287,1)="4","|M312|","")))),      IF(LEFT(B287,1)="1","|M355|",IF(LEFT(B287,1)="2","|M360|",IF(AND(LEFT(B287,1)="3",Tabela_BaseM[[#This Row],[CONTA PARTE B]]&lt;&gt;""),"|M355|",IF(LEFT(B287,1)="4","|M362|","")))))</f>
        <v/>
      </c>
      <c r="M287" t="str">
        <f>IF(LEFT(Tabela_BaseM[[#This Row],[TIPO RELACIONAMENTO]],1)="3",(IF(A287="IRPJ",IF(LEFT(B287,1)="1","|M305|",IF(LEFT(B287,1)="2","|M310|",IF(LEFT(B287,1)="3","|M310|",IF(LEFT(B287,1)="4","|M312|","")))),IF(LEFT(B287,1)="1","|M355|",IF(LEFT(B287,1)="2","|M360|",IF(LEFT(B287,1)="3","|M360|",IF(LEFT(B287,1)="4","|M362|","")))))),"")</f>
        <v/>
      </c>
      <c r="N28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7" t="e">
        <f>IF(A287="IRPJ",("|M300|"&amp;LEFT(C287,FIND("-",C287)-1)&amp;"|"&amp;RIGHT(C287,LEN(C287)-FIND("-",C287))&amp;"|"&amp;LEFT(D287,1)&amp;"|"&amp;LEFT(B287,1)&amp;"|"&amp;Tabela_BaseM[[#This Row],[Valor]]&amp;"|"&amp;Tabela_BaseM[[#This Row],[HISTÓRICO]]&amp;"|"),("|M350|"&amp;LEFT(C287,FIND("-",C287)-1)&amp;"|"&amp;RIGHT(C287,LEN(C287)-FIND("-",C287))&amp;"|"&amp;LEFT(D287,1)&amp;"|"&amp;LEFT(B287,1)&amp;"|"&amp;Tabela_BaseM[[#This Row],[Valor]]&amp;"|"&amp;Tabela_BaseM[[#This Row],[HISTÓRICO]]&amp;"|"))</f>
        <v>#VALUE!</v>
      </c>
    </row>
    <row r="288" spans="10:17" x14ac:dyDescent="0.25">
      <c r="J288" s="11"/>
      <c r="L288" t="str">
        <f>IF(A288="IRPJ",IF(LEFT(B288,1)="1","|M305|",IF(LEFT(B288,1)="2","|M310|",IF(AND(LEFT(B288,1)="3",Tabela_BaseM[[#This Row],[CONTA PARTE B]]&lt;&gt;""),"|M305|",IF(LEFT(B288,1)="4","|M312|","")))),      IF(LEFT(B288,1)="1","|M355|",IF(LEFT(B288,1)="2","|M360|",IF(AND(LEFT(B288,1)="3",Tabela_BaseM[[#This Row],[CONTA PARTE B]]&lt;&gt;""),"|M355|",IF(LEFT(B288,1)="4","|M362|","")))))</f>
        <v/>
      </c>
      <c r="M288" t="str">
        <f>IF(LEFT(Tabela_BaseM[[#This Row],[TIPO RELACIONAMENTO]],1)="3",(IF(A288="IRPJ",IF(LEFT(B288,1)="1","|M305|",IF(LEFT(B288,1)="2","|M310|",IF(LEFT(B288,1)="3","|M310|",IF(LEFT(B288,1)="4","|M312|","")))),IF(LEFT(B288,1)="1","|M355|",IF(LEFT(B288,1)="2","|M360|",IF(LEFT(B288,1)="3","|M360|",IF(LEFT(B288,1)="4","|M362|","")))))),"")</f>
        <v/>
      </c>
      <c r="N28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8" t="e">
        <f>IF(A288="IRPJ",("|M300|"&amp;LEFT(C288,FIND("-",C288)-1)&amp;"|"&amp;RIGHT(C288,LEN(C288)-FIND("-",C288))&amp;"|"&amp;LEFT(D288,1)&amp;"|"&amp;LEFT(B288,1)&amp;"|"&amp;Tabela_BaseM[[#This Row],[Valor]]&amp;"|"&amp;Tabela_BaseM[[#This Row],[HISTÓRICO]]&amp;"|"),("|M350|"&amp;LEFT(C288,FIND("-",C288)-1)&amp;"|"&amp;RIGHT(C288,LEN(C288)-FIND("-",C288))&amp;"|"&amp;LEFT(D288,1)&amp;"|"&amp;LEFT(B288,1)&amp;"|"&amp;Tabela_BaseM[[#This Row],[Valor]]&amp;"|"&amp;Tabela_BaseM[[#This Row],[HISTÓRICO]]&amp;"|"))</f>
        <v>#VALUE!</v>
      </c>
    </row>
    <row r="289" spans="10:17" x14ac:dyDescent="0.25">
      <c r="J289" s="11"/>
      <c r="L289" t="str">
        <f>IF(A289="IRPJ",IF(LEFT(B289,1)="1","|M305|",IF(LEFT(B289,1)="2","|M310|",IF(AND(LEFT(B289,1)="3",Tabela_BaseM[[#This Row],[CONTA PARTE B]]&lt;&gt;""),"|M305|",IF(LEFT(B289,1)="4","|M312|","")))),      IF(LEFT(B289,1)="1","|M355|",IF(LEFT(B289,1)="2","|M360|",IF(AND(LEFT(B289,1)="3",Tabela_BaseM[[#This Row],[CONTA PARTE B]]&lt;&gt;""),"|M355|",IF(LEFT(B289,1)="4","|M362|","")))))</f>
        <v/>
      </c>
      <c r="M289" t="str">
        <f>IF(LEFT(Tabela_BaseM[[#This Row],[TIPO RELACIONAMENTO]],1)="3",(IF(A289="IRPJ",IF(LEFT(B289,1)="1","|M305|",IF(LEFT(B289,1)="2","|M310|",IF(LEFT(B289,1)="3","|M310|",IF(LEFT(B289,1)="4","|M312|","")))),IF(LEFT(B289,1)="1","|M355|",IF(LEFT(B289,1)="2","|M360|",IF(LEFT(B289,1)="3","|M360|",IF(LEFT(B289,1)="4","|M362|","")))))),"")</f>
        <v/>
      </c>
      <c r="N28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8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8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89" t="e">
        <f>IF(A289="IRPJ",("|M300|"&amp;LEFT(C289,FIND("-",C289)-1)&amp;"|"&amp;RIGHT(C289,LEN(C289)-FIND("-",C289))&amp;"|"&amp;LEFT(D289,1)&amp;"|"&amp;LEFT(B289,1)&amp;"|"&amp;Tabela_BaseM[[#This Row],[Valor]]&amp;"|"&amp;Tabela_BaseM[[#This Row],[HISTÓRICO]]&amp;"|"),("|M350|"&amp;LEFT(C289,FIND("-",C289)-1)&amp;"|"&amp;RIGHT(C289,LEN(C289)-FIND("-",C289))&amp;"|"&amp;LEFT(D289,1)&amp;"|"&amp;LEFT(B289,1)&amp;"|"&amp;Tabela_BaseM[[#This Row],[Valor]]&amp;"|"&amp;Tabela_BaseM[[#This Row],[HISTÓRICO]]&amp;"|"))</f>
        <v>#VALUE!</v>
      </c>
    </row>
    <row r="290" spans="10:17" x14ac:dyDescent="0.25">
      <c r="J290" s="11"/>
      <c r="L290" t="str">
        <f>IF(A290="IRPJ",IF(LEFT(B290,1)="1","|M305|",IF(LEFT(B290,1)="2","|M310|",IF(AND(LEFT(B290,1)="3",Tabela_BaseM[[#This Row],[CONTA PARTE B]]&lt;&gt;""),"|M305|",IF(LEFT(B290,1)="4","|M312|","")))),      IF(LEFT(B290,1)="1","|M355|",IF(LEFT(B290,1)="2","|M360|",IF(AND(LEFT(B290,1)="3",Tabela_BaseM[[#This Row],[CONTA PARTE B]]&lt;&gt;""),"|M355|",IF(LEFT(B290,1)="4","|M362|","")))))</f>
        <v/>
      </c>
      <c r="M290" t="str">
        <f>IF(LEFT(Tabela_BaseM[[#This Row],[TIPO RELACIONAMENTO]],1)="3",(IF(A290="IRPJ",IF(LEFT(B290,1)="1","|M305|",IF(LEFT(B290,1)="2","|M310|",IF(LEFT(B290,1)="3","|M310|",IF(LEFT(B290,1)="4","|M312|","")))),IF(LEFT(B290,1)="1","|M355|",IF(LEFT(B290,1)="2","|M360|",IF(LEFT(B290,1)="3","|M360|",IF(LEFT(B290,1)="4","|M362|","")))))),"")</f>
        <v/>
      </c>
      <c r="N29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0" t="e">
        <f>IF(A290="IRPJ",("|M300|"&amp;LEFT(C290,FIND("-",C290)-1)&amp;"|"&amp;RIGHT(C290,LEN(C290)-FIND("-",C290))&amp;"|"&amp;LEFT(D290,1)&amp;"|"&amp;LEFT(B290,1)&amp;"|"&amp;Tabela_BaseM[[#This Row],[Valor]]&amp;"|"&amp;Tabela_BaseM[[#This Row],[HISTÓRICO]]&amp;"|"),("|M350|"&amp;LEFT(C290,FIND("-",C290)-1)&amp;"|"&amp;RIGHT(C290,LEN(C290)-FIND("-",C290))&amp;"|"&amp;LEFT(D290,1)&amp;"|"&amp;LEFT(B290,1)&amp;"|"&amp;Tabela_BaseM[[#This Row],[Valor]]&amp;"|"&amp;Tabela_BaseM[[#This Row],[HISTÓRICO]]&amp;"|"))</f>
        <v>#VALUE!</v>
      </c>
    </row>
    <row r="291" spans="10:17" x14ac:dyDescent="0.25">
      <c r="J291" s="11"/>
      <c r="L291" t="str">
        <f>IF(A291="IRPJ",IF(LEFT(B291,1)="1","|M305|",IF(LEFT(B291,1)="2","|M310|",IF(AND(LEFT(B291,1)="3",Tabela_BaseM[[#This Row],[CONTA PARTE B]]&lt;&gt;""),"|M305|",IF(LEFT(B291,1)="4","|M312|","")))),      IF(LEFT(B291,1)="1","|M355|",IF(LEFT(B291,1)="2","|M360|",IF(AND(LEFT(B291,1)="3",Tabela_BaseM[[#This Row],[CONTA PARTE B]]&lt;&gt;""),"|M355|",IF(LEFT(B291,1)="4","|M362|","")))))</f>
        <v/>
      </c>
      <c r="M291" t="str">
        <f>IF(LEFT(Tabela_BaseM[[#This Row],[TIPO RELACIONAMENTO]],1)="3",(IF(A291="IRPJ",IF(LEFT(B291,1)="1","|M305|",IF(LEFT(B291,1)="2","|M310|",IF(LEFT(B291,1)="3","|M310|",IF(LEFT(B291,1)="4","|M312|","")))),IF(LEFT(B291,1)="1","|M355|",IF(LEFT(B291,1)="2","|M360|",IF(LEFT(B291,1)="3","|M360|",IF(LEFT(B291,1)="4","|M362|","")))))),"")</f>
        <v/>
      </c>
      <c r="N29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1" t="e">
        <f>IF(A291="IRPJ",("|M300|"&amp;LEFT(C291,FIND("-",C291)-1)&amp;"|"&amp;RIGHT(C291,LEN(C291)-FIND("-",C291))&amp;"|"&amp;LEFT(D291,1)&amp;"|"&amp;LEFT(B291,1)&amp;"|"&amp;Tabela_BaseM[[#This Row],[Valor]]&amp;"|"&amp;Tabela_BaseM[[#This Row],[HISTÓRICO]]&amp;"|"),("|M350|"&amp;LEFT(C291,FIND("-",C291)-1)&amp;"|"&amp;RIGHT(C291,LEN(C291)-FIND("-",C291))&amp;"|"&amp;LEFT(D291,1)&amp;"|"&amp;LEFT(B291,1)&amp;"|"&amp;Tabela_BaseM[[#This Row],[Valor]]&amp;"|"&amp;Tabela_BaseM[[#This Row],[HISTÓRICO]]&amp;"|"))</f>
        <v>#VALUE!</v>
      </c>
    </row>
    <row r="292" spans="10:17" x14ac:dyDescent="0.25">
      <c r="J292" s="11"/>
      <c r="L292" t="str">
        <f>IF(A292="IRPJ",IF(LEFT(B292,1)="1","|M305|",IF(LEFT(B292,1)="2","|M310|",IF(AND(LEFT(B292,1)="3",Tabela_BaseM[[#This Row],[CONTA PARTE B]]&lt;&gt;""),"|M305|",IF(LEFT(B292,1)="4","|M312|","")))),      IF(LEFT(B292,1)="1","|M355|",IF(LEFT(B292,1)="2","|M360|",IF(AND(LEFT(B292,1)="3",Tabela_BaseM[[#This Row],[CONTA PARTE B]]&lt;&gt;""),"|M355|",IF(LEFT(B292,1)="4","|M362|","")))))</f>
        <v/>
      </c>
      <c r="M292" t="str">
        <f>IF(LEFT(Tabela_BaseM[[#This Row],[TIPO RELACIONAMENTO]],1)="3",(IF(A292="IRPJ",IF(LEFT(B292,1)="1","|M305|",IF(LEFT(B292,1)="2","|M310|",IF(LEFT(B292,1)="3","|M310|",IF(LEFT(B292,1)="4","|M312|","")))),IF(LEFT(B292,1)="1","|M355|",IF(LEFT(B292,1)="2","|M360|",IF(LEFT(B292,1)="3","|M360|",IF(LEFT(B292,1)="4","|M362|","")))))),"")</f>
        <v/>
      </c>
      <c r="N29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2" t="e">
        <f>IF(A292="IRPJ",("|M300|"&amp;LEFT(C292,FIND("-",C292)-1)&amp;"|"&amp;RIGHT(C292,LEN(C292)-FIND("-",C292))&amp;"|"&amp;LEFT(D292,1)&amp;"|"&amp;LEFT(B292,1)&amp;"|"&amp;Tabela_BaseM[[#This Row],[Valor]]&amp;"|"&amp;Tabela_BaseM[[#This Row],[HISTÓRICO]]&amp;"|"),("|M350|"&amp;LEFT(C292,FIND("-",C292)-1)&amp;"|"&amp;RIGHT(C292,LEN(C292)-FIND("-",C292))&amp;"|"&amp;LEFT(D292,1)&amp;"|"&amp;LEFT(B292,1)&amp;"|"&amp;Tabela_BaseM[[#This Row],[Valor]]&amp;"|"&amp;Tabela_BaseM[[#This Row],[HISTÓRICO]]&amp;"|"))</f>
        <v>#VALUE!</v>
      </c>
    </row>
    <row r="293" spans="10:17" x14ac:dyDescent="0.25">
      <c r="J293" s="11"/>
      <c r="L293" t="str">
        <f>IF(A293="IRPJ",IF(LEFT(B293,1)="1","|M305|",IF(LEFT(B293,1)="2","|M310|",IF(AND(LEFT(B293,1)="3",Tabela_BaseM[[#This Row],[CONTA PARTE B]]&lt;&gt;""),"|M305|",IF(LEFT(B293,1)="4","|M312|","")))),      IF(LEFT(B293,1)="1","|M355|",IF(LEFT(B293,1)="2","|M360|",IF(AND(LEFT(B293,1)="3",Tabela_BaseM[[#This Row],[CONTA PARTE B]]&lt;&gt;""),"|M355|",IF(LEFT(B293,1)="4","|M362|","")))))</f>
        <v/>
      </c>
      <c r="M293" t="str">
        <f>IF(LEFT(Tabela_BaseM[[#This Row],[TIPO RELACIONAMENTO]],1)="3",(IF(A293="IRPJ",IF(LEFT(B293,1)="1","|M305|",IF(LEFT(B293,1)="2","|M310|",IF(LEFT(B293,1)="3","|M310|",IF(LEFT(B293,1)="4","|M312|","")))),IF(LEFT(B293,1)="1","|M355|",IF(LEFT(B293,1)="2","|M360|",IF(LEFT(B293,1)="3","|M360|",IF(LEFT(B293,1)="4","|M362|","")))))),"")</f>
        <v/>
      </c>
      <c r="N29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3" t="e">
        <f>IF(A293="IRPJ",("|M300|"&amp;LEFT(C293,FIND("-",C293)-1)&amp;"|"&amp;RIGHT(C293,LEN(C293)-FIND("-",C293))&amp;"|"&amp;LEFT(D293,1)&amp;"|"&amp;LEFT(B293,1)&amp;"|"&amp;Tabela_BaseM[[#This Row],[Valor]]&amp;"|"&amp;Tabela_BaseM[[#This Row],[HISTÓRICO]]&amp;"|"),("|M350|"&amp;LEFT(C293,FIND("-",C293)-1)&amp;"|"&amp;RIGHT(C293,LEN(C293)-FIND("-",C293))&amp;"|"&amp;LEFT(D293,1)&amp;"|"&amp;LEFT(B293,1)&amp;"|"&amp;Tabela_BaseM[[#This Row],[Valor]]&amp;"|"&amp;Tabela_BaseM[[#This Row],[HISTÓRICO]]&amp;"|"))</f>
        <v>#VALUE!</v>
      </c>
    </row>
    <row r="294" spans="10:17" x14ac:dyDescent="0.25">
      <c r="J294" s="11"/>
      <c r="L294" t="str">
        <f>IF(A294="IRPJ",IF(LEFT(B294,1)="1","|M305|",IF(LEFT(B294,1)="2","|M310|",IF(AND(LEFT(B294,1)="3",Tabela_BaseM[[#This Row],[CONTA PARTE B]]&lt;&gt;""),"|M305|",IF(LEFT(B294,1)="4","|M312|","")))),      IF(LEFT(B294,1)="1","|M355|",IF(LEFT(B294,1)="2","|M360|",IF(AND(LEFT(B294,1)="3",Tabela_BaseM[[#This Row],[CONTA PARTE B]]&lt;&gt;""),"|M355|",IF(LEFT(B294,1)="4","|M362|","")))))</f>
        <v/>
      </c>
      <c r="M294" t="str">
        <f>IF(LEFT(Tabela_BaseM[[#This Row],[TIPO RELACIONAMENTO]],1)="3",(IF(A294="IRPJ",IF(LEFT(B294,1)="1","|M305|",IF(LEFT(B294,1)="2","|M310|",IF(LEFT(B294,1)="3","|M310|",IF(LEFT(B294,1)="4","|M312|","")))),IF(LEFT(B294,1)="1","|M355|",IF(LEFT(B294,1)="2","|M360|",IF(LEFT(B294,1)="3","|M360|",IF(LEFT(B294,1)="4","|M362|","")))))),"")</f>
        <v/>
      </c>
      <c r="N29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4" t="e">
        <f>IF(A294="IRPJ",("|M300|"&amp;LEFT(C294,FIND("-",C294)-1)&amp;"|"&amp;RIGHT(C294,LEN(C294)-FIND("-",C294))&amp;"|"&amp;LEFT(D294,1)&amp;"|"&amp;LEFT(B294,1)&amp;"|"&amp;Tabela_BaseM[[#This Row],[Valor]]&amp;"|"&amp;Tabela_BaseM[[#This Row],[HISTÓRICO]]&amp;"|"),("|M350|"&amp;LEFT(C294,FIND("-",C294)-1)&amp;"|"&amp;RIGHT(C294,LEN(C294)-FIND("-",C294))&amp;"|"&amp;LEFT(D294,1)&amp;"|"&amp;LEFT(B294,1)&amp;"|"&amp;Tabela_BaseM[[#This Row],[Valor]]&amp;"|"&amp;Tabela_BaseM[[#This Row],[HISTÓRICO]]&amp;"|"))</f>
        <v>#VALUE!</v>
      </c>
    </row>
    <row r="295" spans="10:17" x14ac:dyDescent="0.25">
      <c r="J295" s="11"/>
      <c r="L295" t="str">
        <f>IF(A295="IRPJ",IF(LEFT(B295,1)="1","|M305|",IF(LEFT(B295,1)="2","|M310|",IF(AND(LEFT(B295,1)="3",Tabela_BaseM[[#This Row],[CONTA PARTE B]]&lt;&gt;""),"|M305|",IF(LEFT(B295,1)="4","|M312|","")))),      IF(LEFT(B295,1)="1","|M355|",IF(LEFT(B295,1)="2","|M360|",IF(AND(LEFT(B295,1)="3",Tabela_BaseM[[#This Row],[CONTA PARTE B]]&lt;&gt;""),"|M355|",IF(LEFT(B295,1)="4","|M362|","")))))</f>
        <v/>
      </c>
      <c r="M295" t="str">
        <f>IF(LEFT(Tabela_BaseM[[#This Row],[TIPO RELACIONAMENTO]],1)="3",(IF(A295="IRPJ",IF(LEFT(B295,1)="1","|M305|",IF(LEFT(B295,1)="2","|M310|",IF(LEFT(B295,1)="3","|M310|",IF(LEFT(B295,1)="4","|M312|","")))),IF(LEFT(B295,1)="1","|M355|",IF(LEFT(B295,1)="2","|M360|",IF(LEFT(B295,1)="3","|M360|",IF(LEFT(B295,1)="4","|M362|","")))))),"")</f>
        <v/>
      </c>
      <c r="N29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5" t="e">
        <f>IF(A295="IRPJ",("|M300|"&amp;LEFT(C295,FIND("-",C295)-1)&amp;"|"&amp;RIGHT(C295,LEN(C295)-FIND("-",C295))&amp;"|"&amp;LEFT(D295,1)&amp;"|"&amp;LEFT(B295,1)&amp;"|"&amp;Tabela_BaseM[[#This Row],[Valor]]&amp;"|"&amp;Tabela_BaseM[[#This Row],[HISTÓRICO]]&amp;"|"),("|M350|"&amp;LEFT(C295,FIND("-",C295)-1)&amp;"|"&amp;RIGHT(C295,LEN(C295)-FIND("-",C295))&amp;"|"&amp;LEFT(D295,1)&amp;"|"&amp;LEFT(B295,1)&amp;"|"&amp;Tabela_BaseM[[#This Row],[Valor]]&amp;"|"&amp;Tabela_BaseM[[#This Row],[HISTÓRICO]]&amp;"|"))</f>
        <v>#VALUE!</v>
      </c>
    </row>
    <row r="296" spans="10:17" x14ac:dyDescent="0.25">
      <c r="J296" s="11"/>
      <c r="L296" t="str">
        <f>IF(A296="IRPJ",IF(LEFT(B296,1)="1","|M305|",IF(LEFT(B296,1)="2","|M310|",IF(AND(LEFT(B296,1)="3",Tabela_BaseM[[#This Row],[CONTA PARTE B]]&lt;&gt;""),"|M305|",IF(LEFT(B296,1)="4","|M312|","")))),      IF(LEFT(B296,1)="1","|M355|",IF(LEFT(B296,1)="2","|M360|",IF(AND(LEFT(B296,1)="3",Tabela_BaseM[[#This Row],[CONTA PARTE B]]&lt;&gt;""),"|M355|",IF(LEFT(B296,1)="4","|M362|","")))))</f>
        <v/>
      </c>
      <c r="M296" t="str">
        <f>IF(LEFT(Tabela_BaseM[[#This Row],[TIPO RELACIONAMENTO]],1)="3",(IF(A296="IRPJ",IF(LEFT(B296,1)="1","|M305|",IF(LEFT(B296,1)="2","|M310|",IF(LEFT(B296,1)="3","|M310|",IF(LEFT(B296,1)="4","|M312|","")))),IF(LEFT(B296,1)="1","|M355|",IF(LEFT(B296,1)="2","|M360|",IF(LEFT(B296,1)="3","|M360|",IF(LEFT(B296,1)="4","|M362|","")))))),"")</f>
        <v/>
      </c>
      <c r="N29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6" t="e">
        <f>IF(A296="IRPJ",("|M300|"&amp;LEFT(C296,FIND("-",C296)-1)&amp;"|"&amp;RIGHT(C296,LEN(C296)-FIND("-",C296))&amp;"|"&amp;LEFT(D296,1)&amp;"|"&amp;LEFT(B296,1)&amp;"|"&amp;Tabela_BaseM[[#This Row],[Valor]]&amp;"|"&amp;Tabela_BaseM[[#This Row],[HISTÓRICO]]&amp;"|"),("|M350|"&amp;LEFT(C296,FIND("-",C296)-1)&amp;"|"&amp;RIGHT(C296,LEN(C296)-FIND("-",C296))&amp;"|"&amp;LEFT(D296,1)&amp;"|"&amp;LEFT(B296,1)&amp;"|"&amp;Tabela_BaseM[[#This Row],[Valor]]&amp;"|"&amp;Tabela_BaseM[[#This Row],[HISTÓRICO]]&amp;"|"))</f>
        <v>#VALUE!</v>
      </c>
    </row>
    <row r="297" spans="10:17" x14ac:dyDescent="0.25">
      <c r="J297" s="11"/>
      <c r="L297" t="str">
        <f>IF(A297="IRPJ",IF(LEFT(B297,1)="1","|M305|",IF(LEFT(B297,1)="2","|M310|",IF(AND(LEFT(B297,1)="3",Tabela_BaseM[[#This Row],[CONTA PARTE B]]&lt;&gt;""),"|M305|",IF(LEFT(B297,1)="4","|M312|","")))),      IF(LEFT(B297,1)="1","|M355|",IF(LEFT(B297,1)="2","|M360|",IF(AND(LEFT(B297,1)="3",Tabela_BaseM[[#This Row],[CONTA PARTE B]]&lt;&gt;""),"|M355|",IF(LEFT(B297,1)="4","|M362|","")))))</f>
        <v/>
      </c>
      <c r="M297" t="str">
        <f>IF(LEFT(Tabela_BaseM[[#This Row],[TIPO RELACIONAMENTO]],1)="3",(IF(A297="IRPJ",IF(LEFT(B297,1)="1","|M305|",IF(LEFT(B297,1)="2","|M310|",IF(LEFT(B297,1)="3","|M310|",IF(LEFT(B297,1)="4","|M312|","")))),IF(LEFT(B297,1)="1","|M355|",IF(LEFT(B297,1)="2","|M360|",IF(LEFT(B297,1)="3","|M360|",IF(LEFT(B297,1)="4","|M362|","")))))),"")</f>
        <v/>
      </c>
      <c r="N29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7" t="e">
        <f>IF(A297="IRPJ",("|M300|"&amp;LEFT(C297,FIND("-",C297)-1)&amp;"|"&amp;RIGHT(C297,LEN(C297)-FIND("-",C297))&amp;"|"&amp;LEFT(D297,1)&amp;"|"&amp;LEFT(B297,1)&amp;"|"&amp;Tabela_BaseM[[#This Row],[Valor]]&amp;"|"&amp;Tabela_BaseM[[#This Row],[HISTÓRICO]]&amp;"|"),("|M350|"&amp;LEFT(C297,FIND("-",C297)-1)&amp;"|"&amp;RIGHT(C297,LEN(C297)-FIND("-",C297))&amp;"|"&amp;LEFT(D297,1)&amp;"|"&amp;LEFT(B297,1)&amp;"|"&amp;Tabela_BaseM[[#This Row],[Valor]]&amp;"|"&amp;Tabela_BaseM[[#This Row],[HISTÓRICO]]&amp;"|"))</f>
        <v>#VALUE!</v>
      </c>
    </row>
    <row r="298" spans="10:17" x14ac:dyDescent="0.25">
      <c r="J298" s="11"/>
      <c r="L298" t="str">
        <f>IF(A298="IRPJ",IF(LEFT(B298,1)="1","|M305|",IF(LEFT(B298,1)="2","|M310|",IF(AND(LEFT(B298,1)="3",Tabela_BaseM[[#This Row],[CONTA PARTE B]]&lt;&gt;""),"|M305|",IF(LEFT(B298,1)="4","|M312|","")))),      IF(LEFT(B298,1)="1","|M355|",IF(LEFT(B298,1)="2","|M360|",IF(AND(LEFT(B298,1)="3",Tabela_BaseM[[#This Row],[CONTA PARTE B]]&lt;&gt;""),"|M355|",IF(LEFT(B298,1)="4","|M362|","")))))</f>
        <v/>
      </c>
      <c r="M298" t="str">
        <f>IF(LEFT(Tabela_BaseM[[#This Row],[TIPO RELACIONAMENTO]],1)="3",(IF(A298="IRPJ",IF(LEFT(B298,1)="1","|M305|",IF(LEFT(B298,1)="2","|M310|",IF(LEFT(B298,1)="3","|M310|",IF(LEFT(B298,1)="4","|M312|","")))),IF(LEFT(B298,1)="1","|M355|",IF(LEFT(B298,1)="2","|M360|",IF(LEFT(B298,1)="3","|M360|",IF(LEFT(B298,1)="4","|M362|","")))))),"")</f>
        <v/>
      </c>
      <c r="N29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8" t="e">
        <f>IF(A298="IRPJ",("|M300|"&amp;LEFT(C298,FIND("-",C298)-1)&amp;"|"&amp;RIGHT(C298,LEN(C298)-FIND("-",C298))&amp;"|"&amp;LEFT(D298,1)&amp;"|"&amp;LEFT(B298,1)&amp;"|"&amp;Tabela_BaseM[[#This Row],[Valor]]&amp;"|"&amp;Tabela_BaseM[[#This Row],[HISTÓRICO]]&amp;"|"),("|M350|"&amp;LEFT(C298,FIND("-",C298)-1)&amp;"|"&amp;RIGHT(C298,LEN(C298)-FIND("-",C298))&amp;"|"&amp;LEFT(D298,1)&amp;"|"&amp;LEFT(B298,1)&amp;"|"&amp;Tabela_BaseM[[#This Row],[Valor]]&amp;"|"&amp;Tabela_BaseM[[#This Row],[HISTÓRICO]]&amp;"|"))</f>
        <v>#VALUE!</v>
      </c>
    </row>
    <row r="299" spans="10:17" x14ac:dyDescent="0.25">
      <c r="J299" s="11"/>
      <c r="L299" t="str">
        <f>IF(A299="IRPJ",IF(LEFT(B299,1)="1","|M305|",IF(LEFT(B299,1)="2","|M310|",IF(AND(LEFT(B299,1)="3",Tabela_BaseM[[#This Row],[CONTA PARTE B]]&lt;&gt;""),"|M305|",IF(LEFT(B299,1)="4","|M312|","")))),      IF(LEFT(B299,1)="1","|M355|",IF(LEFT(B299,1)="2","|M360|",IF(AND(LEFT(B299,1)="3",Tabela_BaseM[[#This Row],[CONTA PARTE B]]&lt;&gt;""),"|M355|",IF(LEFT(B299,1)="4","|M362|","")))))</f>
        <v/>
      </c>
      <c r="M299" t="str">
        <f>IF(LEFT(Tabela_BaseM[[#This Row],[TIPO RELACIONAMENTO]],1)="3",(IF(A299="IRPJ",IF(LEFT(B299,1)="1","|M305|",IF(LEFT(B299,1)="2","|M310|",IF(LEFT(B299,1)="3","|M310|",IF(LEFT(B299,1)="4","|M312|","")))),IF(LEFT(B299,1)="1","|M355|",IF(LEFT(B299,1)="2","|M360|",IF(LEFT(B299,1)="3","|M360|",IF(LEFT(B299,1)="4","|M362|","")))))),"")</f>
        <v/>
      </c>
      <c r="N29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29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29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299" t="e">
        <f>IF(A299="IRPJ",("|M300|"&amp;LEFT(C299,FIND("-",C299)-1)&amp;"|"&amp;RIGHT(C299,LEN(C299)-FIND("-",C299))&amp;"|"&amp;LEFT(D299,1)&amp;"|"&amp;LEFT(B299,1)&amp;"|"&amp;Tabela_BaseM[[#This Row],[Valor]]&amp;"|"&amp;Tabela_BaseM[[#This Row],[HISTÓRICO]]&amp;"|"),("|M350|"&amp;LEFT(C299,FIND("-",C299)-1)&amp;"|"&amp;RIGHT(C299,LEN(C299)-FIND("-",C299))&amp;"|"&amp;LEFT(D299,1)&amp;"|"&amp;LEFT(B299,1)&amp;"|"&amp;Tabela_BaseM[[#This Row],[Valor]]&amp;"|"&amp;Tabela_BaseM[[#This Row],[HISTÓRICO]]&amp;"|"))</f>
        <v>#VALUE!</v>
      </c>
    </row>
    <row r="300" spans="10:17" x14ac:dyDescent="0.25">
      <c r="J300" s="11"/>
      <c r="L300" t="str">
        <f>IF(A300="IRPJ",IF(LEFT(B300,1)="1","|M305|",IF(LEFT(B300,1)="2","|M310|",IF(AND(LEFT(B300,1)="3",Tabela_BaseM[[#This Row],[CONTA PARTE B]]&lt;&gt;""),"|M305|",IF(LEFT(B300,1)="4","|M312|","")))),      IF(LEFT(B300,1)="1","|M355|",IF(LEFT(B300,1)="2","|M360|",IF(AND(LEFT(B300,1)="3",Tabela_BaseM[[#This Row],[CONTA PARTE B]]&lt;&gt;""),"|M355|",IF(LEFT(B300,1)="4","|M362|","")))))</f>
        <v/>
      </c>
      <c r="M300" t="str">
        <f>IF(LEFT(Tabela_BaseM[[#This Row],[TIPO RELACIONAMENTO]],1)="3",(IF(A300="IRPJ",IF(LEFT(B300,1)="1","|M305|",IF(LEFT(B300,1)="2","|M310|",IF(LEFT(B300,1)="3","|M310|",IF(LEFT(B300,1)="4","|M312|","")))),IF(LEFT(B300,1)="1","|M355|",IF(LEFT(B300,1)="2","|M360|",IF(LEFT(B300,1)="3","|M360|",IF(LEFT(B300,1)="4","|M362|","")))))),"")</f>
        <v/>
      </c>
      <c r="N30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0" t="e">
        <f>IF(A300="IRPJ",("|M300|"&amp;LEFT(C300,FIND("-",C300)-1)&amp;"|"&amp;RIGHT(C300,LEN(C300)-FIND("-",C300))&amp;"|"&amp;LEFT(D300,1)&amp;"|"&amp;LEFT(B300,1)&amp;"|"&amp;Tabela_BaseM[[#This Row],[Valor]]&amp;"|"&amp;Tabela_BaseM[[#This Row],[HISTÓRICO]]&amp;"|"),("|M350|"&amp;LEFT(C300,FIND("-",C300)-1)&amp;"|"&amp;RIGHT(C300,LEN(C300)-FIND("-",C300))&amp;"|"&amp;LEFT(D300,1)&amp;"|"&amp;LEFT(B300,1)&amp;"|"&amp;Tabela_BaseM[[#This Row],[Valor]]&amp;"|"&amp;Tabela_BaseM[[#This Row],[HISTÓRICO]]&amp;"|"))</f>
        <v>#VALUE!</v>
      </c>
    </row>
    <row r="301" spans="10:17" x14ac:dyDescent="0.25">
      <c r="J301" s="11"/>
      <c r="L301" t="str">
        <f>IF(A301="IRPJ",IF(LEFT(B301,1)="1","|M305|",IF(LEFT(B301,1)="2","|M310|",IF(AND(LEFT(B301,1)="3",Tabela_BaseM[[#This Row],[CONTA PARTE B]]&lt;&gt;""),"|M305|",IF(LEFT(B301,1)="4","|M312|","")))),      IF(LEFT(B301,1)="1","|M355|",IF(LEFT(B301,1)="2","|M360|",IF(AND(LEFT(B301,1)="3",Tabela_BaseM[[#This Row],[CONTA PARTE B]]&lt;&gt;""),"|M355|",IF(LEFT(B301,1)="4","|M362|","")))))</f>
        <v/>
      </c>
      <c r="M301" t="str">
        <f>IF(LEFT(Tabela_BaseM[[#This Row],[TIPO RELACIONAMENTO]],1)="3",(IF(A301="IRPJ",IF(LEFT(B301,1)="1","|M305|",IF(LEFT(B301,1)="2","|M310|",IF(LEFT(B301,1)="3","|M310|",IF(LEFT(B301,1)="4","|M312|","")))),IF(LEFT(B301,1)="1","|M355|",IF(LEFT(B301,1)="2","|M360|",IF(LEFT(B301,1)="3","|M360|",IF(LEFT(B301,1)="4","|M362|","")))))),"")</f>
        <v/>
      </c>
      <c r="N30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1" t="e">
        <f>IF(A301="IRPJ",("|M300|"&amp;LEFT(C301,FIND("-",C301)-1)&amp;"|"&amp;RIGHT(C301,LEN(C301)-FIND("-",C301))&amp;"|"&amp;LEFT(D301,1)&amp;"|"&amp;LEFT(B301,1)&amp;"|"&amp;Tabela_BaseM[[#This Row],[Valor]]&amp;"|"&amp;Tabela_BaseM[[#This Row],[HISTÓRICO]]&amp;"|"),("|M350|"&amp;LEFT(C301,FIND("-",C301)-1)&amp;"|"&amp;RIGHT(C301,LEN(C301)-FIND("-",C301))&amp;"|"&amp;LEFT(D301,1)&amp;"|"&amp;LEFT(B301,1)&amp;"|"&amp;Tabela_BaseM[[#This Row],[Valor]]&amp;"|"&amp;Tabela_BaseM[[#This Row],[HISTÓRICO]]&amp;"|"))</f>
        <v>#VALUE!</v>
      </c>
    </row>
    <row r="302" spans="10:17" x14ac:dyDescent="0.25">
      <c r="J302" s="11"/>
      <c r="L302" t="str">
        <f>IF(A302="IRPJ",IF(LEFT(B302,1)="1","|M305|",IF(LEFT(B302,1)="2","|M310|",IF(AND(LEFT(B302,1)="3",Tabela_BaseM[[#This Row],[CONTA PARTE B]]&lt;&gt;""),"|M305|",IF(LEFT(B302,1)="4","|M312|","")))),      IF(LEFT(B302,1)="1","|M355|",IF(LEFT(B302,1)="2","|M360|",IF(AND(LEFT(B302,1)="3",Tabela_BaseM[[#This Row],[CONTA PARTE B]]&lt;&gt;""),"|M355|",IF(LEFT(B302,1)="4","|M362|","")))))</f>
        <v/>
      </c>
      <c r="M302" t="str">
        <f>IF(LEFT(Tabela_BaseM[[#This Row],[TIPO RELACIONAMENTO]],1)="3",(IF(A302="IRPJ",IF(LEFT(B302,1)="1","|M305|",IF(LEFT(B302,1)="2","|M310|",IF(LEFT(B302,1)="3","|M310|",IF(LEFT(B302,1)="4","|M312|","")))),IF(LEFT(B302,1)="1","|M355|",IF(LEFT(B302,1)="2","|M360|",IF(LEFT(B302,1)="3","|M360|",IF(LEFT(B302,1)="4","|M362|","")))))),"")</f>
        <v/>
      </c>
      <c r="N30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2" t="e">
        <f>IF(A302="IRPJ",("|M300|"&amp;LEFT(C302,FIND("-",C302)-1)&amp;"|"&amp;RIGHT(C302,LEN(C302)-FIND("-",C302))&amp;"|"&amp;LEFT(D302,1)&amp;"|"&amp;LEFT(B302,1)&amp;"|"&amp;Tabela_BaseM[[#This Row],[Valor]]&amp;"|"&amp;Tabela_BaseM[[#This Row],[HISTÓRICO]]&amp;"|"),("|M350|"&amp;LEFT(C302,FIND("-",C302)-1)&amp;"|"&amp;RIGHT(C302,LEN(C302)-FIND("-",C302))&amp;"|"&amp;LEFT(D302,1)&amp;"|"&amp;LEFT(B302,1)&amp;"|"&amp;Tabela_BaseM[[#This Row],[Valor]]&amp;"|"&amp;Tabela_BaseM[[#This Row],[HISTÓRICO]]&amp;"|"))</f>
        <v>#VALUE!</v>
      </c>
    </row>
    <row r="303" spans="10:17" x14ac:dyDescent="0.25">
      <c r="J303" s="11"/>
      <c r="L303" t="str">
        <f>IF(A303="IRPJ",IF(LEFT(B303,1)="1","|M305|",IF(LEFT(B303,1)="2","|M310|",IF(AND(LEFT(B303,1)="3",Tabela_BaseM[[#This Row],[CONTA PARTE B]]&lt;&gt;""),"|M305|",IF(LEFT(B303,1)="4","|M312|","")))),      IF(LEFT(B303,1)="1","|M355|",IF(LEFT(B303,1)="2","|M360|",IF(AND(LEFT(B303,1)="3",Tabela_BaseM[[#This Row],[CONTA PARTE B]]&lt;&gt;""),"|M355|",IF(LEFT(B303,1)="4","|M362|","")))))</f>
        <v/>
      </c>
      <c r="M303" t="str">
        <f>IF(LEFT(Tabela_BaseM[[#This Row],[TIPO RELACIONAMENTO]],1)="3",(IF(A303="IRPJ",IF(LEFT(B303,1)="1","|M305|",IF(LEFT(B303,1)="2","|M310|",IF(LEFT(B303,1)="3","|M310|",IF(LEFT(B303,1)="4","|M312|","")))),IF(LEFT(B303,1)="1","|M355|",IF(LEFT(B303,1)="2","|M360|",IF(LEFT(B303,1)="3","|M360|",IF(LEFT(B303,1)="4","|M362|","")))))),"")</f>
        <v/>
      </c>
      <c r="N30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3" t="e">
        <f>IF(A303="IRPJ",("|M300|"&amp;LEFT(C303,FIND("-",C303)-1)&amp;"|"&amp;RIGHT(C303,LEN(C303)-FIND("-",C303))&amp;"|"&amp;LEFT(D303,1)&amp;"|"&amp;LEFT(B303,1)&amp;"|"&amp;Tabela_BaseM[[#This Row],[Valor]]&amp;"|"&amp;Tabela_BaseM[[#This Row],[HISTÓRICO]]&amp;"|"),("|M350|"&amp;LEFT(C303,FIND("-",C303)-1)&amp;"|"&amp;RIGHT(C303,LEN(C303)-FIND("-",C303))&amp;"|"&amp;LEFT(D303,1)&amp;"|"&amp;LEFT(B303,1)&amp;"|"&amp;Tabela_BaseM[[#This Row],[Valor]]&amp;"|"&amp;Tabela_BaseM[[#This Row],[HISTÓRICO]]&amp;"|"))</f>
        <v>#VALUE!</v>
      </c>
    </row>
    <row r="304" spans="10:17" x14ac:dyDescent="0.25">
      <c r="J304" s="11"/>
      <c r="L304" t="str">
        <f>IF(A304="IRPJ",IF(LEFT(B304,1)="1","|M305|",IF(LEFT(B304,1)="2","|M310|",IF(AND(LEFT(B304,1)="3",Tabela_BaseM[[#This Row],[CONTA PARTE B]]&lt;&gt;""),"|M305|",IF(LEFT(B304,1)="4","|M312|","")))),      IF(LEFT(B304,1)="1","|M355|",IF(LEFT(B304,1)="2","|M360|",IF(AND(LEFT(B304,1)="3",Tabela_BaseM[[#This Row],[CONTA PARTE B]]&lt;&gt;""),"|M355|",IF(LEFT(B304,1)="4","|M362|","")))))</f>
        <v/>
      </c>
      <c r="M304" t="str">
        <f>IF(LEFT(Tabela_BaseM[[#This Row],[TIPO RELACIONAMENTO]],1)="3",(IF(A304="IRPJ",IF(LEFT(B304,1)="1","|M305|",IF(LEFT(B304,1)="2","|M310|",IF(LEFT(B304,1)="3","|M310|",IF(LEFT(B304,1)="4","|M312|","")))),IF(LEFT(B304,1)="1","|M355|",IF(LEFT(B304,1)="2","|M360|",IF(LEFT(B304,1)="3","|M360|",IF(LEFT(B304,1)="4","|M362|","")))))),"")</f>
        <v/>
      </c>
      <c r="N30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4" t="e">
        <f>IF(A304="IRPJ",("|M300|"&amp;LEFT(C304,FIND("-",C304)-1)&amp;"|"&amp;RIGHT(C304,LEN(C304)-FIND("-",C304))&amp;"|"&amp;LEFT(D304,1)&amp;"|"&amp;LEFT(B304,1)&amp;"|"&amp;Tabela_BaseM[[#This Row],[Valor]]&amp;"|"&amp;Tabela_BaseM[[#This Row],[HISTÓRICO]]&amp;"|"),("|M350|"&amp;LEFT(C304,FIND("-",C304)-1)&amp;"|"&amp;RIGHT(C304,LEN(C304)-FIND("-",C304))&amp;"|"&amp;LEFT(D304,1)&amp;"|"&amp;LEFT(B304,1)&amp;"|"&amp;Tabela_BaseM[[#This Row],[Valor]]&amp;"|"&amp;Tabela_BaseM[[#This Row],[HISTÓRICO]]&amp;"|"))</f>
        <v>#VALUE!</v>
      </c>
    </row>
    <row r="305" spans="10:17" x14ac:dyDescent="0.25">
      <c r="J305" s="11"/>
      <c r="L305" t="str">
        <f>IF(A305="IRPJ",IF(LEFT(B305,1)="1","|M305|",IF(LEFT(B305,1)="2","|M310|",IF(AND(LEFT(B305,1)="3",Tabela_BaseM[[#This Row],[CONTA PARTE B]]&lt;&gt;""),"|M305|",IF(LEFT(B305,1)="4","|M312|","")))),      IF(LEFT(B305,1)="1","|M355|",IF(LEFT(B305,1)="2","|M360|",IF(AND(LEFT(B305,1)="3",Tabela_BaseM[[#This Row],[CONTA PARTE B]]&lt;&gt;""),"|M355|",IF(LEFT(B305,1)="4","|M362|","")))))</f>
        <v/>
      </c>
      <c r="M305" t="str">
        <f>IF(LEFT(Tabela_BaseM[[#This Row],[TIPO RELACIONAMENTO]],1)="3",(IF(A305="IRPJ",IF(LEFT(B305,1)="1","|M305|",IF(LEFT(B305,1)="2","|M310|",IF(LEFT(B305,1)="3","|M310|",IF(LEFT(B305,1)="4","|M312|","")))),IF(LEFT(B305,1)="1","|M355|",IF(LEFT(B305,1)="2","|M360|",IF(LEFT(B305,1)="3","|M360|",IF(LEFT(B305,1)="4","|M362|","")))))),"")</f>
        <v/>
      </c>
      <c r="N30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5" t="e">
        <f>IF(A305="IRPJ",("|M300|"&amp;LEFT(C305,FIND("-",C305)-1)&amp;"|"&amp;RIGHT(C305,LEN(C305)-FIND("-",C305))&amp;"|"&amp;LEFT(D305,1)&amp;"|"&amp;LEFT(B305,1)&amp;"|"&amp;Tabela_BaseM[[#This Row],[Valor]]&amp;"|"&amp;Tabela_BaseM[[#This Row],[HISTÓRICO]]&amp;"|"),("|M350|"&amp;LEFT(C305,FIND("-",C305)-1)&amp;"|"&amp;RIGHT(C305,LEN(C305)-FIND("-",C305))&amp;"|"&amp;LEFT(D305,1)&amp;"|"&amp;LEFT(B305,1)&amp;"|"&amp;Tabela_BaseM[[#This Row],[Valor]]&amp;"|"&amp;Tabela_BaseM[[#This Row],[HISTÓRICO]]&amp;"|"))</f>
        <v>#VALUE!</v>
      </c>
    </row>
    <row r="306" spans="10:17" x14ac:dyDescent="0.25">
      <c r="J306" s="11"/>
      <c r="L306" t="str">
        <f>IF(A306="IRPJ",IF(LEFT(B306,1)="1","|M305|",IF(LEFT(B306,1)="2","|M310|",IF(AND(LEFT(B306,1)="3",Tabela_BaseM[[#This Row],[CONTA PARTE B]]&lt;&gt;""),"|M305|",IF(LEFT(B306,1)="4","|M312|","")))),      IF(LEFT(B306,1)="1","|M355|",IF(LEFT(B306,1)="2","|M360|",IF(AND(LEFT(B306,1)="3",Tabela_BaseM[[#This Row],[CONTA PARTE B]]&lt;&gt;""),"|M355|",IF(LEFT(B306,1)="4","|M362|","")))))</f>
        <v/>
      </c>
      <c r="M306" t="str">
        <f>IF(LEFT(Tabela_BaseM[[#This Row],[TIPO RELACIONAMENTO]],1)="3",(IF(A306="IRPJ",IF(LEFT(B306,1)="1","|M305|",IF(LEFT(B306,1)="2","|M310|",IF(LEFT(B306,1)="3","|M310|",IF(LEFT(B306,1)="4","|M312|","")))),IF(LEFT(B306,1)="1","|M355|",IF(LEFT(B306,1)="2","|M360|",IF(LEFT(B306,1)="3","|M360|",IF(LEFT(B306,1)="4","|M362|","")))))),"")</f>
        <v/>
      </c>
      <c r="N30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6" t="e">
        <f>IF(A306="IRPJ",("|M300|"&amp;LEFT(C306,FIND("-",C306)-1)&amp;"|"&amp;RIGHT(C306,LEN(C306)-FIND("-",C306))&amp;"|"&amp;LEFT(D306,1)&amp;"|"&amp;LEFT(B306,1)&amp;"|"&amp;Tabela_BaseM[[#This Row],[Valor]]&amp;"|"&amp;Tabela_BaseM[[#This Row],[HISTÓRICO]]&amp;"|"),("|M350|"&amp;LEFT(C306,FIND("-",C306)-1)&amp;"|"&amp;RIGHT(C306,LEN(C306)-FIND("-",C306))&amp;"|"&amp;LEFT(D306,1)&amp;"|"&amp;LEFT(B306,1)&amp;"|"&amp;Tabela_BaseM[[#This Row],[Valor]]&amp;"|"&amp;Tabela_BaseM[[#This Row],[HISTÓRICO]]&amp;"|"))</f>
        <v>#VALUE!</v>
      </c>
    </row>
    <row r="307" spans="10:17" x14ac:dyDescent="0.25">
      <c r="J307" s="11"/>
      <c r="L307" t="str">
        <f>IF(A307="IRPJ",IF(LEFT(B307,1)="1","|M305|",IF(LEFT(B307,1)="2","|M310|",IF(AND(LEFT(B307,1)="3",Tabela_BaseM[[#This Row],[CONTA PARTE B]]&lt;&gt;""),"|M305|",IF(LEFT(B307,1)="4","|M312|","")))),      IF(LEFT(B307,1)="1","|M355|",IF(LEFT(B307,1)="2","|M360|",IF(AND(LEFT(B307,1)="3",Tabela_BaseM[[#This Row],[CONTA PARTE B]]&lt;&gt;""),"|M355|",IF(LEFT(B307,1)="4","|M362|","")))))</f>
        <v/>
      </c>
      <c r="M307" t="str">
        <f>IF(LEFT(Tabela_BaseM[[#This Row],[TIPO RELACIONAMENTO]],1)="3",(IF(A307="IRPJ",IF(LEFT(B307,1)="1","|M305|",IF(LEFT(B307,1)="2","|M310|",IF(LEFT(B307,1)="3","|M310|",IF(LEFT(B307,1)="4","|M312|","")))),IF(LEFT(B307,1)="1","|M355|",IF(LEFT(B307,1)="2","|M360|",IF(LEFT(B307,1)="3","|M360|",IF(LEFT(B307,1)="4","|M362|","")))))),"")</f>
        <v/>
      </c>
      <c r="N30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7" t="e">
        <f>IF(A307="IRPJ",("|M300|"&amp;LEFT(C307,FIND("-",C307)-1)&amp;"|"&amp;RIGHT(C307,LEN(C307)-FIND("-",C307))&amp;"|"&amp;LEFT(D307,1)&amp;"|"&amp;LEFT(B307,1)&amp;"|"&amp;Tabela_BaseM[[#This Row],[Valor]]&amp;"|"&amp;Tabela_BaseM[[#This Row],[HISTÓRICO]]&amp;"|"),("|M350|"&amp;LEFT(C307,FIND("-",C307)-1)&amp;"|"&amp;RIGHT(C307,LEN(C307)-FIND("-",C307))&amp;"|"&amp;LEFT(D307,1)&amp;"|"&amp;LEFT(B307,1)&amp;"|"&amp;Tabela_BaseM[[#This Row],[Valor]]&amp;"|"&amp;Tabela_BaseM[[#This Row],[HISTÓRICO]]&amp;"|"))</f>
        <v>#VALUE!</v>
      </c>
    </row>
    <row r="308" spans="10:17" x14ac:dyDescent="0.25">
      <c r="J308" s="11"/>
      <c r="L308" t="str">
        <f>IF(A308="IRPJ",IF(LEFT(B308,1)="1","|M305|",IF(LEFT(B308,1)="2","|M310|",IF(AND(LEFT(B308,1)="3",Tabela_BaseM[[#This Row],[CONTA PARTE B]]&lt;&gt;""),"|M305|",IF(LEFT(B308,1)="4","|M312|","")))),      IF(LEFT(B308,1)="1","|M355|",IF(LEFT(B308,1)="2","|M360|",IF(AND(LEFT(B308,1)="3",Tabela_BaseM[[#This Row],[CONTA PARTE B]]&lt;&gt;""),"|M355|",IF(LEFT(B308,1)="4","|M362|","")))))</f>
        <v/>
      </c>
      <c r="M308" t="str">
        <f>IF(LEFT(Tabela_BaseM[[#This Row],[TIPO RELACIONAMENTO]],1)="3",(IF(A308="IRPJ",IF(LEFT(B308,1)="1","|M305|",IF(LEFT(B308,1)="2","|M310|",IF(LEFT(B308,1)="3","|M310|",IF(LEFT(B308,1)="4","|M312|","")))),IF(LEFT(B308,1)="1","|M355|",IF(LEFT(B308,1)="2","|M360|",IF(LEFT(B308,1)="3","|M360|",IF(LEFT(B308,1)="4","|M362|","")))))),"")</f>
        <v/>
      </c>
      <c r="N30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8" t="e">
        <f>IF(A308="IRPJ",("|M300|"&amp;LEFT(C308,FIND("-",C308)-1)&amp;"|"&amp;RIGHT(C308,LEN(C308)-FIND("-",C308))&amp;"|"&amp;LEFT(D308,1)&amp;"|"&amp;LEFT(B308,1)&amp;"|"&amp;Tabela_BaseM[[#This Row],[Valor]]&amp;"|"&amp;Tabela_BaseM[[#This Row],[HISTÓRICO]]&amp;"|"),("|M350|"&amp;LEFT(C308,FIND("-",C308)-1)&amp;"|"&amp;RIGHT(C308,LEN(C308)-FIND("-",C308))&amp;"|"&amp;LEFT(D308,1)&amp;"|"&amp;LEFT(B308,1)&amp;"|"&amp;Tabela_BaseM[[#This Row],[Valor]]&amp;"|"&amp;Tabela_BaseM[[#This Row],[HISTÓRICO]]&amp;"|"))</f>
        <v>#VALUE!</v>
      </c>
    </row>
    <row r="309" spans="10:17" x14ac:dyDescent="0.25">
      <c r="J309" s="11"/>
      <c r="L309" t="str">
        <f>IF(A309="IRPJ",IF(LEFT(B309,1)="1","|M305|",IF(LEFT(B309,1)="2","|M310|",IF(AND(LEFT(B309,1)="3",Tabela_BaseM[[#This Row],[CONTA PARTE B]]&lt;&gt;""),"|M305|",IF(LEFT(B309,1)="4","|M312|","")))),      IF(LEFT(B309,1)="1","|M355|",IF(LEFT(B309,1)="2","|M360|",IF(AND(LEFT(B309,1)="3",Tabela_BaseM[[#This Row],[CONTA PARTE B]]&lt;&gt;""),"|M355|",IF(LEFT(B309,1)="4","|M362|","")))))</f>
        <v/>
      </c>
      <c r="M309" t="str">
        <f>IF(LEFT(Tabela_BaseM[[#This Row],[TIPO RELACIONAMENTO]],1)="3",(IF(A309="IRPJ",IF(LEFT(B309,1)="1","|M305|",IF(LEFT(B309,1)="2","|M310|",IF(LEFT(B309,1)="3","|M310|",IF(LEFT(B309,1)="4","|M312|","")))),IF(LEFT(B309,1)="1","|M355|",IF(LEFT(B309,1)="2","|M360|",IF(LEFT(B309,1)="3","|M360|",IF(LEFT(B309,1)="4","|M362|","")))))),"")</f>
        <v/>
      </c>
      <c r="N30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0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0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09" t="e">
        <f>IF(A309="IRPJ",("|M300|"&amp;LEFT(C309,FIND("-",C309)-1)&amp;"|"&amp;RIGHT(C309,LEN(C309)-FIND("-",C309))&amp;"|"&amp;LEFT(D309,1)&amp;"|"&amp;LEFT(B309,1)&amp;"|"&amp;Tabela_BaseM[[#This Row],[Valor]]&amp;"|"&amp;Tabela_BaseM[[#This Row],[HISTÓRICO]]&amp;"|"),("|M350|"&amp;LEFT(C309,FIND("-",C309)-1)&amp;"|"&amp;RIGHT(C309,LEN(C309)-FIND("-",C309))&amp;"|"&amp;LEFT(D309,1)&amp;"|"&amp;LEFT(B309,1)&amp;"|"&amp;Tabela_BaseM[[#This Row],[Valor]]&amp;"|"&amp;Tabela_BaseM[[#This Row],[HISTÓRICO]]&amp;"|"))</f>
        <v>#VALUE!</v>
      </c>
    </row>
    <row r="310" spans="10:17" x14ac:dyDescent="0.25">
      <c r="J310" s="11"/>
      <c r="L310" t="str">
        <f>IF(A310="IRPJ",IF(LEFT(B310,1)="1","|M305|",IF(LEFT(B310,1)="2","|M310|",IF(AND(LEFT(B310,1)="3",Tabela_BaseM[[#This Row],[CONTA PARTE B]]&lt;&gt;""),"|M305|",IF(LEFT(B310,1)="4","|M312|","")))),      IF(LEFT(B310,1)="1","|M355|",IF(LEFT(B310,1)="2","|M360|",IF(AND(LEFT(B310,1)="3",Tabela_BaseM[[#This Row],[CONTA PARTE B]]&lt;&gt;""),"|M355|",IF(LEFT(B310,1)="4","|M362|","")))))</f>
        <v/>
      </c>
      <c r="M310" t="str">
        <f>IF(LEFT(Tabela_BaseM[[#This Row],[TIPO RELACIONAMENTO]],1)="3",(IF(A310="IRPJ",IF(LEFT(B310,1)="1","|M305|",IF(LEFT(B310,1)="2","|M310|",IF(LEFT(B310,1)="3","|M310|",IF(LEFT(B310,1)="4","|M312|","")))),IF(LEFT(B310,1)="1","|M355|",IF(LEFT(B310,1)="2","|M360|",IF(LEFT(B310,1)="3","|M360|",IF(LEFT(B310,1)="4","|M362|","")))))),"")</f>
        <v/>
      </c>
      <c r="N31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0" t="e">
        <f>IF(A310="IRPJ",("|M300|"&amp;LEFT(C310,FIND("-",C310)-1)&amp;"|"&amp;RIGHT(C310,LEN(C310)-FIND("-",C310))&amp;"|"&amp;LEFT(D310,1)&amp;"|"&amp;LEFT(B310,1)&amp;"|"&amp;Tabela_BaseM[[#This Row],[Valor]]&amp;"|"&amp;Tabela_BaseM[[#This Row],[HISTÓRICO]]&amp;"|"),("|M350|"&amp;LEFT(C310,FIND("-",C310)-1)&amp;"|"&amp;RIGHT(C310,LEN(C310)-FIND("-",C310))&amp;"|"&amp;LEFT(D310,1)&amp;"|"&amp;LEFT(B310,1)&amp;"|"&amp;Tabela_BaseM[[#This Row],[Valor]]&amp;"|"&amp;Tabela_BaseM[[#This Row],[HISTÓRICO]]&amp;"|"))</f>
        <v>#VALUE!</v>
      </c>
    </row>
    <row r="311" spans="10:17" x14ac:dyDescent="0.25">
      <c r="J311" s="11"/>
      <c r="L311" t="str">
        <f>IF(A311="IRPJ",IF(LEFT(B311,1)="1","|M305|",IF(LEFT(B311,1)="2","|M310|",IF(AND(LEFT(B311,1)="3",Tabela_BaseM[[#This Row],[CONTA PARTE B]]&lt;&gt;""),"|M305|",IF(LEFT(B311,1)="4","|M312|","")))),      IF(LEFT(B311,1)="1","|M355|",IF(LEFT(B311,1)="2","|M360|",IF(AND(LEFT(B311,1)="3",Tabela_BaseM[[#This Row],[CONTA PARTE B]]&lt;&gt;""),"|M355|",IF(LEFT(B311,1)="4","|M362|","")))))</f>
        <v/>
      </c>
      <c r="M311" t="str">
        <f>IF(LEFT(Tabela_BaseM[[#This Row],[TIPO RELACIONAMENTO]],1)="3",(IF(A311="IRPJ",IF(LEFT(B311,1)="1","|M305|",IF(LEFT(B311,1)="2","|M310|",IF(LEFT(B311,1)="3","|M310|",IF(LEFT(B311,1)="4","|M312|","")))),IF(LEFT(B311,1)="1","|M355|",IF(LEFT(B311,1)="2","|M360|",IF(LEFT(B311,1)="3","|M360|",IF(LEFT(B311,1)="4","|M362|","")))))),"")</f>
        <v/>
      </c>
      <c r="N31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1" t="e">
        <f>IF(A311="IRPJ",("|M300|"&amp;LEFT(C311,FIND("-",C311)-1)&amp;"|"&amp;RIGHT(C311,LEN(C311)-FIND("-",C311))&amp;"|"&amp;LEFT(D311,1)&amp;"|"&amp;LEFT(B311,1)&amp;"|"&amp;Tabela_BaseM[[#This Row],[Valor]]&amp;"|"&amp;Tabela_BaseM[[#This Row],[HISTÓRICO]]&amp;"|"),("|M350|"&amp;LEFT(C311,FIND("-",C311)-1)&amp;"|"&amp;RIGHT(C311,LEN(C311)-FIND("-",C311))&amp;"|"&amp;LEFT(D311,1)&amp;"|"&amp;LEFT(B311,1)&amp;"|"&amp;Tabela_BaseM[[#This Row],[Valor]]&amp;"|"&amp;Tabela_BaseM[[#This Row],[HISTÓRICO]]&amp;"|"))</f>
        <v>#VALUE!</v>
      </c>
    </row>
    <row r="312" spans="10:17" x14ac:dyDescent="0.25">
      <c r="J312" s="11"/>
      <c r="L312" t="str">
        <f>IF(A312="IRPJ",IF(LEFT(B312,1)="1","|M305|",IF(LEFT(B312,1)="2","|M310|",IF(AND(LEFT(B312,1)="3",Tabela_BaseM[[#This Row],[CONTA PARTE B]]&lt;&gt;""),"|M305|",IF(LEFT(B312,1)="4","|M312|","")))),      IF(LEFT(B312,1)="1","|M355|",IF(LEFT(B312,1)="2","|M360|",IF(AND(LEFT(B312,1)="3",Tabela_BaseM[[#This Row],[CONTA PARTE B]]&lt;&gt;""),"|M355|",IF(LEFT(B312,1)="4","|M362|","")))))</f>
        <v/>
      </c>
      <c r="M312" t="str">
        <f>IF(LEFT(Tabela_BaseM[[#This Row],[TIPO RELACIONAMENTO]],1)="3",(IF(A312="IRPJ",IF(LEFT(B312,1)="1","|M305|",IF(LEFT(B312,1)="2","|M310|",IF(LEFT(B312,1)="3","|M310|",IF(LEFT(B312,1)="4","|M312|","")))),IF(LEFT(B312,1)="1","|M355|",IF(LEFT(B312,1)="2","|M360|",IF(LEFT(B312,1)="3","|M360|",IF(LEFT(B312,1)="4","|M362|","")))))),"")</f>
        <v/>
      </c>
      <c r="N31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2" t="e">
        <f>IF(A312="IRPJ",("|M300|"&amp;LEFT(C312,FIND("-",C312)-1)&amp;"|"&amp;RIGHT(C312,LEN(C312)-FIND("-",C312))&amp;"|"&amp;LEFT(D312,1)&amp;"|"&amp;LEFT(B312,1)&amp;"|"&amp;Tabela_BaseM[[#This Row],[Valor]]&amp;"|"&amp;Tabela_BaseM[[#This Row],[HISTÓRICO]]&amp;"|"),("|M350|"&amp;LEFT(C312,FIND("-",C312)-1)&amp;"|"&amp;RIGHT(C312,LEN(C312)-FIND("-",C312))&amp;"|"&amp;LEFT(D312,1)&amp;"|"&amp;LEFT(B312,1)&amp;"|"&amp;Tabela_BaseM[[#This Row],[Valor]]&amp;"|"&amp;Tabela_BaseM[[#This Row],[HISTÓRICO]]&amp;"|"))</f>
        <v>#VALUE!</v>
      </c>
    </row>
    <row r="313" spans="10:17" x14ac:dyDescent="0.25">
      <c r="J313" s="11"/>
      <c r="L313" t="str">
        <f>IF(A313="IRPJ",IF(LEFT(B313,1)="1","|M305|",IF(LEFT(B313,1)="2","|M310|",IF(AND(LEFT(B313,1)="3",Tabela_BaseM[[#This Row],[CONTA PARTE B]]&lt;&gt;""),"|M305|",IF(LEFT(B313,1)="4","|M312|","")))),      IF(LEFT(B313,1)="1","|M355|",IF(LEFT(B313,1)="2","|M360|",IF(AND(LEFT(B313,1)="3",Tabela_BaseM[[#This Row],[CONTA PARTE B]]&lt;&gt;""),"|M355|",IF(LEFT(B313,1)="4","|M362|","")))))</f>
        <v/>
      </c>
      <c r="M313" t="str">
        <f>IF(LEFT(Tabela_BaseM[[#This Row],[TIPO RELACIONAMENTO]],1)="3",(IF(A313="IRPJ",IF(LEFT(B313,1)="1","|M305|",IF(LEFT(B313,1)="2","|M310|",IF(LEFT(B313,1)="3","|M310|",IF(LEFT(B313,1)="4","|M312|","")))),IF(LEFT(B313,1)="1","|M355|",IF(LEFT(B313,1)="2","|M360|",IF(LEFT(B313,1)="3","|M360|",IF(LEFT(B313,1)="4","|M362|","")))))),"")</f>
        <v/>
      </c>
      <c r="N31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3" t="e">
        <f>IF(A313="IRPJ",("|M300|"&amp;LEFT(C313,FIND("-",C313)-1)&amp;"|"&amp;RIGHT(C313,LEN(C313)-FIND("-",C313))&amp;"|"&amp;LEFT(D313,1)&amp;"|"&amp;LEFT(B313,1)&amp;"|"&amp;Tabela_BaseM[[#This Row],[Valor]]&amp;"|"&amp;Tabela_BaseM[[#This Row],[HISTÓRICO]]&amp;"|"),("|M350|"&amp;LEFT(C313,FIND("-",C313)-1)&amp;"|"&amp;RIGHT(C313,LEN(C313)-FIND("-",C313))&amp;"|"&amp;LEFT(D313,1)&amp;"|"&amp;LEFT(B313,1)&amp;"|"&amp;Tabela_BaseM[[#This Row],[Valor]]&amp;"|"&amp;Tabela_BaseM[[#This Row],[HISTÓRICO]]&amp;"|"))</f>
        <v>#VALUE!</v>
      </c>
    </row>
    <row r="314" spans="10:17" x14ac:dyDescent="0.25">
      <c r="J314" s="11"/>
      <c r="L314" t="str">
        <f>IF(A314="IRPJ",IF(LEFT(B314,1)="1","|M305|",IF(LEFT(B314,1)="2","|M310|",IF(AND(LEFT(B314,1)="3",Tabela_BaseM[[#This Row],[CONTA PARTE B]]&lt;&gt;""),"|M305|",IF(LEFT(B314,1)="4","|M312|","")))),      IF(LEFT(B314,1)="1","|M355|",IF(LEFT(B314,1)="2","|M360|",IF(AND(LEFT(B314,1)="3",Tabela_BaseM[[#This Row],[CONTA PARTE B]]&lt;&gt;""),"|M355|",IF(LEFT(B314,1)="4","|M362|","")))))</f>
        <v/>
      </c>
      <c r="M314" t="str">
        <f>IF(LEFT(Tabela_BaseM[[#This Row],[TIPO RELACIONAMENTO]],1)="3",(IF(A314="IRPJ",IF(LEFT(B314,1)="1","|M305|",IF(LEFT(B314,1)="2","|M310|",IF(LEFT(B314,1)="3","|M310|",IF(LEFT(B314,1)="4","|M312|","")))),IF(LEFT(B314,1)="1","|M355|",IF(LEFT(B314,1)="2","|M360|",IF(LEFT(B314,1)="3","|M360|",IF(LEFT(B314,1)="4","|M362|","")))))),"")</f>
        <v/>
      </c>
      <c r="N31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4" t="e">
        <f>IF(A314="IRPJ",("|M300|"&amp;LEFT(C314,FIND("-",C314)-1)&amp;"|"&amp;RIGHT(C314,LEN(C314)-FIND("-",C314))&amp;"|"&amp;LEFT(D314,1)&amp;"|"&amp;LEFT(B314,1)&amp;"|"&amp;Tabela_BaseM[[#This Row],[Valor]]&amp;"|"&amp;Tabela_BaseM[[#This Row],[HISTÓRICO]]&amp;"|"),("|M350|"&amp;LEFT(C314,FIND("-",C314)-1)&amp;"|"&amp;RIGHT(C314,LEN(C314)-FIND("-",C314))&amp;"|"&amp;LEFT(D314,1)&amp;"|"&amp;LEFT(B314,1)&amp;"|"&amp;Tabela_BaseM[[#This Row],[Valor]]&amp;"|"&amp;Tabela_BaseM[[#This Row],[HISTÓRICO]]&amp;"|"))</f>
        <v>#VALUE!</v>
      </c>
    </row>
    <row r="315" spans="10:17" x14ac:dyDescent="0.25">
      <c r="J315" s="11"/>
      <c r="L315" t="str">
        <f>IF(A315="IRPJ",IF(LEFT(B315,1)="1","|M305|",IF(LEFT(B315,1)="2","|M310|",IF(AND(LEFT(B315,1)="3",Tabela_BaseM[[#This Row],[CONTA PARTE B]]&lt;&gt;""),"|M305|",IF(LEFT(B315,1)="4","|M312|","")))),      IF(LEFT(B315,1)="1","|M355|",IF(LEFT(B315,1)="2","|M360|",IF(AND(LEFT(B315,1)="3",Tabela_BaseM[[#This Row],[CONTA PARTE B]]&lt;&gt;""),"|M355|",IF(LEFT(B315,1)="4","|M362|","")))))</f>
        <v/>
      </c>
      <c r="M315" t="str">
        <f>IF(LEFT(Tabela_BaseM[[#This Row],[TIPO RELACIONAMENTO]],1)="3",(IF(A315="IRPJ",IF(LEFT(B315,1)="1","|M305|",IF(LEFT(B315,1)="2","|M310|",IF(LEFT(B315,1)="3","|M310|",IF(LEFT(B315,1)="4","|M312|","")))),IF(LEFT(B315,1)="1","|M355|",IF(LEFT(B315,1)="2","|M360|",IF(LEFT(B315,1)="3","|M360|",IF(LEFT(B315,1)="4","|M362|","")))))),"")</f>
        <v/>
      </c>
      <c r="N31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5" t="e">
        <f>IF(A315="IRPJ",("|M300|"&amp;LEFT(C315,FIND("-",C315)-1)&amp;"|"&amp;RIGHT(C315,LEN(C315)-FIND("-",C315))&amp;"|"&amp;LEFT(D315,1)&amp;"|"&amp;LEFT(B315,1)&amp;"|"&amp;Tabela_BaseM[[#This Row],[Valor]]&amp;"|"&amp;Tabela_BaseM[[#This Row],[HISTÓRICO]]&amp;"|"),("|M350|"&amp;LEFT(C315,FIND("-",C315)-1)&amp;"|"&amp;RIGHT(C315,LEN(C315)-FIND("-",C315))&amp;"|"&amp;LEFT(D315,1)&amp;"|"&amp;LEFT(B315,1)&amp;"|"&amp;Tabela_BaseM[[#This Row],[Valor]]&amp;"|"&amp;Tabela_BaseM[[#This Row],[HISTÓRICO]]&amp;"|"))</f>
        <v>#VALUE!</v>
      </c>
    </row>
    <row r="316" spans="10:17" x14ac:dyDescent="0.25">
      <c r="J316" s="11"/>
      <c r="L316" t="str">
        <f>IF(A316="IRPJ",IF(LEFT(B316,1)="1","|M305|",IF(LEFT(B316,1)="2","|M310|",IF(AND(LEFT(B316,1)="3",Tabela_BaseM[[#This Row],[CONTA PARTE B]]&lt;&gt;""),"|M305|",IF(LEFT(B316,1)="4","|M312|","")))),      IF(LEFT(B316,1)="1","|M355|",IF(LEFT(B316,1)="2","|M360|",IF(AND(LEFT(B316,1)="3",Tabela_BaseM[[#This Row],[CONTA PARTE B]]&lt;&gt;""),"|M355|",IF(LEFT(B316,1)="4","|M362|","")))))</f>
        <v/>
      </c>
      <c r="M316" t="str">
        <f>IF(LEFT(Tabela_BaseM[[#This Row],[TIPO RELACIONAMENTO]],1)="3",(IF(A316="IRPJ",IF(LEFT(B316,1)="1","|M305|",IF(LEFT(B316,1)="2","|M310|",IF(LEFT(B316,1)="3","|M310|",IF(LEFT(B316,1)="4","|M312|","")))),IF(LEFT(B316,1)="1","|M355|",IF(LEFT(B316,1)="2","|M360|",IF(LEFT(B316,1)="3","|M360|",IF(LEFT(B316,1)="4","|M362|","")))))),"")</f>
        <v/>
      </c>
      <c r="N31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6" t="e">
        <f>IF(A316="IRPJ",("|M300|"&amp;LEFT(C316,FIND("-",C316)-1)&amp;"|"&amp;RIGHT(C316,LEN(C316)-FIND("-",C316))&amp;"|"&amp;LEFT(D316,1)&amp;"|"&amp;LEFT(B316,1)&amp;"|"&amp;Tabela_BaseM[[#This Row],[Valor]]&amp;"|"&amp;Tabela_BaseM[[#This Row],[HISTÓRICO]]&amp;"|"),("|M350|"&amp;LEFT(C316,FIND("-",C316)-1)&amp;"|"&amp;RIGHT(C316,LEN(C316)-FIND("-",C316))&amp;"|"&amp;LEFT(D316,1)&amp;"|"&amp;LEFT(B316,1)&amp;"|"&amp;Tabela_BaseM[[#This Row],[Valor]]&amp;"|"&amp;Tabela_BaseM[[#This Row],[HISTÓRICO]]&amp;"|"))</f>
        <v>#VALUE!</v>
      </c>
    </row>
    <row r="317" spans="10:17" x14ac:dyDescent="0.25">
      <c r="J317" s="11"/>
      <c r="L317" t="str">
        <f>IF(A317="IRPJ",IF(LEFT(B317,1)="1","|M305|",IF(LEFT(B317,1)="2","|M310|",IF(AND(LEFT(B317,1)="3",Tabela_BaseM[[#This Row],[CONTA PARTE B]]&lt;&gt;""),"|M305|",IF(LEFT(B317,1)="4","|M312|","")))),      IF(LEFT(B317,1)="1","|M355|",IF(LEFT(B317,1)="2","|M360|",IF(AND(LEFT(B317,1)="3",Tabela_BaseM[[#This Row],[CONTA PARTE B]]&lt;&gt;""),"|M355|",IF(LEFT(B317,1)="4","|M362|","")))))</f>
        <v/>
      </c>
      <c r="M317" t="str">
        <f>IF(LEFT(Tabela_BaseM[[#This Row],[TIPO RELACIONAMENTO]],1)="3",(IF(A317="IRPJ",IF(LEFT(B317,1)="1","|M305|",IF(LEFT(B317,1)="2","|M310|",IF(LEFT(B317,1)="3","|M310|",IF(LEFT(B317,1)="4","|M312|","")))),IF(LEFT(B317,1)="1","|M355|",IF(LEFT(B317,1)="2","|M360|",IF(LEFT(B317,1)="3","|M360|",IF(LEFT(B317,1)="4","|M362|","")))))),"")</f>
        <v/>
      </c>
      <c r="N31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7" t="e">
        <f>IF(A317="IRPJ",("|M300|"&amp;LEFT(C317,FIND("-",C317)-1)&amp;"|"&amp;RIGHT(C317,LEN(C317)-FIND("-",C317))&amp;"|"&amp;LEFT(D317,1)&amp;"|"&amp;LEFT(B317,1)&amp;"|"&amp;Tabela_BaseM[[#This Row],[Valor]]&amp;"|"&amp;Tabela_BaseM[[#This Row],[HISTÓRICO]]&amp;"|"),("|M350|"&amp;LEFT(C317,FIND("-",C317)-1)&amp;"|"&amp;RIGHT(C317,LEN(C317)-FIND("-",C317))&amp;"|"&amp;LEFT(D317,1)&amp;"|"&amp;LEFT(B317,1)&amp;"|"&amp;Tabela_BaseM[[#This Row],[Valor]]&amp;"|"&amp;Tabela_BaseM[[#This Row],[HISTÓRICO]]&amp;"|"))</f>
        <v>#VALUE!</v>
      </c>
    </row>
    <row r="318" spans="10:17" x14ac:dyDescent="0.25">
      <c r="J318" s="11"/>
      <c r="L318" t="str">
        <f>IF(A318="IRPJ",IF(LEFT(B318,1)="1","|M305|",IF(LEFT(B318,1)="2","|M310|",IF(AND(LEFT(B318,1)="3",Tabela_BaseM[[#This Row],[CONTA PARTE B]]&lt;&gt;""),"|M305|",IF(LEFT(B318,1)="4","|M312|","")))),      IF(LEFT(B318,1)="1","|M355|",IF(LEFT(B318,1)="2","|M360|",IF(AND(LEFT(B318,1)="3",Tabela_BaseM[[#This Row],[CONTA PARTE B]]&lt;&gt;""),"|M355|",IF(LEFT(B318,1)="4","|M362|","")))))</f>
        <v/>
      </c>
      <c r="M318" t="str">
        <f>IF(LEFT(Tabela_BaseM[[#This Row],[TIPO RELACIONAMENTO]],1)="3",(IF(A318="IRPJ",IF(LEFT(B318,1)="1","|M305|",IF(LEFT(B318,1)="2","|M310|",IF(LEFT(B318,1)="3","|M310|",IF(LEFT(B318,1)="4","|M312|","")))),IF(LEFT(B318,1)="1","|M355|",IF(LEFT(B318,1)="2","|M360|",IF(LEFT(B318,1)="3","|M360|",IF(LEFT(B318,1)="4","|M362|","")))))),"")</f>
        <v/>
      </c>
      <c r="N31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8" t="e">
        <f>IF(A318="IRPJ",("|M300|"&amp;LEFT(C318,FIND("-",C318)-1)&amp;"|"&amp;RIGHT(C318,LEN(C318)-FIND("-",C318))&amp;"|"&amp;LEFT(D318,1)&amp;"|"&amp;LEFT(B318,1)&amp;"|"&amp;Tabela_BaseM[[#This Row],[Valor]]&amp;"|"&amp;Tabela_BaseM[[#This Row],[HISTÓRICO]]&amp;"|"),("|M350|"&amp;LEFT(C318,FIND("-",C318)-1)&amp;"|"&amp;RIGHT(C318,LEN(C318)-FIND("-",C318))&amp;"|"&amp;LEFT(D318,1)&amp;"|"&amp;LEFT(B318,1)&amp;"|"&amp;Tabela_BaseM[[#This Row],[Valor]]&amp;"|"&amp;Tabela_BaseM[[#This Row],[HISTÓRICO]]&amp;"|"))</f>
        <v>#VALUE!</v>
      </c>
    </row>
    <row r="319" spans="10:17" x14ac:dyDescent="0.25">
      <c r="J319" s="11"/>
      <c r="L319" t="str">
        <f>IF(A319="IRPJ",IF(LEFT(B319,1)="1","|M305|",IF(LEFT(B319,1)="2","|M310|",IF(AND(LEFT(B319,1)="3",Tabela_BaseM[[#This Row],[CONTA PARTE B]]&lt;&gt;""),"|M305|",IF(LEFT(B319,1)="4","|M312|","")))),      IF(LEFT(B319,1)="1","|M355|",IF(LEFT(B319,1)="2","|M360|",IF(AND(LEFT(B319,1)="3",Tabela_BaseM[[#This Row],[CONTA PARTE B]]&lt;&gt;""),"|M355|",IF(LEFT(B319,1)="4","|M362|","")))))</f>
        <v/>
      </c>
      <c r="M319" t="str">
        <f>IF(LEFT(Tabela_BaseM[[#This Row],[TIPO RELACIONAMENTO]],1)="3",(IF(A319="IRPJ",IF(LEFT(B319,1)="1","|M305|",IF(LEFT(B319,1)="2","|M310|",IF(LEFT(B319,1)="3","|M310|",IF(LEFT(B319,1)="4","|M312|","")))),IF(LEFT(B319,1)="1","|M355|",IF(LEFT(B319,1)="2","|M360|",IF(LEFT(B319,1)="3","|M360|",IF(LEFT(B319,1)="4","|M362|","")))))),"")</f>
        <v/>
      </c>
      <c r="N31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1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1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19" t="e">
        <f>IF(A319="IRPJ",("|M300|"&amp;LEFT(C319,FIND("-",C319)-1)&amp;"|"&amp;RIGHT(C319,LEN(C319)-FIND("-",C319))&amp;"|"&amp;LEFT(D319,1)&amp;"|"&amp;LEFT(B319,1)&amp;"|"&amp;Tabela_BaseM[[#This Row],[Valor]]&amp;"|"&amp;Tabela_BaseM[[#This Row],[HISTÓRICO]]&amp;"|"),("|M350|"&amp;LEFT(C319,FIND("-",C319)-1)&amp;"|"&amp;RIGHT(C319,LEN(C319)-FIND("-",C319))&amp;"|"&amp;LEFT(D319,1)&amp;"|"&amp;LEFT(B319,1)&amp;"|"&amp;Tabela_BaseM[[#This Row],[Valor]]&amp;"|"&amp;Tabela_BaseM[[#This Row],[HISTÓRICO]]&amp;"|"))</f>
        <v>#VALUE!</v>
      </c>
    </row>
    <row r="320" spans="10:17" x14ac:dyDescent="0.25">
      <c r="J320" s="11"/>
      <c r="L320" t="str">
        <f>IF(A320="IRPJ",IF(LEFT(B320,1)="1","|M305|",IF(LEFT(B320,1)="2","|M310|",IF(AND(LEFT(B320,1)="3",Tabela_BaseM[[#This Row],[CONTA PARTE B]]&lt;&gt;""),"|M305|",IF(LEFT(B320,1)="4","|M312|","")))),      IF(LEFT(B320,1)="1","|M355|",IF(LEFT(B320,1)="2","|M360|",IF(AND(LEFT(B320,1)="3",Tabela_BaseM[[#This Row],[CONTA PARTE B]]&lt;&gt;""),"|M355|",IF(LEFT(B320,1)="4","|M362|","")))))</f>
        <v/>
      </c>
      <c r="M320" t="str">
        <f>IF(LEFT(Tabela_BaseM[[#This Row],[TIPO RELACIONAMENTO]],1)="3",(IF(A320="IRPJ",IF(LEFT(B320,1)="1","|M305|",IF(LEFT(B320,1)="2","|M310|",IF(LEFT(B320,1)="3","|M310|",IF(LEFT(B320,1)="4","|M312|","")))),IF(LEFT(B320,1)="1","|M355|",IF(LEFT(B320,1)="2","|M360|",IF(LEFT(B320,1)="3","|M360|",IF(LEFT(B320,1)="4","|M362|","")))))),"")</f>
        <v/>
      </c>
      <c r="N32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0" t="e">
        <f>IF(A320="IRPJ",("|M300|"&amp;LEFT(C320,FIND("-",C320)-1)&amp;"|"&amp;RIGHT(C320,LEN(C320)-FIND("-",C320))&amp;"|"&amp;LEFT(D320,1)&amp;"|"&amp;LEFT(B320,1)&amp;"|"&amp;Tabela_BaseM[[#This Row],[Valor]]&amp;"|"&amp;Tabela_BaseM[[#This Row],[HISTÓRICO]]&amp;"|"),("|M350|"&amp;LEFT(C320,FIND("-",C320)-1)&amp;"|"&amp;RIGHT(C320,LEN(C320)-FIND("-",C320))&amp;"|"&amp;LEFT(D320,1)&amp;"|"&amp;LEFT(B320,1)&amp;"|"&amp;Tabela_BaseM[[#This Row],[Valor]]&amp;"|"&amp;Tabela_BaseM[[#This Row],[HISTÓRICO]]&amp;"|"))</f>
        <v>#VALUE!</v>
      </c>
    </row>
    <row r="321" spans="10:17" x14ac:dyDescent="0.25">
      <c r="J321" s="11"/>
      <c r="L321" t="str">
        <f>IF(A321="IRPJ",IF(LEFT(B321,1)="1","|M305|",IF(LEFT(B321,1)="2","|M310|",IF(AND(LEFT(B321,1)="3",Tabela_BaseM[[#This Row],[CONTA PARTE B]]&lt;&gt;""),"|M305|",IF(LEFT(B321,1)="4","|M312|","")))),      IF(LEFT(B321,1)="1","|M355|",IF(LEFT(B321,1)="2","|M360|",IF(AND(LEFT(B321,1)="3",Tabela_BaseM[[#This Row],[CONTA PARTE B]]&lt;&gt;""),"|M355|",IF(LEFT(B321,1)="4","|M362|","")))))</f>
        <v/>
      </c>
      <c r="M321" t="str">
        <f>IF(LEFT(Tabela_BaseM[[#This Row],[TIPO RELACIONAMENTO]],1)="3",(IF(A321="IRPJ",IF(LEFT(B321,1)="1","|M305|",IF(LEFT(B321,1)="2","|M310|",IF(LEFT(B321,1)="3","|M310|",IF(LEFT(B321,1)="4","|M312|","")))),IF(LEFT(B321,1)="1","|M355|",IF(LEFT(B321,1)="2","|M360|",IF(LEFT(B321,1)="3","|M360|",IF(LEFT(B321,1)="4","|M362|","")))))),"")</f>
        <v/>
      </c>
      <c r="N32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1" t="e">
        <f>IF(A321="IRPJ",("|M300|"&amp;LEFT(C321,FIND("-",C321)-1)&amp;"|"&amp;RIGHT(C321,LEN(C321)-FIND("-",C321))&amp;"|"&amp;LEFT(D321,1)&amp;"|"&amp;LEFT(B321,1)&amp;"|"&amp;Tabela_BaseM[[#This Row],[Valor]]&amp;"|"&amp;Tabela_BaseM[[#This Row],[HISTÓRICO]]&amp;"|"),("|M350|"&amp;LEFT(C321,FIND("-",C321)-1)&amp;"|"&amp;RIGHT(C321,LEN(C321)-FIND("-",C321))&amp;"|"&amp;LEFT(D321,1)&amp;"|"&amp;LEFT(B321,1)&amp;"|"&amp;Tabela_BaseM[[#This Row],[Valor]]&amp;"|"&amp;Tabela_BaseM[[#This Row],[HISTÓRICO]]&amp;"|"))</f>
        <v>#VALUE!</v>
      </c>
    </row>
    <row r="322" spans="10:17" x14ac:dyDescent="0.25">
      <c r="J322" s="11"/>
      <c r="L322" t="str">
        <f>IF(A322="IRPJ",IF(LEFT(B322,1)="1","|M305|",IF(LEFT(B322,1)="2","|M310|",IF(AND(LEFT(B322,1)="3",Tabela_BaseM[[#This Row],[CONTA PARTE B]]&lt;&gt;""),"|M305|",IF(LEFT(B322,1)="4","|M312|","")))),      IF(LEFT(B322,1)="1","|M355|",IF(LEFT(B322,1)="2","|M360|",IF(AND(LEFT(B322,1)="3",Tabela_BaseM[[#This Row],[CONTA PARTE B]]&lt;&gt;""),"|M355|",IF(LEFT(B322,1)="4","|M362|","")))))</f>
        <v/>
      </c>
      <c r="M322" t="str">
        <f>IF(LEFT(Tabela_BaseM[[#This Row],[TIPO RELACIONAMENTO]],1)="3",(IF(A322="IRPJ",IF(LEFT(B322,1)="1","|M305|",IF(LEFT(B322,1)="2","|M310|",IF(LEFT(B322,1)="3","|M310|",IF(LEFT(B322,1)="4","|M312|","")))),IF(LEFT(B322,1)="1","|M355|",IF(LEFT(B322,1)="2","|M360|",IF(LEFT(B322,1)="3","|M360|",IF(LEFT(B322,1)="4","|M362|","")))))),"")</f>
        <v/>
      </c>
      <c r="N32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2" t="e">
        <f>IF(A322="IRPJ",("|M300|"&amp;LEFT(C322,FIND("-",C322)-1)&amp;"|"&amp;RIGHT(C322,LEN(C322)-FIND("-",C322))&amp;"|"&amp;LEFT(D322,1)&amp;"|"&amp;LEFT(B322,1)&amp;"|"&amp;Tabela_BaseM[[#This Row],[Valor]]&amp;"|"&amp;Tabela_BaseM[[#This Row],[HISTÓRICO]]&amp;"|"),("|M350|"&amp;LEFT(C322,FIND("-",C322)-1)&amp;"|"&amp;RIGHT(C322,LEN(C322)-FIND("-",C322))&amp;"|"&amp;LEFT(D322,1)&amp;"|"&amp;LEFT(B322,1)&amp;"|"&amp;Tabela_BaseM[[#This Row],[Valor]]&amp;"|"&amp;Tabela_BaseM[[#This Row],[HISTÓRICO]]&amp;"|"))</f>
        <v>#VALUE!</v>
      </c>
    </row>
    <row r="323" spans="10:17" x14ac:dyDescent="0.25">
      <c r="J323" s="11"/>
      <c r="L323" t="str">
        <f>IF(A323="IRPJ",IF(LEFT(B323,1)="1","|M305|",IF(LEFT(B323,1)="2","|M310|",IF(AND(LEFT(B323,1)="3",Tabela_BaseM[[#This Row],[CONTA PARTE B]]&lt;&gt;""),"|M305|",IF(LEFT(B323,1)="4","|M312|","")))),      IF(LEFT(B323,1)="1","|M355|",IF(LEFT(B323,1)="2","|M360|",IF(AND(LEFT(B323,1)="3",Tabela_BaseM[[#This Row],[CONTA PARTE B]]&lt;&gt;""),"|M355|",IF(LEFT(B323,1)="4","|M362|","")))))</f>
        <v/>
      </c>
      <c r="M323" t="str">
        <f>IF(LEFT(Tabela_BaseM[[#This Row],[TIPO RELACIONAMENTO]],1)="3",(IF(A323="IRPJ",IF(LEFT(B323,1)="1","|M305|",IF(LEFT(B323,1)="2","|M310|",IF(LEFT(B323,1)="3","|M310|",IF(LEFT(B323,1)="4","|M312|","")))),IF(LEFT(B323,1)="1","|M355|",IF(LEFT(B323,1)="2","|M360|",IF(LEFT(B323,1)="3","|M360|",IF(LEFT(B323,1)="4","|M362|","")))))),"")</f>
        <v/>
      </c>
      <c r="N32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3" t="e">
        <f>IF(A323="IRPJ",("|M300|"&amp;LEFT(C323,FIND("-",C323)-1)&amp;"|"&amp;RIGHT(C323,LEN(C323)-FIND("-",C323))&amp;"|"&amp;LEFT(D323,1)&amp;"|"&amp;LEFT(B323,1)&amp;"|"&amp;Tabela_BaseM[[#This Row],[Valor]]&amp;"|"&amp;Tabela_BaseM[[#This Row],[HISTÓRICO]]&amp;"|"),("|M350|"&amp;LEFT(C323,FIND("-",C323)-1)&amp;"|"&amp;RIGHT(C323,LEN(C323)-FIND("-",C323))&amp;"|"&amp;LEFT(D323,1)&amp;"|"&amp;LEFT(B323,1)&amp;"|"&amp;Tabela_BaseM[[#This Row],[Valor]]&amp;"|"&amp;Tabela_BaseM[[#This Row],[HISTÓRICO]]&amp;"|"))</f>
        <v>#VALUE!</v>
      </c>
    </row>
    <row r="324" spans="10:17" x14ac:dyDescent="0.25">
      <c r="J324" s="11"/>
      <c r="L324" t="str">
        <f>IF(A324="IRPJ",IF(LEFT(B324,1)="1","|M305|",IF(LEFT(B324,1)="2","|M310|",IF(AND(LEFT(B324,1)="3",Tabela_BaseM[[#This Row],[CONTA PARTE B]]&lt;&gt;""),"|M305|",IF(LEFT(B324,1)="4","|M312|","")))),      IF(LEFT(B324,1)="1","|M355|",IF(LEFT(B324,1)="2","|M360|",IF(AND(LEFT(B324,1)="3",Tabela_BaseM[[#This Row],[CONTA PARTE B]]&lt;&gt;""),"|M355|",IF(LEFT(B324,1)="4","|M362|","")))))</f>
        <v/>
      </c>
      <c r="M324" t="str">
        <f>IF(LEFT(Tabela_BaseM[[#This Row],[TIPO RELACIONAMENTO]],1)="3",(IF(A324="IRPJ",IF(LEFT(B324,1)="1","|M305|",IF(LEFT(B324,1)="2","|M310|",IF(LEFT(B324,1)="3","|M310|",IF(LEFT(B324,1)="4","|M312|","")))),IF(LEFT(B324,1)="1","|M355|",IF(LEFT(B324,1)="2","|M360|",IF(LEFT(B324,1)="3","|M360|",IF(LEFT(B324,1)="4","|M362|","")))))),"")</f>
        <v/>
      </c>
      <c r="N32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4" t="e">
        <f>IF(A324="IRPJ",("|M300|"&amp;LEFT(C324,FIND("-",C324)-1)&amp;"|"&amp;RIGHT(C324,LEN(C324)-FIND("-",C324))&amp;"|"&amp;LEFT(D324,1)&amp;"|"&amp;LEFT(B324,1)&amp;"|"&amp;Tabela_BaseM[[#This Row],[Valor]]&amp;"|"&amp;Tabela_BaseM[[#This Row],[HISTÓRICO]]&amp;"|"),("|M350|"&amp;LEFT(C324,FIND("-",C324)-1)&amp;"|"&amp;RIGHT(C324,LEN(C324)-FIND("-",C324))&amp;"|"&amp;LEFT(D324,1)&amp;"|"&amp;LEFT(B324,1)&amp;"|"&amp;Tabela_BaseM[[#This Row],[Valor]]&amp;"|"&amp;Tabela_BaseM[[#This Row],[HISTÓRICO]]&amp;"|"))</f>
        <v>#VALUE!</v>
      </c>
    </row>
    <row r="325" spans="10:17" x14ac:dyDescent="0.25">
      <c r="J325" s="11"/>
      <c r="L325" t="str">
        <f>IF(A325="IRPJ",IF(LEFT(B325,1)="1","|M305|",IF(LEFT(B325,1)="2","|M310|",IF(AND(LEFT(B325,1)="3",Tabela_BaseM[[#This Row],[CONTA PARTE B]]&lt;&gt;""),"|M305|",IF(LEFT(B325,1)="4","|M312|","")))),      IF(LEFT(B325,1)="1","|M355|",IF(LEFT(B325,1)="2","|M360|",IF(AND(LEFT(B325,1)="3",Tabela_BaseM[[#This Row],[CONTA PARTE B]]&lt;&gt;""),"|M355|",IF(LEFT(B325,1)="4","|M362|","")))))</f>
        <v/>
      </c>
      <c r="M325" t="str">
        <f>IF(LEFT(Tabela_BaseM[[#This Row],[TIPO RELACIONAMENTO]],1)="3",(IF(A325="IRPJ",IF(LEFT(B325,1)="1","|M305|",IF(LEFT(B325,1)="2","|M310|",IF(LEFT(B325,1)="3","|M310|",IF(LEFT(B325,1)="4","|M312|","")))),IF(LEFT(B325,1)="1","|M355|",IF(LEFT(B325,1)="2","|M360|",IF(LEFT(B325,1)="3","|M360|",IF(LEFT(B325,1)="4","|M362|","")))))),"")</f>
        <v/>
      </c>
      <c r="N32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5" t="e">
        <f>IF(A325="IRPJ",("|M300|"&amp;LEFT(C325,FIND("-",C325)-1)&amp;"|"&amp;RIGHT(C325,LEN(C325)-FIND("-",C325))&amp;"|"&amp;LEFT(D325,1)&amp;"|"&amp;LEFT(B325,1)&amp;"|"&amp;Tabela_BaseM[[#This Row],[Valor]]&amp;"|"&amp;Tabela_BaseM[[#This Row],[HISTÓRICO]]&amp;"|"),("|M350|"&amp;LEFT(C325,FIND("-",C325)-1)&amp;"|"&amp;RIGHT(C325,LEN(C325)-FIND("-",C325))&amp;"|"&amp;LEFT(D325,1)&amp;"|"&amp;LEFT(B325,1)&amp;"|"&amp;Tabela_BaseM[[#This Row],[Valor]]&amp;"|"&amp;Tabela_BaseM[[#This Row],[HISTÓRICO]]&amp;"|"))</f>
        <v>#VALUE!</v>
      </c>
    </row>
    <row r="326" spans="10:17" x14ac:dyDescent="0.25">
      <c r="J326" s="11"/>
      <c r="L326" t="str">
        <f>IF(A326="IRPJ",IF(LEFT(B326,1)="1","|M305|",IF(LEFT(B326,1)="2","|M310|",IF(AND(LEFT(B326,1)="3",Tabela_BaseM[[#This Row],[CONTA PARTE B]]&lt;&gt;""),"|M305|",IF(LEFT(B326,1)="4","|M312|","")))),      IF(LEFT(B326,1)="1","|M355|",IF(LEFT(B326,1)="2","|M360|",IF(AND(LEFT(B326,1)="3",Tabela_BaseM[[#This Row],[CONTA PARTE B]]&lt;&gt;""),"|M355|",IF(LEFT(B326,1)="4","|M362|","")))))</f>
        <v/>
      </c>
      <c r="M326" t="str">
        <f>IF(LEFT(Tabela_BaseM[[#This Row],[TIPO RELACIONAMENTO]],1)="3",(IF(A326="IRPJ",IF(LEFT(B326,1)="1","|M305|",IF(LEFT(B326,1)="2","|M310|",IF(LEFT(B326,1)="3","|M310|",IF(LEFT(B326,1)="4","|M312|","")))),IF(LEFT(B326,1)="1","|M355|",IF(LEFT(B326,1)="2","|M360|",IF(LEFT(B326,1)="3","|M360|",IF(LEFT(B326,1)="4","|M362|","")))))),"")</f>
        <v/>
      </c>
      <c r="N32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6" t="e">
        <f>IF(A326="IRPJ",("|M300|"&amp;LEFT(C326,FIND("-",C326)-1)&amp;"|"&amp;RIGHT(C326,LEN(C326)-FIND("-",C326))&amp;"|"&amp;LEFT(D326,1)&amp;"|"&amp;LEFT(B326,1)&amp;"|"&amp;Tabela_BaseM[[#This Row],[Valor]]&amp;"|"&amp;Tabela_BaseM[[#This Row],[HISTÓRICO]]&amp;"|"),("|M350|"&amp;LEFT(C326,FIND("-",C326)-1)&amp;"|"&amp;RIGHT(C326,LEN(C326)-FIND("-",C326))&amp;"|"&amp;LEFT(D326,1)&amp;"|"&amp;LEFT(B326,1)&amp;"|"&amp;Tabela_BaseM[[#This Row],[Valor]]&amp;"|"&amp;Tabela_BaseM[[#This Row],[HISTÓRICO]]&amp;"|"))</f>
        <v>#VALUE!</v>
      </c>
    </row>
    <row r="327" spans="10:17" x14ac:dyDescent="0.25">
      <c r="J327" s="11"/>
      <c r="L327" t="str">
        <f>IF(A327="IRPJ",IF(LEFT(B327,1)="1","|M305|",IF(LEFT(B327,1)="2","|M310|",IF(AND(LEFT(B327,1)="3",Tabela_BaseM[[#This Row],[CONTA PARTE B]]&lt;&gt;""),"|M305|",IF(LEFT(B327,1)="4","|M312|","")))),      IF(LEFT(B327,1)="1","|M355|",IF(LEFT(B327,1)="2","|M360|",IF(AND(LEFT(B327,1)="3",Tabela_BaseM[[#This Row],[CONTA PARTE B]]&lt;&gt;""),"|M355|",IF(LEFT(B327,1)="4","|M362|","")))))</f>
        <v/>
      </c>
      <c r="M327" t="str">
        <f>IF(LEFT(Tabela_BaseM[[#This Row],[TIPO RELACIONAMENTO]],1)="3",(IF(A327="IRPJ",IF(LEFT(B327,1)="1","|M305|",IF(LEFT(B327,1)="2","|M310|",IF(LEFT(B327,1)="3","|M310|",IF(LEFT(B327,1)="4","|M312|","")))),IF(LEFT(B327,1)="1","|M355|",IF(LEFT(B327,1)="2","|M360|",IF(LEFT(B327,1)="3","|M360|",IF(LEFT(B327,1)="4","|M362|","")))))),"")</f>
        <v/>
      </c>
      <c r="N32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7" t="e">
        <f>IF(A327="IRPJ",("|M300|"&amp;LEFT(C327,FIND("-",C327)-1)&amp;"|"&amp;RIGHT(C327,LEN(C327)-FIND("-",C327))&amp;"|"&amp;LEFT(D327,1)&amp;"|"&amp;LEFT(B327,1)&amp;"|"&amp;Tabela_BaseM[[#This Row],[Valor]]&amp;"|"&amp;Tabela_BaseM[[#This Row],[HISTÓRICO]]&amp;"|"),("|M350|"&amp;LEFT(C327,FIND("-",C327)-1)&amp;"|"&amp;RIGHT(C327,LEN(C327)-FIND("-",C327))&amp;"|"&amp;LEFT(D327,1)&amp;"|"&amp;LEFT(B327,1)&amp;"|"&amp;Tabela_BaseM[[#This Row],[Valor]]&amp;"|"&amp;Tabela_BaseM[[#This Row],[HISTÓRICO]]&amp;"|"))</f>
        <v>#VALUE!</v>
      </c>
    </row>
    <row r="328" spans="10:17" x14ac:dyDescent="0.25">
      <c r="J328" s="11"/>
      <c r="L328" t="str">
        <f>IF(A328="IRPJ",IF(LEFT(B328,1)="1","|M305|",IF(LEFT(B328,1)="2","|M310|",IF(AND(LEFT(B328,1)="3",Tabela_BaseM[[#This Row],[CONTA PARTE B]]&lt;&gt;""),"|M305|",IF(LEFT(B328,1)="4","|M312|","")))),      IF(LEFT(B328,1)="1","|M355|",IF(LEFT(B328,1)="2","|M360|",IF(AND(LEFT(B328,1)="3",Tabela_BaseM[[#This Row],[CONTA PARTE B]]&lt;&gt;""),"|M355|",IF(LEFT(B328,1)="4","|M362|","")))))</f>
        <v/>
      </c>
      <c r="M328" t="str">
        <f>IF(LEFT(Tabela_BaseM[[#This Row],[TIPO RELACIONAMENTO]],1)="3",(IF(A328="IRPJ",IF(LEFT(B328,1)="1","|M305|",IF(LEFT(B328,1)="2","|M310|",IF(LEFT(B328,1)="3","|M310|",IF(LEFT(B328,1)="4","|M312|","")))),IF(LEFT(B328,1)="1","|M355|",IF(LEFT(B328,1)="2","|M360|",IF(LEFT(B328,1)="3","|M360|",IF(LEFT(B328,1)="4","|M362|","")))))),"")</f>
        <v/>
      </c>
      <c r="N32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8" t="e">
        <f>IF(A328="IRPJ",("|M300|"&amp;LEFT(C328,FIND("-",C328)-1)&amp;"|"&amp;RIGHT(C328,LEN(C328)-FIND("-",C328))&amp;"|"&amp;LEFT(D328,1)&amp;"|"&amp;LEFT(B328,1)&amp;"|"&amp;Tabela_BaseM[[#This Row],[Valor]]&amp;"|"&amp;Tabela_BaseM[[#This Row],[HISTÓRICO]]&amp;"|"),("|M350|"&amp;LEFT(C328,FIND("-",C328)-1)&amp;"|"&amp;RIGHT(C328,LEN(C328)-FIND("-",C328))&amp;"|"&amp;LEFT(D328,1)&amp;"|"&amp;LEFT(B328,1)&amp;"|"&amp;Tabela_BaseM[[#This Row],[Valor]]&amp;"|"&amp;Tabela_BaseM[[#This Row],[HISTÓRICO]]&amp;"|"))</f>
        <v>#VALUE!</v>
      </c>
    </row>
    <row r="329" spans="10:17" x14ac:dyDescent="0.25">
      <c r="J329" s="11"/>
      <c r="L329" t="str">
        <f>IF(A329="IRPJ",IF(LEFT(B329,1)="1","|M305|",IF(LEFT(B329,1)="2","|M310|",IF(AND(LEFT(B329,1)="3",Tabela_BaseM[[#This Row],[CONTA PARTE B]]&lt;&gt;""),"|M305|",IF(LEFT(B329,1)="4","|M312|","")))),      IF(LEFT(B329,1)="1","|M355|",IF(LEFT(B329,1)="2","|M360|",IF(AND(LEFT(B329,1)="3",Tabela_BaseM[[#This Row],[CONTA PARTE B]]&lt;&gt;""),"|M355|",IF(LEFT(B329,1)="4","|M362|","")))))</f>
        <v/>
      </c>
      <c r="M329" t="str">
        <f>IF(LEFT(Tabela_BaseM[[#This Row],[TIPO RELACIONAMENTO]],1)="3",(IF(A329="IRPJ",IF(LEFT(B329,1)="1","|M305|",IF(LEFT(B329,1)="2","|M310|",IF(LEFT(B329,1)="3","|M310|",IF(LEFT(B329,1)="4","|M312|","")))),IF(LEFT(B329,1)="1","|M355|",IF(LEFT(B329,1)="2","|M360|",IF(LEFT(B329,1)="3","|M360|",IF(LEFT(B329,1)="4","|M362|","")))))),"")</f>
        <v/>
      </c>
      <c r="N32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2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2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29" t="e">
        <f>IF(A329="IRPJ",("|M300|"&amp;LEFT(C329,FIND("-",C329)-1)&amp;"|"&amp;RIGHT(C329,LEN(C329)-FIND("-",C329))&amp;"|"&amp;LEFT(D329,1)&amp;"|"&amp;LEFT(B329,1)&amp;"|"&amp;Tabela_BaseM[[#This Row],[Valor]]&amp;"|"&amp;Tabela_BaseM[[#This Row],[HISTÓRICO]]&amp;"|"),("|M350|"&amp;LEFT(C329,FIND("-",C329)-1)&amp;"|"&amp;RIGHT(C329,LEN(C329)-FIND("-",C329))&amp;"|"&amp;LEFT(D329,1)&amp;"|"&amp;LEFT(B329,1)&amp;"|"&amp;Tabela_BaseM[[#This Row],[Valor]]&amp;"|"&amp;Tabela_BaseM[[#This Row],[HISTÓRICO]]&amp;"|"))</f>
        <v>#VALUE!</v>
      </c>
    </row>
    <row r="330" spans="10:17" x14ac:dyDescent="0.25">
      <c r="J330" s="11"/>
      <c r="L330" t="str">
        <f>IF(A330="IRPJ",IF(LEFT(B330,1)="1","|M305|",IF(LEFT(B330,1)="2","|M310|",IF(AND(LEFT(B330,1)="3",Tabela_BaseM[[#This Row],[CONTA PARTE B]]&lt;&gt;""),"|M305|",IF(LEFT(B330,1)="4","|M312|","")))),      IF(LEFT(B330,1)="1","|M355|",IF(LEFT(B330,1)="2","|M360|",IF(AND(LEFT(B330,1)="3",Tabela_BaseM[[#This Row],[CONTA PARTE B]]&lt;&gt;""),"|M355|",IF(LEFT(B330,1)="4","|M362|","")))))</f>
        <v/>
      </c>
      <c r="M330" t="str">
        <f>IF(LEFT(Tabela_BaseM[[#This Row],[TIPO RELACIONAMENTO]],1)="3",(IF(A330="IRPJ",IF(LEFT(B330,1)="1","|M305|",IF(LEFT(B330,1)="2","|M310|",IF(LEFT(B330,1)="3","|M310|",IF(LEFT(B330,1)="4","|M312|","")))),IF(LEFT(B330,1)="1","|M355|",IF(LEFT(B330,1)="2","|M360|",IF(LEFT(B330,1)="3","|M360|",IF(LEFT(B330,1)="4","|M362|","")))))),"")</f>
        <v/>
      </c>
      <c r="N33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0" t="e">
        <f>IF(A330="IRPJ",("|M300|"&amp;LEFT(C330,FIND("-",C330)-1)&amp;"|"&amp;RIGHT(C330,LEN(C330)-FIND("-",C330))&amp;"|"&amp;LEFT(D330,1)&amp;"|"&amp;LEFT(B330,1)&amp;"|"&amp;Tabela_BaseM[[#This Row],[Valor]]&amp;"|"&amp;Tabela_BaseM[[#This Row],[HISTÓRICO]]&amp;"|"),("|M350|"&amp;LEFT(C330,FIND("-",C330)-1)&amp;"|"&amp;RIGHT(C330,LEN(C330)-FIND("-",C330))&amp;"|"&amp;LEFT(D330,1)&amp;"|"&amp;LEFT(B330,1)&amp;"|"&amp;Tabela_BaseM[[#This Row],[Valor]]&amp;"|"&amp;Tabela_BaseM[[#This Row],[HISTÓRICO]]&amp;"|"))</f>
        <v>#VALUE!</v>
      </c>
    </row>
    <row r="331" spans="10:17" x14ac:dyDescent="0.25">
      <c r="J331" s="11"/>
      <c r="L331" t="str">
        <f>IF(A331="IRPJ",IF(LEFT(B331,1)="1","|M305|",IF(LEFT(B331,1)="2","|M310|",IF(AND(LEFT(B331,1)="3",Tabela_BaseM[[#This Row],[CONTA PARTE B]]&lt;&gt;""),"|M305|",IF(LEFT(B331,1)="4","|M312|","")))),      IF(LEFT(B331,1)="1","|M355|",IF(LEFT(B331,1)="2","|M360|",IF(AND(LEFT(B331,1)="3",Tabela_BaseM[[#This Row],[CONTA PARTE B]]&lt;&gt;""),"|M355|",IF(LEFT(B331,1)="4","|M362|","")))))</f>
        <v/>
      </c>
      <c r="M331" t="str">
        <f>IF(LEFT(Tabela_BaseM[[#This Row],[TIPO RELACIONAMENTO]],1)="3",(IF(A331="IRPJ",IF(LEFT(B331,1)="1","|M305|",IF(LEFT(B331,1)="2","|M310|",IF(LEFT(B331,1)="3","|M310|",IF(LEFT(B331,1)="4","|M312|","")))),IF(LEFT(B331,1)="1","|M355|",IF(LEFT(B331,1)="2","|M360|",IF(LEFT(B331,1)="3","|M360|",IF(LEFT(B331,1)="4","|M362|","")))))),"")</f>
        <v/>
      </c>
      <c r="N33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1" t="e">
        <f>IF(A331="IRPJ",("|M300|"&amp;LEFT(C331,FIND("-",C331)-1)&amp;"|"&amp;RIGHT(C331,LEN(C331)-FIND("-",C331))&amp;"|"&amp;LEFT(D331,1)&amp;"|"&amp;LEFT(B331,1)&amp;"|"&amp;Tabela_BaseM[[#This Row],[Valor]]&amp;"|"&amp;Tabela_BaseM[[#This Row],[HISTÓRICO]]&amp;"|"),("|M350|"&amp;LEFT(C331,FIND("-",C331)-1)&amp;"|"&amp;RIGHT(C331,LEN(C331)-FIND("-",C331))&amp;"|"&amp;LEFT(D331,1)&amp;"|"&amp;LEFT(B331,1)&amp;"|"&amp;Tabela_BaseM[[#This Row],[Valor]]&amp;"|"&amp;Tabela_BaseM[[#This Row],[HISTÓRICO]]&amp;"|"))</f>
        <v>#VALUE!</v>
      </c>
    </row>
    <row r="332" spans="10:17" x14ac:dyDescent="0.25">
      <c r="J332" s="11"/>
      <c r="L332" t="str">
        <f>IF(A332="IRPJ",IF(LEFT(B332,1)="1","|M305|",IF(LEFT(B332,1)="2","|M310|",IF(AND(LEFT(B332,1)="3",Tabela_BaseM[[#This Row],[CONTA PARTE B]]&lt;&gt;""),"|M305|",IF(LEFT(B332,1)="4","|M312|","")))),      IF(LEFT(B332,1)="1","|M355|",IF(LEFT(B332,1)="2","|M360|",IF(AND(LEFT(B332,1)="3",Tabela_BaseM[[#This Row],[CONTA PARTE B]]&lt;&gt;""),"|M355|",IF(LEFT(B332,1)="4","|M362|","")))))</f>
        <v/>
      </c>
      <c r="M332" t="str">
        <f>IF(LEFT(Tabela_BaseM[[#This Row],[TIPO RELACIONAMENTO]],1)="3",(IF(A332="IRPJ",IF(LEFT(B332,1)="1","|M305|",IF(LEFT(B332,1)="2","|M310|",IF(LEFT(B332,1)="3","|M310|",IF(LEFT(B332,1)="4","|M312|","")))),IF(LEFT(B332,1)="1","|M355|",IF(LEFT(B332,1)="2","|M360|",IF(LEFT(B332,1)="3","|M360|",IF(LEFT(B332,1)="4","|M362|","")))))),"")</f>
        <v/>
      </c>
      <c r="N33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2" t="e">
        <f>IF(A332="IRPJ",("|M300|"&amp;LEFT(C332,FIND("-",C332)-1)&amp;"|"&amp;RIGHT(C332,LEN(C332)-FIND("-",C332))&amp;"|"&amp;LEFT(D332,1)&amp;"|"&amp;LEFT(B332,1)&amp;"|"&amp;Tabela_BaseM[[#This Row],[Valor]]&amp;"|"&amp;Tabela_BaseM[[#This Row],[HISTÓRICO]]&amp;"|"),("|M350|"&amp;LEFT(C332,FIND("-",C332)-1)&amp;"|"&amp;RIGHT(C332,LEN(C332)-FIND("-",C332))&amp;"|"&amp;LEFT(D332,1)&amp;"|"&amp;LEFT(B332,1)&amp;"|"&amp;Tabela_BaseM[[#This Row],[Valor]]&amp;"|"&amp;Tabela_BaseM[[#This Row],[HISTÓRICO]]&amp;"|"))</f>
        <v>#VALUE!</v>
      </c>
    </row>
    <row r="333" spans="10:17" x14ac:dyDescent="0.25">
      <c r="J333" s="11"/>
      <c r="L333" t="str">
        <f>IF(A333="IRPJ",IF(LEFT(B333,1)="1","|M305|",IF(LEFT(B333,1)="2","|M310|",IF(AND(LEFT(B333,1)="3",Tabela_BaseM[[#This Row],[CONTA PARTE B]]&lt;&gt;""),"|M305|",IF(LEFT(B333,1)="4","|M312|","")))),      IF(LEFT(B333,1)="1","|M355|",IF(LEFT(B333,1)="2","|M360|",IF(AND(LEFT(B333,1)="3",Tabela_BaseM[[#This Row],[CONTA PARTE B]]&lt;&gt;""),"|M355|",IF(LEFT(B333,1)="4","|M362|","")))))</f>
        <v/>
      </c>
      <c r="M333" t="str">
        <f>IF(LEFT(Tabela_BaseM[[#This Row],[TIPO RELACIONAMENTO]],1)="3",(IF(A333="IRPJ",IF(LEFT(B333,1)="1","|M305|",IF(LEFT(B333,1)="2","|M310|",IF(LEFT(B333,1)="3","|M310|",IF(LEFT(B333,1)="4","|M312|","")))),IF(LEFT(B333,1)="1","|M355|",IF(LEFT(B333,1)="2","|M360|",IF(LEFT(B333,1)="3","|M360|",IF(LEFT(B333,1)="4","|M362|","")))))),"")</f>
        <v/>
      </c>
      <c r="N33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3" t="e">
        <f>IF(A333="IRPJ",("|M300|"&amp;LEFT(C333,FIND("-",C333)-1)&amp;"|"&amp;RIGHT(C333,LEN(C333)-FIND("-",C333))&amp;"|"&amp;LEFT(D333,1)&amp;"|"&amp;LEFT(B333,1)&amp;"|"&amp;Tabela_BaseM[[#This Row],[Valor]]&amp;"|"&amp;Tabela_BaseM[[#This Row],[HISTÓRICO]]&amp;"|"),("|M350|"&amp;LEFT(C333,FIND("-",C333)-1)&amp;"|"&amp;RIGHT(C333,LEN(C333)-FIND("-",C333))&amp;"|"&amp;LEFT(D333,1)&amp;"|"&amp;LEFT(B333,1)&amp;"|"&amp;Tabela_BaseM[[#This Row],[Valor]]&amp;"|"&amp;Tabela_BaseM[[#This Row],[HISTÓRICO]]&amp;"|"))</f>
        <v>#VALUE!</v>
      </c>
    </row>
    <row r="334" spans="10:17" x14ac:dyDescent="0.25">
      <c r="J334" s="11"/>
      <c r="L334" t="str">
        <f>IF(A334="IRPJ",IF(LEFT(B334,1)="1","|M305|",IF(LEFT(B334,1)="2","|M310|",IF(AND(LEFT(B334,1)="3",Tabela_BaseM[[#This Row],[CONTA PARTE B]]&lt;&gt;""),"|M305|",IF(LEFT(B334,1)="4","|M312|","")))),      IF(LEFT(B334,1)="1","|M355|",IF(LEFT(B334,1)="2","|M360|",IF(AND(LEFT(B334,1)="3",Tabela_BaseM[[#This Row],[CONTA PARTE B]]&lt;&gt;""),"|M355|",IF(LEFT(B334,1)="4","|M362|","")))))</f>
        <v/>
      </c>
      <c r="M334" t="str">
        <f>IF(LEFT(Tabela_BaseM[[#This Row],[TIPO RELACIONAMENTO]],1)="3",(IF(A334="IRPJ",IF(LEFT(B334,1)="1","|M305|",IF(LEFT(B334,1)="2","|M310|",IF(LEFT(B334,1)="3","|M310|",IF(LEFT(B334,1)="4","|M312|","")))),IF(LEFT(B334,1)="1","|M355|",IF(LEFT(B334,1)="2","|M360|",IF(LEFT(B334,1)="3","|M360|",IF(LEFT(B334,1)="4","|M362|","")))))),"")</f>
        <v/>
      </c>
      <c r="N33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4" t="e">
        <f>IF(A334="IRPJ",("|M300|"&amp;LEFT(C334,FIND("-",C334)-1)&amp;"|"&amp;RIGHT(C334,LEN(C334)-FIND("-",C334))&amp;"|"&amp;LEFT(D334,1)&amp;"|"&amp;LEFT(B334,1)&amp;"|"&amp;Tabela_BaseM[[#This Row],[Valor]]&amp;"|"&amp;Tabela_BaseM[[#This Row],[HISTÓRICO]]&amp;"|"),("|M350|"&amp;LEFT(C334,FIND("-",C334)-1)&amp;"|"&amp;RIGHT(C334,LEN(C334)-FIND("-",C334))&amp;"|"&amp;LEFT(D334,1)&amp;"|"&amp;LEFT(B334,1)&amp;"|"&amp;Tabela_BaseM[[#This Row],[Valor]]&amp;"|"&amp;Tabela_BaseM[[#This Row],[HISTÓRICO]]&amp;"|"))</f>
        <v>#VALUE!</v>
      </c>
    </row>
    <row r="335" spans="10:17" x14ac:dyDescent="0.25">
      <c r="J335" s="11"/>
      <c r="L335" t="str">
        <f>IF(A335="IRPJ",IF(LEFT(B335,1)="1","|M305|",IF(LEFT(B335,1)="2","|M310|",IF(AND(LEFT(B335,1)="3",Tabela_BaseM[[#This Row],[CONTA PARTE B]]&lt;&gt;""),"|M305|",IF(LEFT(B335,1)="4","|M312|","")))),      IF(LEFT(B335,1)="1","|M355|",IF(LEFT(B335,1)="2","|M360|",IF(AND(LEFT(B335,1)="3",Tabela_BaseM[[#This Row],[CONTA PARTE B]]&lt;&gt;""),"|M355|",IF(LEFT(B335,1)="4","|M362|","")))))</f>
        <v/>
      </c>
      <c r="M335" t="str">
        <f>IF(LEFT(Tabela_BaseM[[#This Row],[TIPO RELACIONAMENTO]],1)="3",(IF(A335="IRPJ",IF(LEFT(B335,1)="1","|M305|",IF(LEFT(B335,1)="2","|M310|",IF(LEFT(B335,1)="3","|M310|",IF(LEFT(B335,1)="4","|M312|","")))),IF(LEFT(B335,1)="1","|M355|",IF(LEFT(B335,1)="2","|M360|",IF(LEFT(B335,1)="3","|M360|",IF(LEFT(B335,1)="4","|M362|","")))))),"")</f>
        <v/>
      </c>
      <c r="N33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5" t="e">
        <f>IF(A335="IRPJ",("|M300|"&amp;LEFT(C335,FIND("-",C335)-1)&amp;"|"&amp;RIGHT(C335,LEN(C335)-FIND("-",C335))&amp;"|"&amp;LEFT(D335,1)&amp;"|"&amp;LEFT(B335,1)&amp;"|"&amp;Tabela_BaseM[[#This Row],[Valor]]&amp;"|"&amp;Tabela_BaseM[[#This Row],[HISTÓRICO]]&amp;"|"),("|M350|"&amp;LEFT(C335,FIND("-",C335)-1)&amp;"|"&amp;RIGHT(C335,LEN(C335)-FIND("-",C335))&amp;"|"&amp;LEFT(D335,1)&amp;"|"&amp;LEFT(B335,1)&amp;"|"&amp;Tabela_BaseM[[#This Row],[Valor]]&amp;"|"&amp;Tabela_BaseM[[#This Row],[HISTÓRICO]]&amp;"|"))</f>
        <v>#VALUE!</v>
      </c>
    </row>
    <row r="336" spans="10:17" x14ac:dyDescent="0.25">
      <c r="J336" s="11"/>
      <c r="L336" t="str">
        <f>IF(A336="IRPJ",IF(LEFT(B336,1)="1","|M305|",IF(LEFT(B336,1)="2","|M310|",IF(AND(LEFT(B336,1)="3",Tabela_BaseM[[#This Row],[CONTA PARTE B]]&lt;&gt;""),"|M305|",IF(LEFT(B336,1)="4","|M312|","")))),      IF(LEFT(B336,1)="1","|M355|",IF(LEFT(B336,1)="2","|M360|",IF(AND(LEFT(B336,1)="3",Tabela_BaseM[[#This Row],[CONTA PARTE B]]&lt;&gt;""),"|M355|",IF(LEFT(B336,1)="4","|M362|","")))))</f>
        <v/>
      </c>
      <c r="M336" t="str">
        <f>IF(LEFT(Tabela_BaseM[[#This Row],[TIPO RELACIONAMENTO]],1)="3",(IF(A336="IRPJ",IF(LEFT(B336,1)="1","|M305|",IF(LEFT(B336,1)="2","|M310|",IF(LEFT(B336,1)="3","|M310|",IF(LEFT(B336,1)="4","|M312|","")))),IF(LEFT(B336,1)="1","|M355|",IF(LEFT(B336,1)="2","|M360|",IF(LEFT(B336,1)="3","|M360|",IF(LEFT(B336,1)="4","|M362|","")))))),"")</f>
        <v/>
      </c>
      <c r="N33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6" t="e">
        <f>IF(A336="IRPJ",("|M300|"&amp;LEFT(C336,FIND("-",C336)-1)&amp;"|"&amp;RIGHT(C336,LEN(C336)-FIND("-",C336))&amp;"|"&amp;LEFT(D336,1)&amp;"|"&amp;LEFT(B336,1)&amp;"|"&amp;Tabela_BaseM[[#This Row],[Valor]]&amp;"|"&amp;Tabela_BaseM[[#This Row],[HISTÓRICO]]&amp;"|"),("|M350|"&amp;LEFT(C336,FIND("-",C336)-1)&amp;"|"&amp;RIGHT(C336,LEN(C336)-FIND("-",C336))&amp;"|"&amp;LEFT(D336,1)&amp;"|"&amp;LEFT(B336,1)&amp;"|"&amp;Tabela_BaseM[[#This Row],[Valor]]&amp;"|"&amp;Tabela_BaseM[[#This Row],[HISTÓRICO]]&amp;"|"))</f>
        <v>#VALUE!</v>
      </c>
    </row>
    <row r="337" spans="10:17" x14ac:dyDescent="0.25">
      <c r="J337" s="11"/>
      <c r="L337" t="str">
        <f>IF(A337="IRPJ",IF(LEFT(B337,1)="1","|M305|",IF(LEFT(B337,1)="2","|M310|",IF(AND(LEFT(B337,1)="3",Tabela_BaseM[[#This Row],[CONTA PARTE B]]&lt;&gt;""),"|M305|",IF(LEFT(B337,1)="4","|M312|","")))),      IF(LEFT(B337,1)="1","|M355|",IF(LEFT(B337,1)="2","|M360|",IF(AND(LEFT(B337,1)="3",Tabela_BaseM[[#This Row],[CONTA PARTE B]]&lt;&gt;""),"|M355|",IF(LEFT(B337,1)="4","|M362|","")))))</f>
        <v/>
      </c>
      <c r="M337" t="str">
        <f>IF(LEFT(Tabela_BaseM[[#This Row],[TIPO RELACIONAMENTO]],1)="3",(IF(A337="IRPJ",IF(LEFT(B337,1)="1","|M305|",IF(LEFT(B337,1)="2","|M310|",IF(LEFT(B337,1)="3","|M310|",IF(LEFT(B337,1)="4","|M312|","")))),IF(LEFT(B337,1)="1","|M355|",IF(LEFT(B337,1)="2","|M360|",IF(LEFT(B337,1)="3","|M360|",IF(LEFT(B337,1)="4","|M362|","")))))),"")</f>
        <v/>
      </c>
      <c r="N33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7" t="e">
        <f>IF(A337="IRPJ",("|M300|"&amp;LEFT(C337,FIND("-",C337)-1)&amp;"|"&amp;RIGHT(C337,LEN(C337)-FIND("-",C337))&amp;"|"&amp;LEFT(D337,1)&amp;"|"&amp;LEFT(B337,1)&amp;"|"&amp;Tabela_BaseM[[#This Row],[Valor]]&amp;"|"&amp;Tabela_BaseM[[#This Row],[HISTÓRICO]]&amp;"|"),("|M350|"&amp;LEFT(C337,FIND("-",C337)-1)&amp;"|"&amp;RIGHT(C337,LEN(C337)-FIND("-",C337))&amp;"|"&amp;LEFT(D337,1)&amp;"|"&amp;LEFT(B337,1)&amp;"|"&amp;Tabela_BaseM[[#This Row],[Valor]]&amp;"|"&amp;Tabela_BaseM[[#This Row],[HISTÓRICO]]&amp;"|"))</f>
        <v>#VALUE!</v>
      </c>
    </row>
    <row r="338" spans="10:17" x14ac:dyDescent="0.25">
      <c r="J338" s="11"/>
      <c r="L338" t="str">
        <f>IF(A338="IRPJ",IF(LEFT(B338,1)="1","|M305|",IF(LEFT(B338,1)="2","|M310|",IF(AND(LEFT(B338,1)="3",Tabela_BaseM[[#This Row],[CONTA PARTE B]]&lt;&gt;""),"|M305|",IF(LEFT(B338,1)="4","|M312|","")))),      IF(LEFT(B338,1)="1","|M355|",IF(LEFT(B338,1)="2","|M360|",IF(AND(LEFT(B338,1)="3",Tabela_BaseM[[#This Row],[CONTA PARTE B]]&lt;&gt;""),"|M355|",IF(LEFT(B338,1)="4","|M362|","")))))</f>
        <v/>
      </c>
      <c r="M338" t="str">
        <f>IF(LEFT(Tabela_BaseM[[#This Row],[TIPO RELACIONAMENTO]],1)="3",(IF(A338="IRPJ",IF(LEFT(B338,1)="1","|M305|",IF(LEFT(B338,1)="2","|M310|",IF(LEFT(B338,1)="3","|M310|",IF(LEFT(B338,1)="4","|M312|","")))),IF(LEFT(B338,1)="1","|M355|",IF(LEFT(B338,1)="2","|M360|",IF(LEFT(B338,1)="3","|M360|",IF(LEFT(B338,1)="4","|M362|","")))))),"")</f>
        <v/>
      </c>
      <c r="N33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8" t="e">
        <f>IF(A338="IRPJ",("|M300|"&amp;LEFT(C338,FIND("-",C338)-1)&amp;"|"&amp;RIGHT(C338,LEN(C338)-FIND("-",C338))&amp;"|"&amp;LEFT(D338,1)&amp;"|"&amp;LEFT(B338,1)&amp;"|"&amp;Tabela_BaseM[[#This Row],[Valor]]&amp;"|"&amp;Tabela_BaseM[[#This Row],[HISTÓRICO]]&amp;"|"),("|M350|"&amp;LEFT(C338,FIND("-",C338)-1)&amp;"|"&amp;RIGHT(C338,LEN(C338)-FIND("-",C338))&amp;"|"&amp;LEFT(D338,1)&amp;"|"&amp;LEFT(B338,1)&amp;"|"&amp;Tabela_BaseM[[#This Row],[Valor]]&amp;"|"&amp;Tabela_BaseM[[#This Row],[HISTÓRICO]]&amp;"|"))</f>
        <v>#VALUE!</v>
      </c>
    </row>
    <row r="339" spans="10:17" x14ac:dyDescent="0.25">
      <c r="J339" s="11"/>
      <c r="L339" t="str">
        <f>IF(A339="IRPJ",IF(LEFT(B339,1)="1","|M305|",IF(LEFT(B339,1)="2","|M310|",IF(AND(LEFT(B339,1)="3",Tabela_BaseM[[#This Row],[CONTA PARTE B]]&lt;&gt;""),"|M305|",IF(LEFT(B339,1)="4","|M312|","")))),      IF(LEFT(B339,1)="1","|M355|",IF(LEFT(B339,1)="2","|M360|",IF(AND(LEFT(B339,1)="3",Tabela_BaseM[[#This Row],[CONTA PARTE B]]&lt;&gt;""),"|M355|",IF(LEFT(B339,1)="4","|M362|","")))))</f>
        <v/>
      </c>
      <c r="M339" t="str">
        <f>IF(LEFT(Tabela_BaseM[[#This Row],[TIPO RELACIONAMENTO]],1)="3",(IF(A339="IRPJ",IF(LEFT(B339,1)="1","|M305|",IF(LEFT(B339,1)="2","|M310|",IF(LEFT(B339,1)="3","|M310|",IF(LEFT(B339,1)="4","|M312|","")))),IF(LEFT(B339,1)="1","|M355|",IF(LEFT(B339,1)="2","|M360|",IF(LEFT(B339,1)="3","|M360|",IF(LEFT(B339,1)="4","|M362|","")))))),"")</f>
        <v/>
      </c>
      <c r="N33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3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3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39" t="e">
        <f>IF(A339="IRPJ",("|M300|"&amp;LEFT(C339,FIND("-",C339)-1)&amp;"|"&amp;RIGHT(C339,LEN(C339)-FIND("-",C339))&amp;"|"&amp;LEFT(D339,1)&amp;"|"&amp;LEFT(B339,1)&amp;"|"&amp;Tabela_BaseM[[#This Row],[Valor]]&amp;"|"&amp;Tabela_BaseM[[#This Row],[HISTÓRICO]]&amp;"|"),("|M350|"&amp;LEFT(C339,FIND("-",C339)-1)&amp;"|"&amp;RIGHT(C339,LEN(C339)-FIND("-",C339))&amp;"|"&amp;LEFT(D339,1)&amp;"|"&amp;LEFT(B339,1)&amp;"|"&amp;Tabela_BaseM[[#This Row],[Valor]]&amp;"|"&amp;Tabela_BaseM[[#This Row],[HISTÓRICO]]&amp;"|"))</f>
        <v>#VALUE!</v>
      </c>
    </row>
    <row r="340" spans="10:17" x14ac:dyDescent="0.25">
      <c r="J340" s="11"/>
      <c r="L340" t="str">
        <f>IF(A340="IRPJ",IF(LEFT(B340,1)="1","|M305|",IF(LEFT(B340,1)="2","|M310|",IF(AND(LEFT(B340,1)="3",Tabela_BaseM[[#This Row],[CONTA PARTE B]]&lt;&gt;""),"|M305|",IF(LEFT(B340,1)="4","|M312|","")))),      IF(LEFT(B340,1)="1","|M355|",IF(LEFT(B340,1)="2","|M360|",IF(AND(LEFT(B340,1)="3",Tabela_BaseM[[#This Row],[CONTA PARTE B]]&lt;&gt;""),"|M355|",IF(LEFT(B340,1)="4","|M362|","")))))</f>
        <v/>
      </c>
      <c r="M340" t="str">
        <f>IF(LEFT(Tabela_BaseM[[#This Row],[TIPO RELACIONAMENTO]],1)="3",(IF(A340="IRPJ",IF(LEFT(B340,1)="1","|M305|",IF(LEFT(B340,1)="2","|M310|",IF(LEFT(B340,1)="3","|M310|",IF(LEFT(B340,1)="4","|M312|","")))),IF(LEFT(B340,1)="1","|M355|",IF(LEFT(B340,1)="2","|M360|",IF(LEFT(B340,1)="3","|M360|",IF(LEFT(B340,1)="4","|M362|","")))))),"")</f>
        <v/>
      </c>
      <c r="N34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0" t="e">
        <f>IF(A340="IRPJ",("|M300|"&amp;LEFT(C340,FIND("-",C340)-1)&amp;"|"&amp;RIGHT(C340,LEN(C340)-FIND("-",C340))&amp;"|"&amp;LEFT(D340,1)&amp;"|"&amp;LEFT(B340,1)&amp;"|"&amp;Tabela_BaseM[[#This Row],[Valor]]&amp;"|"&amp;Tabela_BaseM[[#This Row],[HISTÓRICO]]&amp;"|"),("|M350|"&amp;LEFT(C340,FIND("-",C340)-1)&amp;"|"&amp;RIGHT(C340,LEN(C340)-FIND("-",C340))&amp;"|"&amp;LEFT(D340,1)&amp;"|"&amp;LEFT(B340,1)&amp;"|"&amp;Tabela_BaseM[[#This Row],[Valor]]&amp;"|"&amp;Tabela_BaseM[[#This Row],[HISTÓRICO]]&amp;"|"))</f>
        <v>#VALUE!</v>
      </c>
    </row>
    <row r="341" spans="10:17" x14ac:dyDescent="0.25">
      <c r="J341" s="11"/>
      <c r="L341" t="str">
        <f>IF(A341="IRPJ",IF(LEFT(B341,1)="1","|M305|",IF(LEFT(B341,1)="2","|M310|",IF(AND(LEFT(B341,1)="3",Tabela_BaseM[[#This Row],[CONTA PARTE B]]&lt;&gt;""),"|M305|",IF(LEFT(B341,1)="4","|M312|","")))),      IF(LEFT(B341,1)="1","|M355|",IF(LEFT(B341,1)="2","|M360|",IF(AND(LEFT(B341,1)="3",Tabela_BaseM[[#This Row],[CONTA PARTE B]]&lt;&gt;""),"|M355|",IF(LEFT(B341,1)="4","|M362|","")))))</f>
        <v/>
      </c>
      <c r="M341" t="str">
        <f>IF(LEFT(Tabela_BaseM[[#This Row],[TIPO RELACIONAMENTO]],1)="3",(IF(A341="IRPJ",IF(LEFT(B341,1)="1","|M305|",IF(LEFT(B341,1)="2","|M310|",IF(LEFT(B341,1)="3","|M310|",IF(LEFT(B341,1)="4","|M312|","")))),IF(LEFT(B341,1)="1","|M355|",IF(LEFT(B341,1)="2","|M360|",IF(LEFT(B341,1)="3","|M360|",IF(LEFT(B341,1)="4","|M362|","")))))),"")</f>
        <v/>
      </c>
      <c r="N34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1" t="e">
        <f>IF(A341="IRPJ",("|M300|"&amp;LEFT(C341,FIND("-",C341)-1)&amp;"|"&amp;RIGHT(C341,LEN(C341)-FIND("-",C341))&amp;"|"&amp;LEFT(D341,1)&amp;"|"&amp;LEFT(B341,1)&amp;"|"&amp;Tabela_BaseM[[#This Row],[Valor]]&amp;"|"&amp;Tabela_BaseM[[#This Row],[HISTÓRICO]]&amp;"|"),("|M350|"&amp;LEFT(C341,FIND("-",C341)-1)&amp;"|"&amp;RIGHT(C341,LEN(C341)-FIND("-",C341))&amp;"|"&amp;LEFT(D341,1)&amp;"|"&amp;LEFT(B341,1)&amp;"|"&amp;Tabela_BaseM[[#This Row],[Valor]]&amp;"|"&amp;Tabela_BaseM[[#This Row],[HISTÓRICO]]&amp;"|"))</f>
        <v>#VALUE!</v>
      </c>
    </row>
    <row r="342" spans="10:17" x14ac:dyDescent="0.25">
      <c r="J342" s="11"/>
      <c r="L342" t="str">
        <f>IF(A342="IRPJ",IF(LEFT(B342,1)="1","|M305|",IF(LEFT(B342,1)="2","|M310|",IF(AND(LEFT(B342,1)="3",Tabela_BaseM[[#This Row],[CONTA PARTE B]]&lt;&gt;""),"|M305|",IF(LEFT(B342,1)="4","|M312|","")))),      IF(LEFT(B342,1)="1","|M355|",IF(LEFT(B342,1)="2","|M360|",IF(AND(LEFT(B342,1)="3",Tabela_BaseM[[#This Row],[CONTA PARTE B]]&lt;&gt;""),"|M355|",IF(LEFT(B342,1)="4","|M362|","")))))</f>
        <v/>
      </c>
      <c r="M342" t="str">
        <f>IF(LEFT(Tabela_BaseM[[#This Row],[TIPO RELACIONAMENTO]],1)="3",(IF(A342="IRPJ",IF(LEFT(B342,1)="1","|M305|",IF(LEFT(B342,1)="2","|M310|",IF(LEFT(B342,1)="3","|M310|",IF(LEFT(B342,1)="4","|M312|","")))),IF(LEFT(B342,1)="1","|M355|",IF(LEFT(B342,1)="2","|M360|",IF(LEFT(B342,1)="3","|M360|",IF(LEFT(B342,1)="4","|M362|","")))))),"")</f>
        <v/>
      </c>
      <c r="N34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2" t="e">
        <f>IF(A342="IRPJ",("|M300|"&amp;LEFT(C342,FIND("-",C342)-1)&amp;"|"&amp;RIGHT(C342,LEN(C342)-FIND("-",C342))&amp;"|"&amp;LEFT(D342,1)&amp;"|"&amp;LEFT(B342,1)&amp;"|"&amp;Tabela_BaseM[[#This Row],[Valor]]&amp;"|"&amp;Tabela_BaseM[[#This Row],[HISTÓRICO]]&amp;"|"),("|M350|"&amp;LEFT(C342,FIND("-",C342)-1)&amp;"|"&amp;RIGHT(C342,LEN(C342)-FIND("-",C342))&amp;"|"&amp;LEFT(D342,1)&amp;"|"&amp;LEFT(B342,1)&amp;"|"&amp;Tabela_BaseM[[#This Row],[Valor]]&amp;"|"&amp;Tabela_BaseM[[#This Row],[HISTÓRICO]]&amp;"|"))</f>
        <v>#VALUE!</v>
      </c>
    </row>
    <row r="343" spans="10:17" x14ac:dyDescent="0.25">
      <c r="J343" s="11"/>
      <c r="L343" t="str">
        <f>IF(A343="IRPJ",IF(LEFT(B343,1)="1","|M305|",IF(LEFT(B343,1)="2","|M310|",IF(AND(LEFT(B343,1)="3",Tabela_BaseM[[#This Row],[CONTA PARTE B]]&lt;&gt;""),"|M305|",IF(LEFT(B343,1)="4","|M312|","")))),      IF(LEFT(B343,1)="1","|M355|",IF(LEFT(B343,1)="2","|M360|",IF(AND(LEFT(B343,1)="3",Tabela_BaseM[[#This Row],[CONTA PARTE B]]&lt;&gt;""),"|M355|",IF(LEFT(B343,1)="4","|M362|","")))))</f>
        <v/>
      </c>
      <c r="M343" t="str">
        <f>IF(LEFT(Tabela_BaseM[[#This Row],[TIPO RELACIONAMENTO]],1)="3",(IF(A343="IRPJ",IF(LEFT(B343,1)="1","|M305|",IF(LEFT(B343,1)="2","|M310|",IF(LEFT(B343,1)="3","|M310|",IF(LEFT(B343,1)="4","|M312|","")))),IF(LEFT(B343,1)="1","|M355|",IF(LEFT(B343,1)="2","|M360|",IF(LEFT(B343,1)="3","|M360|",IF(LEFT(B343,1)="4","|M362|","")))))),"")</f>
        <v/>
      </c>
      <c r="N34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3" t="e">
        <f>IF(A343="IRPJ",("|M300|"&amp;LEFT(C343,FIND("-",C343)-1)&amp;"|"&amp;RIGHT(C343,LEN(C343)-FIND("-",C343))&amp;"|"&amp;LEFT(D343,1)&amp;"|"&amp;LEFT(B343,1)&amp;"|"&amp;Tabela_BaseM[[#This Row],[Valor]]&amp;"|"&amp;Tabela_BaseM[[#This Row],[HISTÓRICO]]&amp;"|"),("|M350|"&amp;LEFT(C343,FIND("-",C343)-1)&amp;"|"&amp;RIGHT(C343,LEN(C343)-FIND("-",C343))&amp;"|"&amp;LEFT(D343,1)&amp;"|"&amp;LEFT(B343,1)&amp;"|"&amp;Tabela_BaseM[[#This Row],[Valor]]&amp;"|"&amp;Tabela_BaseM[[#This Row],[HISTÓRICO]]&amp;"|"))</f>
        <v>#VALUE!</v>
      </c>
    </row>
    <row r="344" spans="10:17" x14ac:dyDescent="0.25">
      <c r="J344" s="11"/>
      <c r="L344" t="str">
        <f>IF(A344="IRPJ",IF(LEFT(B344,1)="1","|M305|",IF(LEFT(B344,1)="2","|M310|",IF(AND(LEFT(B344,1)="3",Tabela_BaseM[[#This Row],[CONTA PARTE B]]&lt;&gt;""),"|M305|",IF(LEFT(B344,1)="4","|M312|","")))),      IF(LEFT(B344,1)="1","|M355|",IF(LEFT(B344,1)="2","|M360|",IF(AND(LEFT(B344,1)="3",Tabela_BaseM[[#This Row],[CONTA PARTE B]]&lt;&gt;""),"|M355|",IF(LEFT(B344,1)="4","|M362|","")))))</f>
        <v/>
      </c>
      <c r="M344" t="str">
        <f>IF(LEFT(Tabela_BaseM[[#This Row],[TIPO RELACIONAMENTO]],1)="3",(IF(A344="IRPJ",IF(LEFT(B344,1)="1","|M305|",IF(LEFT(B344,1)="2","|M310|",IF(LEFT(B344,1)="3","|M310|",IF(LEFT(B344,1)="4","|M312|","")))),IF(LEFT(B344,1)="1","|M355|",IF(LEFT(B344,1)="2","|M360|",IF(LEFT(B344,1)="3","|M360|",IF(LEFT(B344,1)="4","|M362|","")))))),"")</f>
        <v/>
      </c>
      <c r="N34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4" t="e">
        <f>IF(A344="IRPJ",("|M300|"&amp;LEFT(C344,FIND("-",C344)-1)&amp;"|"&amp;RIGHT(C344,LEN(C344)-FIND("-",C344))&amp;"|"&amp;LEFT(D344,1)&amp;"|"&amp;LEFT(B344,1)&amp;"|"&amp;Tabela_BaseM[[#This Row],[Valor]]&amp;"|"&amp;Tabela_BaseM[[#This Row],[HISTÓRICO]]&amp;"|"),("|M350|"&amp;LEFT(C344,FIND("-",C344)-1)&amp;"|"&amp;RIGHT(C344,LEN(C344)-FIND("-",C344))&amp;"|"&amp;LEFT(D344,1)&amp;"|"&amp;LEFT(B344,1)&amp;"|"&amp;Tabela_BaseM[[#This Row],[Valor]]&amp;"|"&amp;Tabela_BaseM[[#This Row],[HISTÓRICO]]&amp;"|"))</f>
        <v>#VALUE!</v>
      </c>
    </row>
    <row r="345" spans="10:17" x14ac:dyDescent="0.25">
      <c r="J345" s="11"/>
      <c r="L345" t="str">
        <f>IF(A345="IRPJ",IF(LEFT(B345,1)="1","|M305|",IF(LEFT(B345,1)="2","|M310|",IF(AND(LEFT(B345,1)="3",Tabela_BaseM[[#This Row],[CONTA PARTE B]]&lt;&gt;""),"|M305|",IF(LEFT(B345,1)="4","|M312|","")))),      IF(LEFT(B345,1)="1","|M355|",IF(LEFT(B345,1)="2","|M360|",IF(AND(LEFT(B345,1)="3",Tabela_BaseM[[#This Row],[CONTA PARTE B]]&lt;&gt;""),"|M355|",IF(LEFT(B345,1)="4","|M362|","")))))</f>
        <v/>
      </c>
      <c r="M345" t="str">
        <f>IF(LEFT(Tabela_BaseM[[#This Row],[TIPO RELACIONAMENTO]],1)="3",(IF(A345="IRPJ",IF(LEFT(B345,1)="1","|M305|",IF(LEFT(B345,1)="2","|M310|",IF(LEFT(B345,1)="3","|M310|",IF(LEFT(B345,1)="4","|M312|","")))),IF(LEFT(B345,1)="1","|M355|",IF(LEFT(B345,1)="2","|M360|",IF(LEFT(B345,1)="3","|M360|",IF(LEFT(B345,1)="4","|M362|","")))))),"")</f>
        <v/>
      </c>
      <c r="N34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5" t="e">
        <f>IF(A345="IRPJ",("|M300|"&amp;LEFT(C345,FIND("-",C345)-1)&amp;"|"&amp;RIGHT(C345,LEN(C345)-FIND("-",C345))&amp;"|"&amp;LEFT(D345,1)&amp;"|"&amp;LEFT(B345,1)&amp;"|"&amp;Tabela_BaseM[[#This Row],[Valor]]&amp;"|"&amp;Tabela_BaseM[[#This Row],[HISTÓRICO]]&amp;"|"),("|M350|"&amp;LEFT(C345,FIND("-",C345)-1)&amp;"|"&amp;RIGHT(C345,LEN(C345)-FIND("-",C345))&amp;"|"&amp;LEFT(D345,1)&amp;"|"&amp;LEFT(B345,1)&amp;"|"&amp;Tabela_BaseM[[#This Row],[Valor]]&amp;"|"&amp;Tabela_BaseM[[#This Row],[HISTÓRICO]]&amp;"|"))</f>
        <v>#VALUE!</v>
      </c>
    </row>
    <row r="346" spans="10:17" x14ac:dyDescent="0.25">
      <c r="J346" s="11"/>
      <c r="L346" t="str">
        <f>IF(A346="IRPJ",IF(LEFT(B346,1)="1","|M305|",IF(LEFT(B346,1)="2","|M310|",IF(AND(LEFT(B346,1)="3",Tabela_BaseM[[#This Row],[CONTA PARTE B]]&lt;&gt;""),"|M305|",IF(LEFT(B346,1)="4","|M312|","")))),      IF(LEFT(B346,1)="1","|M355|",IF(LEFT(B346,1)="2","|M360|",IF(AND(LEFT(B346,1)="3",Tabela_BaseM[[#This Row],[CONTA PARTE B]]&lt;&gt;""),"|M355|",IF(LEFT(B346,1)="4","|M362|","")))))</f>
        <v/>
      </c>
      <c r="M346" t="str">
        <f>IF(LEFT(Tabela_BaseM[[#This Row],[TIPO RELACIONAMENTO]],1)="3",(IF(A346="IRPJ",IF(LEFT(B346,1)="1","|M305|",IF(LEFT(B346,1)="2","|M310|",IF(LEFT(B346,1)="3","|M310|",IF(LEFT(B346,1)="4","|M312|","")))),IF(LEFT(B346,1)="1","|M355|",IF(LEFT(B346,1)="2","|M360|",IF(LEFT(B346,1)="3","|M360|",IF(LEFT(B346,1)="4","|M362|","")))))),"")</f>
        <v/>
      </c>
      <c r="N34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6" t="e">
        <f>IF(A346="IRPJ",("|M300|"&amp;LEFT(C346,FIND("-",C346)-1)&amp;"|"&amp;RIGHT(C346,LEN(C346)-FIND("-",C346))&amp;"|"&amp;LEFT(D346,1)&amp;"|"&amp;LEFT(B346,1)&amp;"|"&amp;Tabela_BaseM[[#This Row],[Valor]]&amp;"|"&amp;Tabela_BaseM[[#This Row],[HISTÓRICO]]&amp;"|"),("|M350|"&amp;LEFT(C346,FIND("-",C346)-1)&amp;"|"&amp;RIGHT(C346,LEN(C346)-FIND("-",C346))&amp;"|"&amp;LEFT(D346,1)&amp;"|"&amp;LEFT(B346,1)&amp;"|"&amp;Tabela_BaseM[[#This Row],[Valor]]&amp;"|"&amp;Tabela_BaseM[[#This Row],[HISTÓRICO]]&amp;"|"))</f>
        <v>#VALUE!</v>
      </c>
    </row>
    <row r="347" spans="10:17" x14ac:dyDescent="0.25">
      <c r="J347" s="11"/>
      <c r="L347" t="str">
        <f>IF(A347="IRPJ",IF(LEFT(B347,1)="1","|M305|",IF(LEFT(B347,1)="2","|M310|",IF(AND(LEFT(B347,1)="3",Tabela_BaseM[[#This Row],[CONTA PARTE B]]&lt;&gt;""),"|M305|",IF(LEFT(B347,1)="4","|M312|","")))),      IF(LEFT(B347,1)="1","|M355|",IF(LEFT(B347,1)="2","|M360|",IF(AND(LEFT(B347,1)="3",Tabela_BaseM[[#This Row],[CONTA PARTE B]]&lt;&gt;""),"|M355|",IF(LEFT(B347,1)="4","|M362|","")))))</f>
        <v/>
      </c>
      <c r="M347" t="str">
        <f>IF(LEFT(Tabela_BaseM[[#This Row],[TIPO RELACIONAMENTO]],1)="3",(IF(A347="IRPJ",IF(LEFT(B347,1)="1","|M305|",IF(LEFT(B347,1)="2","|M310|",IF(LEFT(B347,1)="3","|M310|",IF(LEFT(B347,1)="4","|M312|","")))),IF(LEFT(B347,1)="1","|M355|",IF(LEFT(B347,1)="2","|M360|",IF(LEFT(B347,1)="3","|M360|",IF(LEFT(B347,1)="4","|M362|","")))))),"")</f>
        <v/>
      </c>
      <c r="N34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7" t="e">
        <f>IF(A347="IRPJ",("|M300|"&amp;LEFT(C347,FIND("-",C347)-1)&amp;"|"&amp;RIGHT(C347,LEN(C347)-FIND("-",C347))&amp;"|"&amp;LEFT(D347,1)&amp;"|"&amp;LEFT(B347,1)&amp;"|"&amp;Tabela_BaseM[[#This Row],[Valor]]&amp;"|"&amp;Tabela_BaseM[[#This Row],[HISTÓRICO]]&amp;"|"),("|M350|"&amp;LEFT(C347,FIND("-",C347)-1)&amp;"|"&amp;RIGHT(C347,LEN(C347)-FIND("-",C347))&amp;"|"&amp;LEFT(D347,1)&amp;"|"&amp;LEFT(B347,1)&amp;"|"&amp;Tabela_BaseM[[#This Row],[Valor]]&amp;"|"&amp;Tabela_BaseM[[#This Row],[HISTÓRICO]]&amp;"|"))</f>
        <v>#VALUE!</v>
      </c>
    </row>
    <row r="348" spans="10:17" x14ac:dyDescent="0.25">
      <c r="J348" s="11"/>
      <c r="L348" t="str">
        <f>IF(A348="IRPJ",IF(LEFT(B348,1)="1","|M305|",IF(LEFT(B348,1)="2","|M310|",IF(AND(LEFT(B348,1)="3",Tabela_BaseM[[#This Row],[CONTA PARTE B]]&lt;&gt;""),"|M305|",IF(LEFT(B348,1)="4","|M312|","")))),      IF(LEFT(B348,1)="1","|M355|",IF(LEFT(B348,1)="2","|M360|",IF(AND(LEFT(B348,1)="3",Tabela_BaseM[[#This Row],[CONTA PARTE B]]&lt;&gt;""),"|M355|",IF(LEFT(B348,1)="4","|M362|","")))))</f>
        <v/>
      </c>
      <c r="M348" t="str">
        <f>IF(LEFT(Tabela_BaseM[[#This Row],[TIPO RELACIONAMENTO]],1)="3",(IF(A348="IRPJ",IF(LEFT(B348,1)="1","|M305|",IF(LEFT(B348,1)="2","|M310|",IF(LEFT(B348,1)="3","|M310|",IF(LEFT(B348,1)="4","|M312|","")))),IF(LEFT(B348,1)="1","|M355|",IF(LEFT(B348,1)="2","|M360|",IF(LEFT(B348,1)="3","|M360|",IF(LEFT(B348,1)="4","|M362|","")))))),"")</f>
        <v/>
      </c>
      <c r="N34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8" t="e">
        <f>IF(A348="IRPJ",("|M300|"&amp;LEFT(C348,FIND("-",C348)-1)&amp;"|"&amp;RIGHT(C348,LEN(C348)-FIND("-",C348))&amp;"|"&amp;LEFT(D348,1)&amp;"|"&amp;LEFT(B348,1)&amp;"|"&amp;Tabela_BaseM[[#This Row],[Valor]]&amp;"|"&amp;Tabela_BaseM[[#This Row],[HISTÓRICO]]&amp;"|"),("|M350|"&amp;LEFT(C348,FIND("-",C348)-1)&amp;"|"&amp;RIGHT(C348,LEN(C348)-FIND("-",C348))&amp;"|"&amp;LEFT(D348,1)&amp;"|"&amp;LEFT(B348,1)&amp;"|"&amp;Tabela_BaseM[[#This Row],[Valor]]&amp;"|"&amp;Tabela_BaseM[[#This Row],[HISTÓRICO]]&amp;"|"))</f>
        <v>#VALUE!</v>
      </c>
    </row>
    <row r="349" spans="10:17" x14ac:dyDescent="0.25">
      <c r="J349" s="11"/>
      <c r="L349" t="str">
        <f>IF(A349="IRPJ",IF(LEFT(B349,1)="1","|M305|",IF(LEFT(B349,1)="2","|M310|",IF(AND(LEFT(B349,1)="3",Tabela_BaseM[[#This Row],[CONTA PARTE B]]&lt;&gt;""),"|M305|",IF(LEFT(B349,1)="4","|M312|","")))),      IF(LEFT(B349,1)="1","|M355|",IF(LEFT(B349,1)="2","|M360|",IF(AND(LEFT(B349,1)="3",Tabela_BaseM[[#This Row],[CONTA PARTE B]]&lt;&gt;""),"|M355|",IF(LEFT(B349,1)="4","|M362|","")))))</f>
        <v/>
      </c>
      <c r="M349" t="str">
        <f>IF(LEFT(Tabela_BaseM[[#This Row],[TIPO RELACIONAMENTO]],1)="3",(IF(A349="IRPJ",IF(LEFT(B349,1)="1","|M305|",IF(LEFT(B349,1)="2","|M310|",IF(LEFT(B349,1)="3","|M310|",IF(LEFT(B349,1)="4","|M312|","")))),IF(LEFT(B349,1)="1","|M355|",IF(LEFT(B349,1)="2","|M360|",IF(LEFT(B349,1)="3","|M360|",IF(LEFT(B349,1)="4","|M362|","")))))),"")</f>
        <v/>
      </c>
      <c r="N34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4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4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49" t="e">
        <f>IF(A349="IRPJ",("|M300|"&amp;LEFT(C349,FIND("-",C349)-1)&amp;"|"&amp;RIGHT(C349,LEN(C349)-FIND("-",C349))&amp;"|"&amp;LEFT(D349,1)&amp;"|"&amp;LEFT(B349,1)&amp;"|"&amp;Tabela_BaseM[[#This Row],[Valor]]&amp;"|"&amp;Tabela_BaseM[[#This Row],[HISTÓRICO]]&amp;"|"),("|M350|"&amp;LEFT(C349,FIND("-",C349)-1)&amp;"|"&amp;RIGHT(C349,LEN(C349)-FIND("-",C349))&amp;"|"&amp;LEFT(D349,1)&amp;"|"&amp;LEFT(B349,1)&amp;"|"&amp;Tabela_BaseM[[#This Row],[Valor]]&amp;"|"&amp;Tabela_BaseM[[#This Row],[HISTÓRICO]]&amp;"|"))</f>
        <v>#VALUE!</v>
      </c>
    </row>
    <row r="350" spans="10:17" x14ac:dyDescent="0.25">
      <c r="J350" s="11"/>
      <c r="L350" t="str">
        <f>IF(A350="IRPJ",IF(LEFT(B350,1)="1","|M305|",IF(LEFT(B350,1)="2","|M310|",IF(AND(LEFT(B350,1)="3",Tabela_BaseM[[#This Row],[CONTA PARTE B]]&lt;&gt;""),"|M305|",IF(LEFT(B350,1)="4","|M312|","")))),      IF(LEFT(B350,1)="1","|M355|",IF(LEFT(B350,1)="2","|M360|",IF(AND(LEFT(B350,1)="3",Tabela_BaseM[[#This Row],[CONTA PARTE B]]&lt;&gt;""),"|M355|",IF(LEFT(B350,1)="4","|M362|","")))))</f>
        <v/>
      </c>
      <c r="M350" t="str">
        <f>IF(LEFT(Tabela_BaseM[[#This Row],[TIPO RELACIONAMENTO]],1)="3",(IF(A350="IRPJ",IF(LEFT(B350,1)="1","|M305|",IF(LEFT(B350,1)="2","|M310|",IF(LEFT(B350,1)="3","|M310|",IF(LEFT(B350,1)="4","|M312|","")))),IF(LEFT(B350,1)="1","|M355|",IF(LEFT(B350,1)="2","|M360|",IF(LEFT(B350,1)="3","|M360|",IF(LEFT(B350,1)="4","|M362|","")))))),"")</f>
        <v/>
      </c>
      <c r="N35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0" t="e">
        <f>IF(A350="IRPJ",("|M300|"&amp;LEFT(C350,FIND("-",C350)-1)&amp;"|"&amp;RIGHT(C350,LEN(C350)-FIND("-",C350))&amp;"|"&amp;LEFT(D350,1)&amp;"|"&amp;LEFT(B350,1)&amp;"|"&amp;Tabela_BaseM[[#This Row],[Valor]]&amp;"|"&amp;Tabela_BaseM[[#This Row],[HISTÓRICO]]&amp;"|"),("|M350|"&amp;LEFT(C350,FIND("-",C350)-1)&amp;"|"&amp;RIGHT(C350,LEN(C350)-FIND("-",C350))&amp;"|"&amp;LEFT(D350,1)&amp;"|"&amp;LEFT(B350,1)&amp;"|"&amp;Tabela_BaseM[[#This Row],[Valor]]&amp;"|"&amp;Tabela_BaseM[[#This Row],[HISTÓRICO]]&amp;"|"))</f>
        <v>#VALUE!</v>
      </c>
    </row>
    <row r="351" spans="10:17" x14ac:dyDescent="0.25">
      <c r="J351" s="11"/>
      <c r="L351" t="str">
        <f>IF(A351="IRPJ",IF(LEFT(B351,1)="1","|M305|",IF(LEFT(B351,1)="2","|M310|",IF(AND(LEFT(B351,1)="3",Tabela_BaseM[[#This Row],[CONTA PARTE B]]&lt;&gt;""),"|M305|",IF(LEFT(B351,1)="4","|M312|","")))),      IF(LEFT(B351,1)="1","|M355|",IF(LEFT(B351,1)="2","|M360|",IF(AND(LEFT(B351,1)="3",Tabela_BaseM[[#This Row],[CONTA PARTE B]]&lt;&gt;""),"|M355|",IF(LEFT(B351,1)="4","|M362|","")))))</f>
        <v/>
      </c>
      <c r="M351" t="str">
        <f>IF(LEFT(Tabela_BaseM[[#This Row],[TIPO RELACIONAMENTO]],1)="3",(IF(A351="IRPJ",IF(LEFT(B351,1)="1","|M305|",IF(LEFT(B351,1)="2","|M310|",IF(LEFT(B351,1)="3","|M310|",IF(LEFT(B351,1)="4","|M312|","")))),IF(LEFT(B351,1)="1","|M355|",IF(LEFT(B351,1)="2","|M360|",IF(LEFT(B351,1)="3","|M360|",IF(LEFT(B351,1)="4","|M362|","")))))),"")</f>
        <v/>
      </c>
      <c r="N35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1" t="e">
        <f>IF(A351="IRPJ",("|M300|"&amp;LEFT(C351,FIND("-",C351)-1)&amp;"|"&amp;RIGHT(C351,LEN(C351)-FIND("-",C351))&amp;"|"&amp;LEFT(D351,1)&amp;"|"&amp;LEFT(B351,1)&amp;"|"&amp;Tabela_BaseM[[#This Row],[Valor]]&amp;"|"&amp;Tabela_BaseM[[#This Row],[HISTÓRICO]]&amp;"|"),("|M350|"&amp;LEFT(C351,FIND("-",C351)-1)&amp;"|"&amp;RIGHT(C351,LEN(C351)-FIND("-",C351))&amp;"|"&amp;LEFT(D351,1)&amp;"|"&amp;LEFT(B351,1)&amp;"|"&amp;Tabela_BaseM[[#This Row],[Valor]]&amp;"|"&amp;Tabela_BaseM[[#This Row],[HISTÓRICO]]&amp;"|"))</f>
        <v>#VALUE!</v>
      </c>
    </row>
    <row r="352" spans="10:17" x14ac:dyDescent="0.25">
      <c r="J352" s="11"/>
      <c r="L352" t="str">
        <f>IF(A352="IRPJ",IF(LEFT(B352,1)="1","|M305|",IF(LEFT(B352,1)="2","|M310|",IF(AND(LEFT(B352,1)="3",Tabela_BaseM[[#This Row],[CONTA PARTE B]]&lt;&gt;""),"|M305|",IF(LEFT(B352,1)="4","|M312|","")))),      IF(LEFT(B352,1)="1","|M355|",IF(LEFT(B352,1)="2","|M360|",IF(AND(LEFT(B352,1)="3",Tabela_BaseM[[#This Row],[CONTA PARTE B]]&lt;&gt;""),"|M355|",IF(LEFT(B352,1)="4","|M362|","")))))</f>
        <v/>
      </c>
      <c r="M352" t="str">
        <f>IF(LEFT(Tabela_BaseM[[#This Row],[TIPO RELACIONAMENTO]],1)="3",(IF(A352="IRPJ",IF(LEFT(B352,1)="1","|M305|",IF(LEFT(B352,1)="2","|M310|",IF(LEFT(B352,1)="3","|M310|",IF(LEFT(B352,1)="4","|M312|","")))),IF(LEFT(B352,1)="1","|M355|",IF(LEFT(B352,1)="2","|M360|",IF(LEFT(B352,1)="3","|M360|",IF(LEFT(B352,1)="4","|M362|","")))))),"")</f>
        <v/>
      </c>
      <c r="N35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2" t="e">
        <f>IF(A352="IRPJ",("|M300|"&amp;LEFT(C352,FIND("-",C352)-1)&amp;"|"&amp;RIGHT(C352,LEN(C352)-FIND("-",C352))&amp;"|"&amp;LEFT(D352,1)&amp;"|"&amp;LEFT(B352,1)&amp;"|"&amp;Tabela_BaseM[[#This Row],[Valor]]&amp;"|"&amp;Tabela_BaseM[[#This Row],[HISTÓRICO]]&amp;"|"),("|M350|"&amp;LEFT(C352,FIND("-",C352)-1)&amp;"|"&amp;RIGHT(C352,LEN(C352)-FIND("-",C352))&amp;"|"&amp;LEFT(D352,1)&amp;"|"&amp;LEFT(B352,1)&amp;"|"&amp;Tabela_BaseM[[#This Row],[Valor]]&amp;"|"&amp;Tabela_BaseM[[#This Row],[HISTÓRICO]]&amp;"|"))</f>
        <v>#VALUE!</v>
      </c>
    </row>
    <row r="353" spans="10:17" x14ac:dyDescent="0.25">
      <c r="J353" s="11"/>
      <c r="L353" t="str">
        <f>IF(A353="IRPJ",IF(LEFT(B353,1)="1","|M305|",IF(LEFT(B353,1)="2","|M310|",IF(AND(LEFT(B353,1)="3",Tabela_BaseM[[#This Row],[CONTA PARTE B]]&lt;&gt;""),"|M305|",IF(LEFT(B353,1)="4","|M312|","")))),      IF(LEFT(B353,1)="1","|M355|",IF(LEFT(B353,1)="2","|M360|",IF(AND(LEFT(B353,1)="3",Tabela_BaseM[[#This Row],[CONTA PARTE B]]&lt;&gt;""),"|M355|",IF(LEFT(B353,1)="4","|M362|","")))))</f>
        <v/>
      </c>
      <c r="M353" t="str">
        <f>IF(LEFT(Tabela_BaseM[[#This Row],[TIPO RELACIONAMENTO]],1)="3",(IF(A353="IRPJ",IF(LEFT(B353,1)="1","|M305|",IF(LEFT(B353,1)="2","|M310|",IF(LEFT(B353,1)="3","|M310|",IF(LEFT(B353,1)="4","|M312|","")))),IF(LEFT(B353,1)="1","|M355|",IF(LEFT(B353,1)="2","|M360|",IF(LEFT(B353,1)="3","|M360|",IF(LEFT(B353,1)="4","|M362|","")))))),"")</f>
        <v/>
      </c>
      <c r="N35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3" t="e">
        <f>IF(A353="IRPJ",("|M300|"&amp;LEFT(C353,FIND("-",C353)-1)&amp;"|"&amp;RIGHT(C353,LEN(C353)-FIND("-",C353))&amp;"|"&amp;LEFT(D353,1)&amp;"|"&amp;LEFT(B353,1)&amp;"|"&amp;Tabela_BaseM[[#This Row],[Valor]]&amp;"|"&amp;Tabela_BaseM[[#This Row],[HISTÓRICO]]&amp;"|"),("|M350|"&amp;LEFT(C353,FIND("-",C353)-1)&amp;"|"&amp;RIGHT(C353,LEN(C353)-FIND("-",C353))&amp;"|"&amp;LEFT(D353,1)&amp;"|"&amp;LEFT(B353,1)&amp;"|"&amp;Tabela_BaseM[[#This Row],[Valor]]&amp;"|"&amp;Tabela_BaseM[[#This Row],[HISTÓRICO]]&amp;"|"))</f>
        <v>#VALUE!</v>
      </c>
    </row>
    <row r="354" spans="10:17" x14ac:dyDescent="0.25">
      <c r="J354" s="11"/>
      <c r="L354" t="str">
        <f>IF(A354="IRPJ",IF(LEFT(B354,1)="1","|M305|",IF(LEFT(B354,1)="2","|M310|",IF(AND(LEFT(B354,1)="3",Tabela_BaseM[[#This Row],[CONTA PARTE B]]&lt;&gt;""),"|M305|",IF(LEFT(B354,1)="4","|M312|","")))),      IF(LEFT(B354,1)="1","|M355|",IF(LEFT(B354,1)="2","|M360|",IF(AND(LEFT(B354,1)="3",Tabela_BaseM[[#This Row],[CONTA PARTE B]]&lt;&gt;""),"|M355|",IF(LEFT(B354,1)="4","|M362|","")))))</f>
        <v/>
      </c>
      <c r="M354" t="str">
        <f>IF(LEFT(Tabela_BaseM[[#This Row],[TIPO RELACIONAMENTO]],1)="3",(IF(A354="IRPJ",IF(LEFT(B354,1)="1","|M305|",IF(LEFT(B354,1)="2","|M310|",IF(LEFT(B354,1)="3","|M310|",IF(LEFT(B354,1)="4","|M312|","")))),IF(LEFT(B354,1)="1","|M355|",IF(LEFT(B354,1)="2","|M360|",IF(LEFT(B354,1)="3","|M360|",IF(LEFT(B354,1)="4","|M362|","")))))),"")</f>
        <v/>
      </c>
      <c r="N35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4" t="e">
        <f>IF(A354="IRPJ",("|M300|"&amp;LEFT(C354,FIND("-",C354)-1)&amp;"|"&amp;RIGHT(C354,LEN(C354)-FIND("-",C354))&amp;"|"&amp;LEFT(D354,1)&amp;"|"&amp;LEFT(B354,1)&amp;"|"&amp;Tabela_BaseM[[#This Row],[Valor]]&amp;"|"&amp;Tabela_BaseM[[#This Row],[HISTÓRICO]]&amp;"|"),("|M350|"&amp;LEFT(C354,FIND("-",C354)-1)&amp;"|"&amp;RIGHT(C354,LEN(C354)-FIND("-",C354))&amp;"|"&amp;LEFT(D354,1)&amp;"|"&amp;LEFT(B354,1)&amp;"|"&amp;Tabela_BaseM[[#This Row],[Valor]]&amp;"|"&amp;Tabela_BaseM[[#This Row],[HISTÓRICO]]&amp;"|"))</f>
        <v>#VALUE!</v>
      </c>
    </row>
    <row r="355" spans="10:17" x14ac:dyDescent="0.25">
      <c r="J355" s="11"/>
      <c r="L355" t="str">
        <f>IF(A355="IRPJ",IF(LEFT(B355,1)="1","|M305|",IF(LEFT(B355,1)="2","|M310|",IF(AND(LEFT(B355,1)="3",Tabela_BaseM[[#This Row],[CONTA PARTE B]]&lt;&gt;""),"|M305|",IF(LEFT(B355,1)="4","|M312|","")))),      IF(LEFT(B355,1)="1","|M355|",IF(LEFT(B355,1)="2","|M360|",IF(AND(LEFT(B355,1)="3",Tabela_BaseM[[#This Row],[CONTA PARTE B]]&lt;&gt;""),"|M355|",IF(LEFT(B355,1)="4","|M362|","")))))</f>
        <v/>
      </c>
      <c r="M355" t="str">
        <f>IF(LEFT(Tabela_BaseM[[#This Row],[TIPO RELACIONAMENTO]],1)="3",(IF(A355="IRPJ",IF(LEFT(B355,1)="1","|M305|",IF(LEFT(B355,1)="2","|M310|",IF(LEFT(B355,1)="3","|M310|",IF(LEFT(B355,1)="4","|M312|","")))),IF(LEFT(B355,1)="1","|M355|",IF(LEFT(B355,1)="2","|M360|",IF(LEFT(B355,1)="3","|M360|",IF(LEFT(B355,1)="4","|M362|","")))))),"")</f>
        <v/>
      </c>
      <c r="N35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5" t="e">
        <f>IF(A355="IRPJ",("|M300|"&amp;LEFT(C355,FIND("-",C355)-1)&amp;"|"&amp;RIGHT(C355,LEN(C355)-FIND("-",C355))&amp;"|"&amp;LEFT(D355,1)&amp;"|"&amp;LEFT(B355,1)&amp;"|"&amp;Tabela_BaseM[[#This Row],[Valor]]&amp;"|"&amp;Tabela_BaseM[[#This Row],[HISTÓRICO]]&amp;"|"),("|M350|"&amp;LEFT(C355,FIND("-",C355)-1)&amp;"|"&amp;RIGHT(C355,LEN(C355)-FIND("-",C355))&amp;"|"&amp;LEFT(D355,1)&amp;"|"&amp;LEFT(B355,1)&amp;"|"&amp;Tabela_BaseM[[#This Row],[Valor]]&amp;"|"&amp;Tabela_BaseM[[#This Row],[HISTÓRICO]]&amp;"|"))</f>
        <v>#VALUE!</v>
      </c>
    </row>
    <row r="356" spans="10:17" x14ac:dyDescent="0.25">
      <c r="J356" s="11"/>
      <c r="L356" t="str">
        <f>IF(A356="IRPJ",IF(LEFT(B356,1)="1","|M305|",IF(LEFT(B356,1)="2","|M310|",IF(AND(LEFT(B356,1)="3",Tabela_BaseM[[#This Row],[CONTA PARTE B]]&lt;&gt;""),"|M305|",IF(LEFT(B356,1)="4","|M312|","")))),      IF(LEFT(B356,1)="1","|M355|",IF(LEFT(B356,1)="2","|M360|",IF(AND(LEFT(B356,1)="3",Tabela_BaseM[[#This Row],[CONTA PARTE B]]&lt;&gt;""),"|M355|",IF(LEFT(B356,1)="4","|M362|","")))))</f>
        <v/>
      </c>
      <c r="M356" t="str">
        <f>IF(LEFT(Tabela_BaseM[[#This Row],[TIPO RELACIONAMENTO]],1)="3",(IF(A356="IRPJ",IF(LEFT(B356,1)="1","|M305|",IF(LEFT(B356,1)="2","|M310|",IF(LEFT(B356,1)="3","|M310|",IF(LEFT(B356,1)="4","|M312|","")))),IF(LEFT(B356,1)="1","|M355|",IF(LEFT(B356,1)="2","|M360|",IF(LEFT(B356,1)="3","|M360|",IF(LEFT(B356,1)="4","|M362|","")))))),"")</f>
        <v/>
      </c>
      <c r="N35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6" t="e">
        <f>IF(A356="IRPJ",("|M300|"&amp;LEFT(C356,FIND("-",C356)-1)&amp;"|"&amp;RIGHT(C356,LEN(C356)-FIND("-",C356))&amp;"|"&amp;LEFT(D356,1)&amp;"|"&amp;LEFT(B356,1)&amp;"|"&amp;Tabela_BaseM[[#This Row],[Valor]]&amp;"|"&amp;Tabela_BaseM[[#This Row],[HISTÓRICO]]&amp;"|"),("|M350|"&amp;LEFT(C356,FIND("-",C356)-1)&amp;"|"&amp;RIGHT(C356,LEN(C356)-FIND("-",C356))&amp;"|"&amp;LEFT(D356,1)&amp;"|"&amp;LEFT(B356,1)&amp;"|"&amp;Tabela_BaseM[[#This Row],[Valor]]&amp;"|"&amp;Tabela_BaseM[[#This Row],[HISTÓRICO]]&amp;"|"))</f>
        <v>#VALUE!</v>
      </c>
    </row>
    <row r="357" spans="10:17" x14ac:dyDescent="0.25">
      <c r="J357" s="11"/>
      <c r="L357" t="str">
        <f>IF(A357="IRPJ",IF(LEFT(B357,1)="1","|M305|",IF(LEFT(B357,1)="2","|M310|",IF(AND(LEFT(B357,1)="3",Tabela_BaseM[[#This Row],[CONTA PARTE B]]&lt;&gt;""),"|M305|",IF(LEFT(B357,1)="4","|M312|","")))),      IF(LEFT(B357,1)="1","|M355|",IF(LEFT(B357,1)="2","|M360|",IF(AND(LEFT(B357,1)="3",Tabela_BaseM[[#This Row],[CONTA PARTE B]]&lt;&gt;""),"|M355|",IF(LEFT(B357,1)="4","|M362|","")))))</f>
        <v/>
      </c>
      <c r="M357" t="str">
        <f>IF(LEFT(Tabela_BaseM[[#This Row],[TIPO RELACIONAMENTO]],1)="3",(IF(A357="IRPJ",IF(LEFT(B357,1)="1","|M305|",IF(LEFT(B357,1)="2","|M310|",IF(LEFT(B357,1)="3","|M310|",IF(LEFT(B357,1)="4","|M312|","")))),IF(LEFT(B357,1)="1","|M355|",IF(LEFT(B357,1)="2","|M360|",IF(LEFT(B357,1)="3","|M360|",IF(LEFT(B357,1)="4","|M362|","")))))),"")</f>
        <v/>
      </c>
      <c r="N35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7" t="e">
        <f>IF(A357="IRPJ",("|M300|"&amp;LEFT(C357,FIND("-",C357)-1)&amp;"|"&amp;RIGHT(C357,LEN(C357)-FIND("-",C357))&amp;"|"&amp;LEFT(D357,1)&amp;"|"&amp;LEFT(B357,1)&amp;"|"&amp;Tabela_BaseM[[#This Row],[Valor]]&amp;"|"&amp;Tabela_BaseM[[#This Row],[HISTÓRICO]]&amp;"|"),("|M350|"&amp;LEFT(C357,FIND("-",C357)-1)&amp;"|"&amp;RIGHT(C357,LEN(C357)-FIND("-",C357))&amp;"|"&amp;LEFT(D357,1)&amp;"|"&amp;LEFT(B357,1)&amp;"|"&amp;Tabela_BaseM[[#This Row],[Valor]]&amp;"|"&amp;Tabela_BaseM[[#This Row],[HISTÓRICO]]&amp;"|"))</f>
        <v>#VALUE!</v>
      </c>
    </row>
    <row r="358" spans="10:17" x14ac:dyDescent="0.25">
      <c r="J358" s="11"/>
      <c r="L358" t="str">
        <f>IF(A358="IRPJ",IF(LEFT(B358,1)="1","|M305|",IF(LEFT(B358,1)="2","|M310|",IF(AND(LEFT(B358,1)="3",Tabela_BaseM[[#This Row],[CONTA PARTE B]]&lt;&gt;""),"|M305|",IF(LEFT(B358,1)="4","|M312|","")))),      IF(LEFT(B358,1)="1","|M355|",IF(LEFT(B358,1)="2","|M360|",IF(AND(LEFT(B358,1)="3",Tabela_BaseM[[#This Row],[CONTA PARTE B]]&lt;&gt;""),"|M355|",IF(LEFT(B358,1)="4","|M362|","")))))</f>
        <v/>
      </c>
      <c r="M358" t="str">
        <f>IF(LEFT(Tabela_BaseM[[#This Row],[TIPO RELACIONAMENTO]],1)="3",(IF(A358="IRPJ",IF(LEFT(B358,1)="1","|M305|",IF(LEFT(B358,1)="2","|M310|",IF(LEFT(B358,1)="3","|M310|",IF(LEFT(B358,1)="4","|M312|","")))),IF(LEFT(B358,1)="1","|M355|",IF(LEFT(B358,1)="2","|M360|",IF(LEFT(B358,1)="3","|M360|",IF(LEFT(B358,1)="4","|M362|","")))))),"")</f>
        <v/>
      </c>
      <c r="N35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8" t="e">
        <f>IF(A358="IRPJ",("|M300|"&amp;LEFT(C358,FIND("-",C358)-1)&amp;"|"&amp;RIGHT(C358,LEN(C358)-FIND("-",C358))&amp;"|"&amp;LEFT(D358,1)&amp;"|"&amp;LEFT(B358,1)&amp;"|"&amp;Tabela_BaseM[[#This Row],[Valor]]&amp;"|"&amp;Tabela_BaseM[[#This Row],[HISTÓRICO]]&amp;"|"),("|M350|"&amp;LEFT(C358,FIND("-",C358)-1)&amp;"|"&amp;RIGHT(C358,LEN(C358)-FIND("-",C358))&amp;"|"&amp;LEFT(D358,1)&amp;"|"&amp;LEFT(B358,1)&amp;"|"&amp;Tabela_BaseM[[#This Row],[Valor]]&amp;"|"&amp;Tabela_BaseM[[#This Row],[HISTÓRICO]]&amp;"|"))</f>
        <v>#VALUE!</v>
      </c>
    </row>
    <row r="359" spans="10:17" x14ac:dyDescent="0.25">
      <c r="J359" s="11"/>
      <c r="L359" t="str">
        <f>IF(A359="IRPJ",IF(LEFT(B359,1)="1","|M305|",IF(LEFT(B359,1)="2","|M310|",IF(AND(LEFT(B359,1)="3",Tabela_BaseM[[#This Row],[CONTA PARTE B]]&lt;&gt;""),"|M305|",IF(LEFT(B359,1)="4","|M312|","")))),      IF(LEFT(B359,1)="1","|M355|",IF(LEFT(B359,1)="2","|M360|",IF(AND(LEFT(B359,1)="3",Tabela_BaseM[[#This Row],[CONTA PARTE B]]&lt;&gt;""),"|M355|",IF(LEFT(B359,1)="4","|M362|","")))))</f>
        <v/>
      </c>
      <c r="M359" t="str">
        <f>IF(LEFT(Tabela_BaseM[[#This Row],[TIPO RELACIONAMENTO]],1)="3",(IF(A359="IRPJ",IF(LEFT(B359,1)="1","|M305|",IF(LEFT(B359,1)="2","|M310|",IF(LEFT(B359,1)="3","|M310|",IF(LEFT(B359,1)="4","|M312|","")))),IF(LEFT(B359,1)="1","|M355|",IF(LEFT(B359,1)="2","|M360|",IF(LEFT(B359,1)="3","|M360|",IF(LEFT(B359,1)="4","|M362|","")))))),"")</f>
        <v/>
      </c>
      <c r="N35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5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5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59" t="e">
        <f>IF(A359="IRPJ",("|M300|"&amp;LEFT(C359,FIND("-",C359)-1)&amp;"|"&amp;RIGHT(C359,LEN(C359)-FIND("-",C359))&amp;"|"&amp;LEFT(D359,1)&amp;"|"&amp;LEFT(B359,1)&amp;"|"&amp;Tabela_BaseM[[#This Row],[Valor]]&amp;"|"&amp;Tabela_BaseM[[#This Row],[HISTÓRICO]]&amp;"|"),("|M350|"&amp;LEFT(C359,FIND("-",C359)-1)&amp;"|"&amp;RIGHT(C359,LEN(C359)-FIND("-",C359))&amp;"|"&amp;LEFT(D359,1)&amp;"|"&amp;LEFT(B359,1)&amp;"|"&amp;Tabela_BaseM[[#This Row],[Valor]]&amp;"|"&amp;Tabela_BaseM[[#This Row],[HISTÓRICO]]&amp;"|"))</f>
        <v>#VALUE!</v>
      </c>
    </row>
    <row r="360" spans="10:17" x14ac:dyDescent="0.25">
      <c r="J360" s="11"/>
      <c r="L360" t="str">
        <f>IF(A360="IRPJ",IF(LEFT(B360,1)="1","|M305|",IF(LEFT(B360,1)="2","|M310|",IF(AND(LEFT(B360,1)="3",Tabela_BaseM[[#This Row],[CONTA PARTE B]]&lt;&gt;""),"|M305|",IF(LEFT(B360,1)="4","|M312|","")))),      IF(LEFT(B360,1)="1","|M355|",IF(LEFT(B360,1)="2","|M360|",IF(AND(LEFT(B360,1)="3",Tabela_BaseM[[#This Row],[CONTA PARTE B]]&lt;&gt;""),"|M355|",IF(LEFT(B360,1)="4","|M362|","")))))</f>
        <v/>
      </c>
      <c r="M360" t="str">
        <f>IF(LEFT(Tabela_BaseM[[#This Row],[TIPO RELACIONAMENTO]],1)="3",(IF(A360="IRPJ",IF(LEFT(B360,1)="1","|M305|",IF(LEFT(B360,1)="2","|M310|",IF(LEFT(B360,1)="3","|M310|",IF(LEFT(B360,1)="4","|M312|","")))),IF(LEFT(B360,1)="1","|M355|",IF(LEFT(B360,1)="2","|M360|",IF(LEFT(B360,1)="3","|M360|",IF(LEFT(B360,1)="4","|M362|","")))))),"")</f>
        <v/>
      </c>
      <c r="N36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0" t="e">
        <f>IF(A360="IRPJ",("|M300|"&amp;LEFT(C360,FIND("-",C360)-1)&amp;"|"&amp;RIGHT(C360,LEN(C360)-FIND("-",C360))&amp;"|"&amp;LEFT(D360,1)&amp;"|"&amp;LEFT(B360,1)&amp;"|"&amp;Tabela_BaseM[[#This Row],[Valor]]&amp;"|"&amp;Tabela_BaseM[[#This Row],[HISTÓRICO]]&amp;"|"),("|M350|"&amp;LEFT(C360,FIND("-",C360)-1)&amp;"|"&amp;RIGHT(C360,LEN(C360)-FIND("-",C360))&amp;"|"&amp;LEFT(D360,1)&amp;"|"&amp;LEFT(B360,1)&amp;"|"&amp;Tabela_BaseM[[#This Row],[Valor]]&amp;"|"&amp;Tabela_BaseM[[#This Row],[HISTÓRICO]]&amp;"|"))</f>
        <v>#VALUE!</v>
      </c>
    </row>
    <row r="361" spans="10:17" x14ac:dyDescent="0.25">
      <c r="J361" s="11"/>
      <c r="L361" t="str">
        <f>IF(A361="IRPJ",IF(LEFT(B361,1)="1","|M305|",IF(LEFT(B361,1)="2","|M310|",IF(AND(LEFT(B361,1)="3",Tabela_BaseM[[#This Row],[CONTA PARTE B]]&lt;&gt;""),"|M305|",IF(LEFT(B361,1)="4","|M312|","")))),      IF(LEFT(B361,1)="1","|M355|",IF(LEFT(B361,1)="2","|M360|",IF(AND(LEFT(B361,1)="3",Tabela_BaseM[[#This Row],[CONTA PARTE B]]&lt;&gt;""),"|M355|",IF(LEFT(B361,1)="4","|M362|","")))))</f>
        <v/>
      </c>
      <c r="M361" t="str">
        <f>IF(LEFT(Tabela_BaseM[[#This Row],[TIPO RELACIONAMENTO]],1)="3",(IF(A361="IRPJ",IF(LEFT(B361,1)="1","|M305|",IF(LEFT(B361,1)="2","|M310|",IF(LEFT(B361,1)="3","|M310|",IF(LEFT(B361,1)="4","|M312|","")))),IF(LEFT(B361,1)="1","|M355|",IF(LEFT(B361,1)="2","|M360|",IF(LEFT(B361,1)="3","|M360|",IF(LEFT(B361,1)="4","|M362|","")))))),"")</f>
        <v/>
      </c>
      <c r="N36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1" t="e">
        <f>IF(A361="IRPJ",("|M300|"&amp;LEFT(C361,FIND("-",C361)-1)&amp;"|"&amp;RIGHT(C361,LEN(C361)-FIND("-",C361))&amp;"|"&amp;LEFT(D361,1)&amp;"|"&amp;LEFT(B361,1)&amp;"|"&amp;Tabela_BaseM[[#This Row],[Valor]]&amp;"|"&amp;Tabela_BaseM[[#This Row],[HISTÓRICO]]&amp;"|"),("|M350|"&amp;LEFT(C361,FIND("-",C361)-1)&amp;"|"&amp;RIGHT(C361,LEN(C361)-FIND("-",C361))&amp;"|"&amp;LEFT(D361,1)&amp;"|"&amp;LEFT(B361,1)&amp;"|"&amp;Tabela_BaseM[[#This Row],[Valor]]&amp;"|"&amp;Tabela_BaseM[[#This Row],[HISTÓRICO]]&amp;"|"))</f>
        <v>#VALUE!</v>
      </c>
    </row>
    <row r="362" spans="10:17" x14ac:dyDescent="0.25">
      <c r="J362" s="11"/>
      <c r="L362" t="str">
        <f>IF(A362="IRPJ",IF(LEFT(B362,1)="1","|M305|",IF(LEFT(B362,1)="2","|M310|",IF(AND(LEFT(B362,1)="3",Tabela_BaseM[[#This Row],[CONTA PARTE B]]&lt;&gt;""),"|M305|",IF(LEFT(B362,1)="4","|M312|","")))),      IF(LEFT(B362,1)="1","|M355|",IF(LEFT(B362,1)="2","|M360|",IF(AND(LEFT(B362,1)="3",Tabela_BaseM[[#This Row],[CONTA PARTE B]]&lt;&gt;""),"|M355|",IF(LEFT(B362,1)="4","|M362|","")))))</f>
        <v/>
      </c>
      <c r="M362" t="str">
        <f>IF(LEFT(Tabela_BaseM[[#This Row],[TIPO RELACIONAMENTO]],1)="3",(IF(A362="IRPJ",IF(LEFT(B362,1)="1","|M305|",IF(LEFT(B362,1)="2","|M310|",IF(LEFT(B362,1)="3","|M310|",IF(LEFT(B362,1)="4","|M312|","")))),IF(LEFT(B362,1)="1","|M355|",IF(LEFT(B362,1)="2","|M360|",IF(LEFT(B362,1)="3","|M360|",IF(LEFT(B362,1)="4","|M362|","")))))),"")</f>
        <v/>
      </c>
      <c r="N36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2" t="e">
        <f>IF(A362="IRPJ",("|M300|"&amp;LEFT(C362,FIND("-",C362)-1)&amp;"|"&amp;RIGHT(C362,LEN(C362)-FIND("-",C362))&amp;"|"&amp;LEFT(D362,1)&amp;"|"&amp;LEFT(B362,1)&amp;"|"&amp;Tabela_BaseM[[#This Row],[Valor]]&amp;"|"&amp;Tabela_BaseM[[#This Row],[HISTÓRICO]]&amp;"|"),("|M350|"&amp;LEFT(C362,FIND("-",C362)-1)&amp;"|"&amp;RIGHT(C362,LEN(C362)-FIND("-",C362))&amp;"|"&amp;LEFT(D362,1)&amp;"|"&amp;LEFT(B362,1)&amp;"|"&amp;Tabela_BaseM[[#This Row],[Valor]]&amp;"|"&amp;Tabela_BaseM[[#This Row],[HISTÓRICO]]&amp;"|"))</f>
        <v>#VALUE!</v>
      </c>
    </row>
    <row r="363" spans="10:17" x14ac:dyDescent="0.25">
      <c r="J363" s="11"/>
      <c r="L363" t="str">
        <f>IF(A363="IRPJ",IF(LEFT(B363,1)="1","|M305|",IF(LEFT(B363,1)="2","|M310|",IF(AND(LEFT(B363,1)="3",Tabela_BaseM[[#This Row],[CONTA PARTE B]]&lt;&gt;""),"|M305|",IF(LEFT(B363,1)="4","|M312|","")))),      IF(LEFT(B363,1)="1","|M355|",IF(LEFT(B363,1)="2","|M360|",IF(AND(LEFT(B363,1)="3",Tabela_BaseM[[#This Row],[CONTA PARTE B]]&lt;&gt;""),"|M355|",IF(LEFT(B363,1)="4","|M362|","")))))</f>
        <v/>
      </c>
      <c r="M363" t="str">
        <f>IF(LEFT(Tabela_BaseM[[#This Row],[TIPO RELACIONAMENTO]],1)="3",(IF(A363="IRPJ",IF(LEFT(B363,1)="1","|M305|",IF(LEFT(B363,1)="2","|M310|",IF(LEFT(B363,1)="3","|M310|",IF(LEFT(B363,1)="4","|M312|","")))),IF(LEFT(B363,1)="1","|M355|",IF(LEFT(B363,1)="2","|M360|",IF(LEFT(B363,1)="3","|M360|",IF(LEFT(B363,1)="4","|M362|","")))))),"")</f>
        <v/>
      </c>
      <c r="N36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3" t="e">
        <f>IF(A363="IRPJ",("|M300|"&amp;LEFT(C363,FIND("-",C363)-1)&amp;"|"&amp;RIGHT(C363,LEN(C363)-FIND("-",C363))&amp;"|"&amp;LEFT(D363,1)&amp;"|"&amp;LEFT(B363,1)&amp;"|"&amp;Tabela_BaseM[[#This Row],[Valor]]&amp;"|"&amp;Tabela_BaseM[[#This Row],[HISTÓRICO]]&amp;"|"),("|M350|"&amp;LEFT(C363,FIND("-",C363)-1)&amp;"|"&amp;RIGHT(C363,LEN(C363)-FIND("-",C363))&amp;"|"&amp;LEFT(D363,1)&amp;"|"&amp;LEFT(B363,1)&amp;"|"&amp;Tabela_BaseM[[#This Row],[Valor]]&amp;"|"&amp;Tabela_BaseM[[#This Row],[HISTÓRICO]]&amp;"|"))</f>
        <v>#VALUE!</v>
      </c>
    </row>
    <row r="364" spans="10:17" x14ac:dyDescent="0.25">
      <c r="J364" s="11"/>
      <c r="L364" t="str">
        <f>IF(A364="IRPJ",IF(LEFT(B364,1)="1","|M305|",IF(LEFT(B364,1)="2","|M310|",IF(AND(LEFT(B364,1)="3",Tabela_BaseM[[#This Row],[CONTA PARTE B]]&lt;&gt;""),"|M305|",IF(LEFT(B364,1)="4","|M312|","")))),      IF(LEFT(B364,1)="1","|M355|",IF(LEFT(B364,1)="2","|M360|",IF(AND(LEFT(B364,1)="3",Tabela_BaseM[[#This Row],[CONTA PARTE B]]&lt;&gt;""),"|M355|",IF(LEFT(B364,1)="4","|M362|","")))))</f>
        <v/>
      </c>
      <c r="M364" t="str">
        <f>IF(LEFT(Tabela_BaseM[[#This Row],[TIPO RELACIONAMENTO]],1)="3",(IF(A364="IRPJ",IF(LEFT(B364,1)="1","|M305|",IF(LEFT(B364,1)="2","|M310|",IF(LEFT(B364,1)="3","|M310|",IF(LEFT(B364,1)="4","|M312|","")))),IF(LEFT(B364,1)="1","|M355|",IF(LEFT(B364,1)="2","|M360|",IF(LEFT(B364,1)="3","|M360|",IF(LEFT(B364,1)="4","|M362|","")))))),"")</f>
        <v/>
      </c>
      <c r="N36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4" t="e">
        <f>IF(A364="IRPJ",("|M300|"&amp;LEFT(C364,FIND("-",C364)-1)&amp;"|"&amp;RIGHT(C364,LEN(C364)-FIND("-",C364))&amp;"|"&amp;LEFT(D364,1)&amp;"|"&amp;LEFT(B364,1)&amp;"|"&amp;Tabela_BaseM[[#This Row],[Valor]]&amp;"|"&amp;Tabela_BaseM[[#This Row],[HISTÓRICO]]&amp;"|"),("|M350|"&amp;LEFT(C364,FIND("-",C364)-1)&amp;"|"&amp;RIGHT(C364,LEN(C364)-FIND("-",C364))&amp;"|"&amp;LEFT(D364,1)&amp;"|"&amp;LEFT(B364,1)&amp;"|"&amp;Tabela_BaseM[[#This Row],[Valor]]&amp;"|"&amp;Tabela_BaseM[[#This Row],[HISTÓRICO]]&amp;"|"))</f>
        <v>#VALUE!</v>
      </c>
    </row>
    <row r="365" spans="10:17" x14ac:dyDescent="0.25">
      <c r="J365" s="11"/>
      <c r="L365" t="str">
        <f>IF(A365="IRPJ",IF(LEFT(B365,1)="1","|M305|",IF(LEFT(B365,1)="2","|M310|",IF(AND(LEFT(B365,1)="3",Tabela_BaseM[[#This Row],[CONTA PARTE B]]&lt;&gt;""),"|M305|",IF(LEFT(B365,1)="4","|M312|","")))),      IF(LEFT(B365,1)="1","|M355|",IF(LEFT(B365,1)="2","|M360|",IF(AND(LEFT(B365,1)="3",Tabela_BaseM[[#This Row],[CONTA PARTE B]]&lt;&gt;""),"|M355|",IF(LEFT(B365,1)="4","|M362|","")))))</f>
        <v/>
      </c>
      <c r="M365" t="str">
        <f>IF(LEFT(Tabela_BaseM[[#This Row],[TIPO RELACIONAMENTO]],1)="3",(IF(A365="IRPJ",IF(LEFT(B365,1)="1","|M305|",IF(LEFT(B365,1)="2","|M310|",IF(LEFT(B365,1)="3","|M310|",IF(LEFT(B365,1)="4","|M312|","")))),IF(LEFT(B365,1)="1","|M355|",IF(LEFT(B365,1)="2","|M360|",IF(LEFT(B365,1)="3","|M360|",IF(LEFT(B365,1)="4","|M362|","")))))),"")</f>
        <v/>
      </c>
      <c r="N36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5" t="e">
        <f>IF(A365="IRPJ",("|M300|"&amp;LEFT(C365,FIND("-",C365)-1)&amp;"|"&amp;RIGHT(C365,LEN(C365)-FIND("-",C365))&amp;"|"&amp;LEFT(D365,1)&amp;"|"&amp;LEFT(B365,1)&amp;"|"&amp;Tabela_BaseM[[#This Row],[Valor]]&amp;"|"&amp;Tabela_BaseM[[#This Row],[HISTÓRICO]]&amp;"|"),("|M350|"&amp;LEFT(C365,FIND("-",C365)-1)&amp;"|"&amp;RIGHT(C365,LEN(C365)-FIND("-",C365))&amp;"|"&amp;LEFT(D365,1)&amp;"|"&amp;LEFT(B365,1)&amp;"|"&amp;Tabela_BaseM[[#This Row],[Valor]]&amp;"|"&amp;Tabela_BaseM[[#This Row],[HISTÓRICO]]&amp;"|"))</f>
        <v>#VALUE!</v>
      </c>
    </row>
    <row r="366" spans="10:17" x14ac:dyDescent="0.25">
      <c r="J366" s="11"/>
      <c r="L366" t="str">
        <f>IF(A366="IRPJ",IF(LEFT(B366,1)="1","|M305|",IF(LEFT(B366,1)="2","|M310|",IF(AND(LEFT(B366,1)="3",Tabela_BaseM[[#This Row],[CONTA PARTE B]]&lt;&gt;""),"|M305|",IF(LEFT(B366,1)="4","|M312|","")))),      IF(LEFT(B366,1)="1","|M355|",IF(LEFT(B366,1)="2","|M360|",IF(AND(LEFT(B366,1)="3",Tabela_BaseM[[#This Row],[CONTA PARTE B]]&lt;&gt;""),"|M355|",IF(LEFT(B366,1)="4","|M362|","")))))</f>
        <v/>
      </c>
      <c r="M366" t="str">
        <f>IF(LEFT(Tabela_BaseM[[#This Row],[TIPO RELACIONAMENTO]],1)="3",(IF(A366="IRPJ",IF(LEFT(B366,1)="1","|M305|",IF(LEFT(B366,1)="2","|M310|",IF(LEFT(B366,1)="3","|M310|",IF(LEFT(B366,1)="4","|M312|","")))),IF(LEFT(B366,1)="1","|M355|",IF(LEFT(B366,1)="2","|M360|",IF(LEFT(B366,1)="3","|M360|",IF(LEFT(B366,1)="4","|M362|","")))))),"")</f>
        <v/>
      </c>
      <c r="N36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6" t="e">
        <f>IF(A366="IRPJ",("|M300|"&amp;LEFT(C366,FIND("-",C366)-1)&amp;"|"&amp;RIGHT(C366,LEN(C366)-FIND("-",C366))&amp;"|"&amp;LEFT(D366,1)&amp;"|"&amp;LEFT(B366,1)&amp;"|"&amp;Tabela_BaseM[[#This Row],[Valor]]&amp;"|"&amp;Tabela_BaseM[[#This Row],[HISTÓRICO]]&amp;"|"),("|M350|"&amp;LEFT(C366,FIND("-",C366)-1)&amp;"|"&amp;RIGHT(C366,LEN(C366)-FIND("-",C366))&amp;"|"&amp;LEFT(D366,1)&amp;"|"&amp;LEFT(B366,1)&amp;"|"&amp;Tabela_BaseM[[#This Row],[Valor]]&amp;"|"&amp;Tabela_BaseM[[#This Row],[HISTÓRICO]]&amp;"|"))</f>
        <v>#VALUE!</v>
      </c>
    </row>
    <row r="367" spans="10:17" x14ac:dyDescent="0.25">
      <c r="J367" s="11"/>
      <c r="L367" t="str">
        <f>IF(A367="IRPJ",IF(LEFT(B367,1)="1","|M305|",IF(LEFT(B367,1)="2","|M310|",IF(AND(LEFT(B367,1)="3",Tabela_BaseM[[#This Row],[CONTA PARTE B]]&lt;&gt;""),"|M305|",IF(LEFT(B367,1)="4","|M312|","")))),      IF(LEFT(B367,1)="1","|M355|",IF(LEFT(B367,1)="2","|M360|",IF(AND(LEFT(B367,1)="3",Tabela_BaseM[[#This Row],[CONTA PARTE B]]&lt;&gt;""),"|M355|",IF(LEFT(B367,1)="4","|M362|","")))))</f>
        <v/>
      </c>
      <c r="M367" t="str">
        <f>IF(LEFT(Tabela_BaseM[[#This Row],[TIPO RELACIONAMENTO]],1)="3",(IF(A367="IRPJ",IF(LEFT(B367,1)="1","|M305|",IF(LEFT(B367,1)="2","|M310|",IF(LEFT(B367,1)="3","|M310|",IF(LEFT(B367,1)="4","|M312|","")))),IF(LEFT(B367,1)="1","|M355|",IF(LEFT(B367,1)="2","|M360|",IF(LEFT(B367,1)="3","|M360|",IF(LEFT(B367,1)="4","|M362|","")))))),"")</f>
        <v/>
      </c>
      <c r="N36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7" t="e">
        <f>IF(A367="IRPJ",("|M300|"&amp;LEFT(C367,FIND("-",C367)-1)&amp;"|"&amp;RIGHT(C367,LEN(C367)-FIND("-",C367))&amp;"|"&amp;LEFT(D367,1)&amp;"|"&amp;LEFT(B367,1)&amp;"|"&amp;Tabela_BaseM[[#This Row],[Valor]]&amp;"|"&amp;Tabela_BaseM[[#This Row],[HISTÓRICO]]&amp;"|"),("|M350|"&amp;LEFT(C367,FIND("-",C367)-1)&amp;"|"&amp;RIGHT(C367,LEN(C367)-FIND("-",C367))&amp;"|"&amp;LEFT(D367,1)&amp;"|"&amp;LEFT(B367,1)&amp;"|"&amp;Tabela_BaseM[[#This Row],[Valor]]&amp;"|"&amp;Tabela_BaseM[[#This Row],[HISTÓRICO]]&amp;"|"))</f>
        <v>#VALUE!</v>
      </c>
    </row>
    <row r="368" spans="10:17" x14ac:dyDescent="0.25">
      <c r="J368" s="11"/>
      <c r="L368" t="str">
        <f>IF(A368="IRPJ",IF(LEFT(B368,1)="1","|M305|",IF(LEFT(B368,1)="2","|M310|",IF(AND(LEFT(B368,1)="3",Tabela_BaseM[[#This Row],[CONTA PARTE B]]&lt;&gt;""),"|M305|",IF(LEFT(B368,1)="4","|M312|","")))),      IF(LEFT(B368,1)="1","|M355|",IF(LEFT(B368,1)="2","|M360|",IF(AND(LEFT(B368,1)="3",Tabela_BaseM[[#This Row],[CONTA PARTE B]]&lt;&gt;""),"|M355|",IF(LEFT(B368,1)="4","|M362|","")))))</f>
        <v/>
      </c>
      <c r="M368" t="str">
        <f>IF(LEFT(Tabela_BaseM[[#This Row],[TIPO RELACIONAMENTO]],1)="3",(IF(A368="IRPJ",IF(LEFT(B368,1)="1","|M305|",IF(LEFT(B368,1)="2","|M310|",IF(LEFT(B368,1)="3","|M310|",IF(LEFT(B368,1)="4","|M312|","")))),IF(LEFT(B368,1)="1","|M355|",IF(LEFT(B368,1)="2","|M360|",IF(LEFT(B368,1)="3","|M360|",IF(LEFT(B368,1)="4","|M362|","")))))),"")</f>
        <v/>
      </c>
      <c r="N36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8" t="e">
        <f>IF(A368="IRPJ",("|M300|"&amp;LEFT(C368,FIND("-",C368)-1)&amp;"|"&amp;RIGHT(C368,LEN(C368)-FIND("-",C368))&amp;"|"&amp;LEFT(D368,1)&amp;"|"&amp;LEFT(B368,1)&amp;"|"&amp;Tabela_BaseM[[#This Row],[Valor]]&amp;"|"&amp;Tabela_BaseM[[#This Row],[HISTÓRICO]]&amp;"|"),("|M350|"&amp;LEFT(C368,FIND("-",C368)-1)&amp;"|"&amp;RIGHT(C368,LEN(C368)-FIND("-",C368))&amp;"|"&amp;LEFT(D368,1)&amp;"|"&amp;LEFT(B368,1)&amp;"|"&amp;Tabela_BaseM[[#This Row],[Valor]]&amp;"|"&amp;Tabela_BaseM[[#This Row],[HISTÓRICO]]&amp;"|"))</f>
        <v>#VALUE!</v>
      </c>
    </row>
    <row r="369" spans="10:17" x14ac:dyDescent="0.25">
      <c r="J369" s="11"/>
      <c r="L369" t="str">
        <f>IF(A369="IRPJ",IF(LEFT(B369,1)="1","|M305|",IF(LEFT(B369,1)="2","|M310|",IF(AND(LEFT(B369,1)="3",Tabela_BaseM[[#This Row],[CONTA PARTE B]]&lt;&gt;""),"|M305|",IF(LEFT(B369,1)="4","|M312|","")))),      IF(LEFT(B369,1)="1","|M355|",IF(LEFT(B369,1)="2","|M360|",IF(AND(LEFT(B369,1)="3",Tabela_BaseM[[#This Row],[CONTA PARTE B]]&lt;&gt;""),"|M355|",IF(LEFT(B369,1)="4","|M362|","")))))</f>
        <v/>
      </c>
      <c r="M369" t="str">
        <f>IF(LEFT(Tabela_BaseM[[#This Row],[TIPO RELACIONAMENTO]],1)="3",(IF(A369="IRPJ",IF(LEFT(B369,1)="1","|M305|",IF(LEFT(B369,1)="2","|M310|",IF(LEFT(B369,1)="3","|M310|",IF(LEFT(B369,1)="4","|M312|","")))),IF(LEFT(B369,1)="1","|M355|",IF(LEFT(B369,1)="2","|M360|",IF(LEFT(B369,1)="3","|M360|",IF(LEFT(B369,1)="4","|M362|","")))))),"")</f>
        <v/>
      </c>
      <c r="N36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6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6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69" t="e">
        <f>IF(A369="IRPJ",("|M300|"&amp;LEFT(C369,FIND("-",C369)-1)&amp;"|"&amp;RIGHT(C369,LEN(C369)-FIND("-",C369))&amp;"|"&amp;LEFT(D369,1)&amp;"|"&amp;LEFT(B369,1)&amp;"|"&amp;Tabela_BaseM[[#This Row],[Valor]]&amp;"|"&amp;Tabela_BaseM[[#This Row],[HISTÓRICO]]&amp;"|"),("|M350|"&amp;LEFT(C369,FIND("-",C369)-1)&amp;"|"&amp;RIGHT(C369,LEN(C369)-FIND("-",C369))&amp;"|"&amp;LEFT(D369,1)&amp;"|"&amp;LEFT(B369,1)&amp;"|"&amp;Tabela_BaseM[[#This Row],[Valor]]&amp;"|"&amp;Tabela_BaseM[[#This Row],[HISTÓRICO]]&amp;"|"))</f>
        <v>#VALUE!</v>
      </c>
    </row>
    <row r="370" spans="10:17" x14ac:dyDescent="0.25">
      <c r="J370" s="11"/>
      <c r="L370" t="str">
        <f>IF(A370="IRPJ",IF(LEFT(B370,1)="1","|M305|",IF(LEFT(B370,1)="2","|M310|",IF(AND(LEFT(B370,1)="3",Tabela_BaseM[[#This Row],[CONTA PARTE B]]&lt;&gt;""),"|M305|",IF(LEFT(B370,1)="4","|M312|","")))),      IF(LEFT(B370,1)="1","|M355|",IF(LEFT(B370,1)="2","|M360|",IF(AND(LEFT(B370,1)="3",Tabela_BaseM[[#This Row],[CONTA PARTE B]]&lt;&gt;""),"|M355|",IF(LEFT(B370,1)="4","|M362|","")))))</f>
        <v/>
      </c>
      <c r="M370" t="str">
        <f>IF(LEFT(Tabela_BaseM[[#This Row],[TIPO RELACIONAMENTO]],1)="3",(IF(A370="IRPJ",IF(LEFT(B370,1)="1","|M305|",IF(LEFT(B370,1)="2","|M310|",IF(LEFT(B370,1)="3","|M310|",IF(LEFT(B370,1)="4","|M312|","")))),IF(LEFT(B370,1)="1","|M355|",IF(LEFT(B370,1)="2","|M360|",IF(LEFT(B370,1)="3","|M360|",IF(LEFT(B370,1)="4","|M362|","")))))),"")</f>
        <v/>
      </c>
      <c r="N37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0" t="e">
        <f>IF(A370="IRPJ",("|M300|"&amp;LEFT(C370,FIND("-",C370)-1)&amp;"|"&amp;RIGHT(C370,LEN(C370)-FIND("-",C370))&amp;"|"&amp;LEFT(D370,1)&amp;"|"&amp;LEFT(B370,1)&amp;"|"&amp;Tabela_BaseM[[#This Row],[Valor]]&amp;"|"&amp;Tabela_BaseM[[#This Row],[HISTÓRICO]]&amp;"|"),("|M350|"&amp;LEFT(C370,FIND("-",C370)-1)&amp;"|"&amp;RIGHT(C370,LEN(C370)-FIND("-",C370))&amp;"|"&amp;LEFT(D370,1)&amp;"|"&amp;LEFT(B370,1)&amp;"|"&amp;Tabela_BaseM[[#This Row],[Valor]]&amp;"|"&amp;Tabela_BaseM[[#This Row],[HISTÓRICO]]&amp;"|"))</f>
        <v>#VALUE!</v>
      </c>
    </row>
    <row r="371" spans="10:17" x14ac:dyDescent="0.25">
      <c r="J371" s="11"/>
      <c r="L371" t="str">
        <f>IF(A371="IRPJ",IF(LEFT(B371,1)="1","|M305|",IF(LEFT(B371,1)="2","|M310|",IF(AND(LEFT(B371,1)="3",Tabela_BaseM[[#This Row],[CONTA PARTE B]]&lt;&gt;""),"|M305|",IF(LEFT(B371,1)="4","|M312|","")))),      IF(LEFT(B371,1)="1","|M355|",IF(LEFT(B371,1)="2","|M360|",IF(AND(LEFT(B371,1)="3",Tabela_BaseM[[#This Row],[CONTA PARTE B]]&lt;&gt;""),"|M355|",IF(LEFT(B371,1)="4","|M362|","")))))</f>
        <v/>
      </c>
      <c r="M371" t="str">
        <f>IF(LEFT(Tabela_BaseM[[#This Row],[TIPO RELACIONAMENTO]],1)="3",(IF(A371="IRPJ",IF(LEFT(B371,1)="1","|M305|",IF(LEFT(B371,1)="2","|M310|",IF(LEFT(B371,1)="3","|M310|",IF(LEFT(B371,1)="4","|M312|","")))),IF(LEFT(B371,1)="1","|M355|",IF(LEFT(B371,1)="2","|M360|",IF(LEFT(B371,1)="3","|M360|",IF(LEFT(B371,1)="4","|M362|","")))))),"")</f>
        <v/>
      </c>
      <c r="N37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1" t="e">
        <f>IF(A371="IRPJ",("|M300|"&amp;LEFT(C371,FIND("-",C371)-1)&amp;"|"&amp;RIGHT(C371,LEN(C371)-FIND("-",C371))&amp;"|"&amp;LEFT(D371,1)&amp;"|"&amp;LEFT(B371,1)&amp;"|"&amp;Tabela_BaseM[[#This Row],[Valor]]&amp;"|"&amp;Tabela_BaseM[[#This Row],[HISTÓRICO]]&amp;"|"),("|M350|"&amp;LEFT(C371,FIND("-",C371)-1)&amp;"|"&amp;RIGHT(C371,LEN(C371)-FIND("-",C371))&amp;"|"&amp;LEFT(D371,1)&amp;"|"&amp;LEFT(B371,1)&amp;"|"&amp;Tabela_BaseM[[#This Row],[Valor]]&amp;"|"&amp;Tabela_BaseM[[#This Row],[HISTÓRICO]]&amp;"|"))</f>
        <v>#VALUE!</v>
      </c>
    </row>
    <row r="372" spans="10:17" x14ac:dyDescent="0.25">
      <c r="J372" s="11"/>
      <c r="L372" t="str">
        <f>IF(A372="IRPJ",IF(LEFT(B372,1)="1","|M305|",IF(LEFT(B372,1)="2","|M310|",IF(AND(LEFT(B372,1)="3",Tabela_BaseM[[#This Row],[CONTA PARTE B]]&lt;&gt;""),"|M305|",IF(LEFT(B372,1)="4","|M312|","")))),      IF(LEFT(B372,1)="1","|M355|",IF(LEFT(B372,1)="2","|M360|",IF(AND(LEFT(B372,1)="3",Tabela_BaseM[[#This Row],[CONTA PARTE B]]&lt;&gt;""),"|M355|",IF(LEFT(B372,1)="4","|M362|","")))))</f>
        <v/>
      </c>
      <c r="M372" t="str">
        <f>IF(LEFT(Tabela_BaseM[[#This Row],[TIPO RELACIONAMENTO]],1)="3",(IF(A372="IRPJ",IF(LEFT(B372,1)="1","|M305|",IF(LEFT(B372,1)="2","|M310|",IF(LEFT(B372,1)="3","|M310|",IF(LEFT(B372,1)="4","|M312|","")))),IF(LEFT(B372,1)="1","|M355|",IF(LEFT(B372,1)="2","|M360|",IF(LEFT(B372,1)="3","|M360|",IF(LEFT(B372,1)="4","|M362|","")))))),"")</f>
        <v/>
      </c>
      <c r="N37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2" t="e">
        <f>IF(A372="IRPJ",("|M300|"&amp;LEFT(C372,FIND("-",C372)-1)&amp;"|"&amp;RIGHT(C372,LEN(C372)-FIND("-",C372))&amp;"|"&amp;LEFT(D372,1)&amp;"|"&amp;LEFT(B372,1)&amp;"|"&amp;Tabela_BaseM[[#This Row],[Valor]]&amp;"|"&amp;Tabela_BaseM[[#This Row],[HISTÓRICO]]&amp;"|"),("|M350|"&amp;LEFT(C372,FIND("-",C372)-1)&amp;"|"&amp;RIGHT(C372,LEN(C372)-FIND("-",C372))&amp;"|"&amp;LEFT(D372,1)&amp;"|"&amp;LEFT(B372,1)&amp;"|"&amp;Tabela_BaseM[[#This Row],[Valor]]&amp;"|"&amp;Tabela_BaseM[[#This Row],[HISTÓRICO]]&amp;"|"))</f>
        <v>#VALUE!</v>
      </c>
    </row>
    <row r="373" spans="10:17" x14ac:dyDescent="0.25">
      <c r="J373" s="11"/>
      <c r="L373" t="str">
        <f>IF(A373="IRPJ",IF(LEFT(B373,1)="1","|M305|",IF(LEFT(B373,1)="2","|M310|",IF(AND(LEFT(B373,1)="3",Tabela_BaseM[[#This Row],[CONTA PARTE B]]&lt;&gt;""),"|M305|",IF(LEFT(B373,1)="4","|M312|","")))),      IF(LEFT(B373,1)="1","|M355|",IF(LEFT(B373,1)="2","|M360|",IF(AND(LEFT(B373,1)="3",Tabela_BaseM[[#This Row],[CONTA PARTE B]]&lt;&gt;""),"|M355|",IF(LEFT(B373,1)="4","|M362|","")))))</f>
        <v/>
      </c>
      <c r="M373" t="str">
        <f>IF(LEFT(Tabela_BaseM[[#This Row],[TIPO RELACIONAMENTO]],1)="3",(IF(A373="IRPJ",IF(LEFT(B373,1)="1","|M305|",IF(LEFT(B373,1)="2","|M310|",IF(LEFT(B373,1)="3","|M310|",IF(LEFT(B373,1)="4","|M312|","")))),IF(LEFT(B373,1)="1","|M355|",IF(LEFT(B373,1)="2","|M360|",IF(LEFT(B373,1)="3","|M360|",IF(LEFT(B373,1)="4","|M362|","")))))),"")</f>
        <v/>
      </c>
      <c r="N37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3" t="e">
        <f>IF(A373="IRPJ",("|M300|"&amp;LEFT(C373,FIND("-",C373)-1)&amp;"|"&amp;RIGHT(C373,LEN(C373)-FIND("-",C373))&amp;"|"&amp;LEFT(D373,1)&amp;"|"&amp;LEFT(B373,1)&amp;"|"&amp;Tabela_BaseM[[#This Row],[Valor]]&amp;"|"&amp;Tabela_BaseM[[#This Row],[HISTÓRICO]]&amp;"|"),("|M350|"&amp;LEFT(C373,FIND("-",C373)-1)&amp;"|"&amp;RIGHT(C373,LEN(C373)-FIND("-",C373))&amp;"|"&amp;LEFT(D373,1)&amp;"|"&amp;LEFT(B373,1)&amp;"|"&amp;Tabela_BaseM[[#This Row],[Valor]]&amp;"|"&amp;Tabela_BaseM[[#This Row],[HISTÓRICO]]&amp;"|"))</f>
        <v>#VALUE!</v>
      </c>
    </row>
    <row r="374" spans="10:17" x14ac:dyDescent="0.25">
      <c r="J374" s="11"/>
      <c r="L374" t="str">
        <f>IF(A374="IRPJ",IF(LEFT(B374,1)="1","|M305|",IF(LEFT(B374,1)="2","|M310|",IF(AND(LEFT(B374,1)="3",Tabela_BaseM[[#This Row],[CONTA PARTE B]]&lt;&gt;""),"|M305|",IF(LEFT(B374,1)="4","|M312|","")))),      IF(LEFT(B374,1)="1","|M355|",IF(LEFT(B374,1)="2","|M360|",IF(AND(LEFT(B374,1)="3",Tabela_BaseM[[#This Row],[CONTA PARTE B]]&lt;&gt;""),"|M355|",IF(LEFT(B374,1)="4","|M362|","")))))</f>
        <v/>
      </c>
      <c r="M374" t="str">
        <f>IF(LEFT(Tabela_BaseM[[#This Row],[TIPO RELACIONAMENTO]],1)="3",(IF(A374="IRPJ",IF(LEFT(B374,1)="1","|M305|",IF(LEFT(B374,1)="2","|M310|",IF(LEFT(B374,1)="3","|M310|",IF(LEFT(B374,1)="4","|M312|","")))),IF(LEFT(B374,1)="1","|M355|",IF(LEFT(B374,1)="2","|M360|",IF(LEFT(B374,1)="3","|M360|",IF(LEFT(B374,1)="4","|M362|","")))))),"")</f>
        <v/>
      </c>
      <c r="N37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4" t="e">
        <f>IF(A374="IRPJ",("|M300|"&amp;LEFT(C374,FIND("-",C374)-1)&amp;"|"&amp;RIGHT(C374,LEN(C374)-FIND("-",C374))&amp;"|"&amp;LEFT(D374,1)&amp;"|"&amp;LEFT(B374,1)&amp;"|"&amp;Tabela_BaseM[[#This Row],[Valor]]&amp;"|"&amp;Tabela_BaseM[[#This Row],[HISTÓRICO]]&amp;"|"),("|M350|"&amp;LEFT(C374,FIND("-",C374)-1)&amp;"|"&amp;RIGHT(C374,LEN(C374)-FIND("-",C374))&amp;"|"&amp;LEFT(D374,1)&amp;"|"&amp;LEFT(B374,1)&amp;"|"&amp;Tabela_BaseM[[#This Row],[Valor]]&amp;"|"&amp;Tabela_BaseM[[#This Row],[HISTÓRICO]]&amp;"|"))</f>
        <v>#VALUE!</v>
      </c>
    </row>
    <row r="375" spans="10:17" x14ac:dyDescent="0.25">
      <c r="J375" s="11"/>
      <c r="L375" t="str">
        <f>IF(A375="IRPJ",IF(LEFT(B375,1)="1","|M305|",IF(LEFT(B375,1)="2","|M310|",IF(AND(LEFT(B375,1)="3",Tabela_BaseM[[#This Row],[CONTA PARTE B]]&lt;&gt;""),"|M305|",IF(LEFT(B375,1)="4","|M312|","")))),      IF(LEFT(B375,1)="1","|M355|",IF(LEFT(B375,1)="2","|M360|",IF(AND(LEFT(B375,1)="3",Tabela_BaseM[[#This Row],[CONTA PARTE B]]&lt;&gt;""),"|M355|",IF(LEFT(B375,1)="4","|M362|","")))))</f>
        <v/>
      </c>
      <c r="M375" t="str">
        <f>IF(LEFT(Tabela_BaseM[[#This Row],[TIPO RELACIONAMENTO]],1)="3",(IF(A375="IRPJ",IF(LEFT(B375,1)="1","|M305|",IF(LEFT(B375,1)="2","|M310|",IF(LEFT(B375,1)="3","|M310|",IF(LEFT(B375,1)="4","|M312|","")))),IF(LEFT(B375,1)="1","|M355|",IF(LEFT(B375,1)="2","|M360|",IF(LEFT(B375,1)="3","|M360|",IF(LEFT(B375,1)="4","|M362|","")))))),"")</f>
        <v/>
      </c>
      <c r="N37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5" t="e">
        <f>IF(A375="IRPJ",("|M300|"&amp;LEFT(C375,FIND("-",C375)-1)&amp;"|"&amp;RIGHT(C375,LEN(C375)-FIND("-",C375))&amp;"|"&amp;LEFT(D375,1)&amp;"|"&amp;LEFT(B375,1)&amp;"|"&amp;Tabela_BaseM[[#This Row],[Valor]]&amp;"|"&amp;Tabela_BaseM[[#This Row],[HISTÓRICO]]&amp;"|"),("|M350|"&amp;LEFT(C375,FIND("-",C375)-1)&amp;"|"&amp;RIGHT(C375,LEN(C375)-FIND("-",C375))&amp;"|"&amp;LEFT(D375,1)&amp;"|"&amp;LEFT(B375,1)&amp;"|"&amp;Tabela_BaseM[[#This Row],[Valor]]&amp;"|"&amp;Tabela_BaseM[[#This Row],[HISTÓRICO]]&amp;"|"))</f>
        <v>#VALUE!</v>
      </c>
    </row>
    <row r="376" spans="10:17" x14ac:dyDescent="0.25">
      <c r="J376" s="11"/>
      <c r="L376" t="str">
        <f>IF(A376="IRPJ",IF(LEFT(B376,1)="1","|M305|",IF(LEFT(B376,1)="2","|M310|",IF(AND(LEFT(B376,1)="3",Tabela_BaseM[[#This Row],[CONTA PARTE B]]&lt;&gt;""),"|M305|",IF(LEFT(B376,1)="4","|M312|","")))),      IF(LEFT(B376,1)="1","|M355|",IF(LEFT(B376,1)="2","|M360|",IF(AND(LEFT(B376,1)="3",Tabela_BaseM[[#This Row],[CONTA PARTE B]]&lt;&gt;""),"|M355|",IF(LEFT(B376,1)="4","|M362|","")))))</f>
        <v/>
      </c>
      <c r="M376" t="str">
        <f>IF(LEFT(Tabela_BaseM[[#This Row],[TIPO RELACIONAMENTO]],1)="3",(IF(A376="IRPJ",IF(LEFT(B376,1)="1","|M305|",IF(LEFT(B376,1)="2","|M310|",IF(LEFT(B376,1)="3","|M310|",IF(LEFT(B376,1)="4","|M312|","")))),IF(LEFT(B376,1)="1","|M355|",IF(LEFT(B376,1)="2","|M360|",IF(LEFT(B376,1)="3","|M360|",IF(LEFT(B376,1)="4","|M362|","")))))),"")</f>
        <v/>
      </c>
      <c r="N37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6" t="e">
        <f>IF(A376="IRPJ",("|M300|"&amp;LEFT(C376,FIND("-",C376)-1)&amp;"|"&amp;RIGHT(C376,LEN(C376)-FIND("-",C376))&amp;"|"&amp;LEFT(D376,1)&amp;"|"&amp;LEFT(B376,1)&amp;"|"&amp;Tabela_BaseM[[#This Row],[Valor]]&amp;"|"&amp;Tabela_BaseM[[#This Row],[HISTÓRICO]]&amp;"|"),("|M350|"&amp;LEFT(C376,FIND("-",C376)-1)&amp;"|"&amp;RIGHT(C376,LEN(C376)-FIND("-",C376))&amp;"|"&amp;LEFT(D376,1)&amp;"|"&amp;LEFT(B376,1)&amp;"|"&amp;Tabela_BaseM[[#This Row],[Valor]]&amp;"|"&amp;Tabela_BaseM[[#This Row],[HISTÓRICO]]&amp;"|"))</f>
        <v>#VALUE!</v>
      </c>
    </row>
    <row r="377" spans="10:17" x14ac:dyDescent="0.25">
      <c r="J377" s="11"/>
      <c r="L377" t="str">
        <f>IF(A377="IRPJ",IF(LEFT(B377,1)="1","|M305|",IF(LEFT(B377,1)="2","|M310|",IF(AND(LEFT(B377,1)="3",Tabela_BaseM[[#This Row],[CONTA PARTE B]]&lt;&gt;""),"|M305|",IF(LEFT(B377,1)="4","|M312|","")))),      IF(LEFT(B377,1)="1","|M355|",IF(LEFT(B377,1)="2","|M360|",IF(AND(LEFT(B377,1)="3",Tabela_BaseM[[#This Row],[CONTA PARTE B]]&lt;&gt;""),"|M355|",IF(LEFT(B377,1)="4","|M362|","")))))</f>
        <v/>
      </c>
      <c r="M377" t="str">
        <f>IF(LEFT(Tabela_BaseM[[#This Row],[TIPO RELACIONAMENTO]],1)="3",(IF(A377="IRPJ",IF(LEFT(B377,1)="1","|M305|",IF(LEFT(B377,1)="2","|M310|",IF(LEFT(B377,1)="3","|M310|",IF(LEFT(B377,1)="4","|M312|","")))),IF(LEFT(B377,1)="1","|M355|",IF(LEFT(B377,1)="2","|M360|",IF(LEFT(B377,1)="3","|M360|",IF(LEFT(B377,1)="4","|M362|","")))))),"")</f>
        <v/>
      </c>
      <c r="N37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7" t="e">
        <f>IF(A377="IRPJ",("|M300|"&amp;LEFT(C377,FIND("-",C377)-1)&amp;"|"&amp;RIGHT(C377,LEN(C377)-FIND("-",C377))&amp;"|"&amp;LEFT(D377,1)&amp;"|"&amp;LEFT(B377,1)&amp;"|"&amp;Tabela_BaseM[[#This Row],[Valor]]&amp;"|"&amp;Tabela_BaseM[[#This Row],[HISTÓRICO]]&amp;"|"),("|M350|"&amp;LEFT(C377,FIND("-",C377)-1)&amp;"|"&amp;RIGHT(C377,LEN(C377)-FIND("-",C377))&amp;"|"&amp;LEFT(D377,1)&amp;"|"&amp;LEFT(B377,1)&amp;"|"&amp;Tabela_BaseM[[#This Row],[Valor]]&amp;"|"&amp;Tabela_BaseM[[#This Row],[HISTÓRICO]]&amp;"|"))</f>
        <v>#VALUE!</v>
      </c>
    </row>
    <row r="378" spans="10:17" x14ac:dyDescent="0.25">
      <c r="J378" s="11"/>
      <c r="L378" t="str">
        <f>IF(A378="IRPJ",IF(LEFT(B378,1)="1","|M305|",IF(LEFT(B378,1)="2","|M310|",IF(AND(LEFT(B378,1)="3",Tabela_BaseM[[#This Row],[CONTA PARTE B]]&lt;&gt;""),"|M305|",IF(LEFT(B378,1)="4","|M312|","")))),      IF(LEFT(B378,1)="1","|M355|",IF(LEFT(B378,1)="2","|M360|",IF(AND(LEFT(B378,1)="3",Tabela_BaseM[[#This Row],[CONTA PARTE B]]&lt;&gt;""),"|M355|",IF(LEFT(B378,1)="4","|M362|","")))))</f>
        <v/>
      </c>
      <c r="M378" t="str">
        <f>IF(LEFT(Tabela_BaseM[[#This Row],[TIPO RELACIONAMENTO]],1)="3",(IF(A378="IRPJ",IF(LEFT(B378,1)="1","|M305|",IF(LEFT(B378,1)="2","|M310|",IF(LEFT(B378,1)="3","|M310|",IF(LEFT(B378,1)="4","|M312|","")))),IF(LEFT(B378,1)="1","|M355|",IF(LEFT(B378,1)="2","|M360|",IF(LEFT(B378,1)="3","|M360|",IF(LEFT(B378,1)="4","|M362|","")))))),"")</f>
        <v/>
      </c>
      <c r="N37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8" t="e">
        <f>IF(A378="IRPJ",("|M300|"&amp;LEFT(C378,FIND("-",C378)-1)&amp;"|"&amp;RIGHT(C378,LEN(C378)-FIND("-",C378))&amp;"|"&amp;LEFT(D378,1)&amp;"|"&amp;LEFT(B378,1)&amp;"|"&amp;Tabela_BaseM[[#This Row],[Valor]]&amp;"|"&amp;Tabela_BaseM[[#This Row],[HISTÓRICO]]&amp;"|"),("|M350|"&amp;LEFT(C378,FIND("-",C378)-1)&amp;"|"&amp;RIGHT(C378,LEN(C378)-FIND("-",C378))&amp;"|"&amp;LEFT(D378,1)&amp;"|"&amp;LEFT(B378,1)&amp;"|"&amp;Tabela_BaseM[[#This Row],[Valor]]&amp;"|"&amp;Tabela_BaseM[[#This Row],[HISTÓRICO]]&amp;"|"))</f>
        <v>#VALUE!</v>
      </c>
    </row>
    <row r="379" spans="10:17" x14ac:dyDescent="0.25">
      <c r="J379" s="11"/>
      <c r="L379" t="str">
        <f>IF(A379="IRPJ",IF(LEFT(B379,1)="1","|M305|",IF(LEFT(B379,1)="2","|M310|",IF(AND(LEFT(B379,1)="3",Tabela_BaseM[[#This Row],[CONTA PARTE B]]&lt;&gt;""),"|M305|",IF(LEFT(B379,1)="4","|M312|","")))),      IF(LEFT(B379,1)="1","|M355|",IF(LEFT(B379,1)="2","|M360|",IF(AND(LEFT(B379,1)="3",Tabela_BaseM[[#This Row],[CONTA PARTE B]]&lt;&gt;""),"|M355|",IF(LEFT(B379,1)="4","|M362|","")))))</f>
        <v/>
      </c>
      <c r="M379" t="str">
        <f>IF(LEFT(Tabela_BaseM[[#This Row],[TIPO RELACIONAMENTO]],1)="3",(IF(A379="IRPJ",IF(LEFT(B379,1)="1","|M305|",IF(LEFT(B379,1)="2","|M310|",IF(LEFT(B379,1)="3","|M310|",IF(LEFT(B379,1)="4","|M312|","")))),IF(LEFT(B379,1)="1","|M355|",IF(LEFT(B379,1)="2","|M360|",IF(LEFT(B379,1)="3","|M360|",IF(LEFT(B379,1)="4","|M362|","")))))),"")</f>
        <v/>
      </c>
      <c r="N37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7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7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79" t="e">
        <f>IF(A379="IRPJ",("|M300|"&amp;LEFT(C379,FIND("-",C379)-1)&amp;"|"&amp;RIGHT(C379,LEN(C379)-FIND("-",C379))&amp;"|"&amp;LEFT(D379,1)&amp;"|"&amp;LEFT(B379,1)&amp;"|"&amp;Tabela_BaseM[[#This Row],[Valor]]&amp;"|"&amp;Tabela_BaseM[[#This Row],[HISTÓRICO]]&amp;"|"),("|M350|"&amp;LEFT(C379,FIND("-",C379)-1)&amp;"|"&amp;RIGHT(C379,LEN(C379)-FIND("-",C379))&amp;"|"&amp;LEFT(D379,1)&amp;"|"&amp;LEFT(B379,1)&amp;"|"&amp;Tabela_BaseM[[#This Row],[Valor]]&amp;"|"&amp;Tabela_BaseM[[#This Row],[HISTÓRICO]]&amp;"|"))</f>
        <v>#VALUE!</v>
      </c>
    </row>
    <row r="380" spans="10:17" x14ac:dyDescent="0.25">
      <c r="J380" s="11"/>
      <c r="L380" t="str">
        <f>IF(A380="IRPJ",IF(LEFT(B380,1)="1","|M305|",IF(LEFT(B380,1)="2","|M310|",IF(AND(LEFT(B380,1)="3",Tabela_BaseM[[#This Row],[CONTA PARTE B]]&lt;&gt;""),"|M305|",IF(LEFT(B380,1)="4","|M312|","")))),      IF(LEFT(B380,1)="1","|M355|",IF(LEFT(B380,1)="2","|M360|",IF(AND(LEFT(B380,1)="3",Tabela_BaseM[[#This Row],[CONTA PARTE B]]&lt;&gt;""),"|M355|",IF(LEFT(B380,1)="4","|M362|","")))))</f>
        <v/>
      </c>
      <c r="M380" t="str">
        <f>IF(LEFT(Tabela_BaseM[[#This Row],[TIPO RELACIONAMENTO]],1)="3",(IF(A380="IRPJ",IF(LEFT(B380,1)="1","|M305|",IF(LEFT(B380,1)="2","|M310|",IF(LEFT(B380,1)="3","|M310|",IF(LEFT(B380,1)="4","|M312|","")))),IF(LEFT(B380,1)="1","|M355|",IF(LEFT(B380,1)="2","|M360|",IF(LEFT(B380,1)="3","|M360|",IF(LEFT(B380,1)="4","|M362|","")))))),"")</f>
        <v/>
      </c>
      <c r="N38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0" t="e">
        <f>IF(A380="IRPJ",("|M300|"&amp;LEFT(C380,FIND("-",C380)-1)&amp;"|"&amp;RIGHT(C380,LEN(C380)-FIND("-",C380))&amp;"|"&amp;LEFT(D380,1)&amp;"|"&amp;LEFT(B380,1)&amp;"|"&amp;Tabela_BaseM[[#This Row],[Valor]]&amp;"|"&amp;Tabela_BaseM[[#This Row],[HISTÓRICO]]&amp;"|"),("|M350|"&amp;LEFT(C380,FIND("-",C380)-1)&amp;"|"&amp;RIGHT(C380,LEN(C380)-FIND("-",C380))&amp;"|"&amp;LEFT(D380,1)&amp;"|"&amp;LEFT(B380,1)&amp;"|"&amp;Tabela_BaseM[[#This Row],[Valor]]&amp;"|"&amp;Tabela_BaseM[[#This Row],[HISTÓRICO]]&amp;"|"))</f>
        <v>#VALUE!</v>
      </c>
    </row>
    <row r="381" spans="10:17" x14ac:dyDescent="0.25">
      <c r="J381" s="11"/>
      <c r="L381" t="str">
        <f>IF(A381="IRPJ",IF(LEFT(B381,1)="1","|M305|",IF(LEFT(B381,1)="2","|M310|",IF(AND(LEFT(B381,1)="3",Tabela_BaseM[[#This Row],[CONTA PARTE B]]&lt;&gt;""),"|M305|",IF(LEFT(B381,1)="4","|M312|","")))),      IF(LEFT(B381,1)="1","|M355|",IF(LEFT(B381,1)="2","|M360|",IF(AND(LEFT(B381,1)="3",Tabela_BaseM[[#This Row],[CONTA PARTE B]]&lt;&gt;""),"|M355|",IF(LEFT(B381,1)="4","|M362|","")))))</f>
        <v/>
      </c>
      <c r="M381" t="str">
        <f>IF(LEFT(Tabela_BaseM[[#This Row],[TIPO RELACIONAMENTO]],1)="3",(IF(A381="IRPJ",IF(LEFT(B381,1)="1","|M305|",IF(LEFT(B381,1)="2","|M310|",IF(LEFT(B381,1)="3","|M310|",IF(LEFT(B381,1)="4","|M312|","")))),IF(LEFT(B381,1)="1","|M355|",IF(LEFT(B381,1)="2","|M360|",IF(LEFT(B381,1)="3","|M360|",IF(LEFT(B381,1)="4","|M362|","")))))),"")</f>
        <v/>
      </c>
      <c r="N38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1" t="e">
        <f>IF(A381="IRPJ",("|M300|"&amp;LEFT(C381,FIND("-",C381)-1)&amp;"|"&amp;RIGHT(C381,LEN(C381)-FIND("-",C381))&amp;"|"&amp;LEFT(D381,1)&amp;"|"&amp;LEFT(B381,1)&amp;"|"&amp;Tabela_BaseM[[#This Row],[Valor]]&amp;"|"&amp;Tabela_BaseM[[#This Row],[HISTÓRICO]]&amp;"|"),("|M350|"&amp;LEFT(C381,FIND("-",C381)-1)&amp;"|"&amp;RIGHT(C381,LEN(C381)-FIND("-",C381))&amp;"|"&amp;LEFT(D381,1)&amp;"|"&amp;LEFT(B381,1)&amp;"|"&amp;Tabela_BaseM[[#This Row],[Valor]]&amp;"|"&amp;Tabela_BaseM[[#This Row],[HISTÓRICO]]&amp;"|"))</f>
        <v>#VALUE!</v>
      </c>
    </row>
    <row r="382" spans="10:17" x14ac:dyDescent="0.25">
      <c r="J382" s="11"/>
      <c r="L382" t="str">
        <f>IF(A382="IRPJ",IF(LEFT(B382,1)="1","|M305|",IF(LEFT(B382,1)="2","|M310|",IF(AND(LEFT(B382,1)="3",Tabela_BaseM[[#This Row],[CONTA PARTE B]]&lt;&gt;""),"|M305|",IF(LEFT(B382,1)="4","|M312|","")))),      IF(LEFT(B382,1)="1","|M355|",IF(LEFT(B382,1)="2","|M360|",IF(AND(LEFT(B382,1)="3",Tabela_BaseM[[#This Row],[CONTA PARTE B]]&lt;&gt;""),"|M355|",IF(LEFT(B382,1)="4","|M362|","")))))</f>
        <v/>
      </c>
      <c r="M382" t="str">
        <f>IF(LEFT(Tabela_BaseM[[#This Row],[TIPO RELACIONAMENTO]],1)="3",(IF(A382="IRPJ",IF(LEFT(B382,1)="1","|M305|",IF(LEFT(B382,1)="2","|M310|",IF(LEFT(B382,1)="3","|M310|",IF(LEFT(B382,1)="4","|M312|","")))),IF(LEFT(B382,1)="1","|M355|",IF(LEFT(B382,1)="2","|M360|",IF(LEFT(B382,1)="3","|M360|",IF(LEFT(B382,1)="4","|M362|","")))))),"")</f>
        <v/>
      </c>
      <c r="N38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2" t="e">
        <f>IF(A382="IRPJ",("|M300|"&amp;LEFT(C382,FIND("-",C382)-1)&amp;"|"&amp;RIGHT(C382,LEN(C382)-FIND("-",C382))&amp;"|"&amp;LEFT(D382,1)&amp;"|"&amp;LEFT(B382,1)&amp;"|"&amp;Tabela_BaseM[[#This Row],[Valor]]&amp;"|"&amp;Tabela_BaseM[[#This Row],[HISTÓRICO]]&amp;"|"),("|M350|"&amp;LEFT(C382,FIND("-",C382)-1)&amp;"|"&amp;RIGHT(C382,LEN(C382)-FIND("-",C382))&amp;"|"&amp;LEFT(D382,1)&amp;"|"&amp;LEFT(B382,1)&amp;"|"&amp;Tabela_BaseM[[#This Row],[Valor]]&amp;"|"&amp;Tabela_BaseM[[#This Row],[HISTÓRICO]]&amp;"|"))</f>
        <v>#VALUE!</v>
      </c>
    </row>
    <row r="383" spans="10:17" x14ac:dyDescent="0.25">
      <c r="J383" s="11"/>
      <c r="L383" t="str">
        <f>IF(A383="IRPJ",IF(LEFT(B383,1)="1","|M305|",IF(LEFT(B383,1)="2","|M310|",IF(AND(LEFT(B383,1)="3",Tabela_BaseM[[#This Row],[CONTA PARTE B]]&lt;&gt;""),"|M305|",IF(LEFT(B383,1)="4","|M312|","")))),      IF(LEFT(B383,1)="1","|M355|",IF(LEFT(B383,1)="2","|M360|",IF(AND(LEFT(B383,1)="3",Tabela_BaseM[[#This Row],[CONTA PARTE B]]&lt;&gt;""),"|M355|",IF(LEFT(B383,1)="4","|M362|","")))))</f>
        <v/>
      </c>
      <c r="M383" t="str">
        <f>IF(LEFT(Tabela_BaseM[[#This Row],[TIPO RELACIONAMENTO]],1)="3",(IF(A383="IRPJ",IF(LEFT(B383,1)="1","|M305|",IF(LEFT(B383,1)="2","|M310|",IF(LEFT(B383,1)="3","|M310|",IF(LEFT(B383,1)="4","|M312|","")))),IF(LEFT(B383,1)="1","|M355|",IF(LEFT(B383,1)="2","|M360|",IF(LEFT(B383,1)="3","|M360|",IF(LEFT(B383,1)="4","|M362|","")))))),"")</f>
        <v/>
      </c>
      <c r="N38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3" t="e">
        <f>IF(A383="IRPJ",("|M300|"&amp;LEFT(C383,FIND("-",C383)-1)&amp;"|"&amp;RIGHT(C383,LEN(C383)-FIND("-",C383))&amp;"|"&amp;LEFT(D383,1)&amp;"|"&amp;LEFT(B383,1)&amp;"|"&amp;Tabela_BaseM[[#This Row],[Valor]]&amp;"|"&amp;Tabela_BaseM[[#This Row],[HISTÓRICO]]&amp;"|"),("|M350|"&amp;LEFT(C383,FIND("-",C383)-1)&amp;"|"&amp;RIGHT(C383,LEN(C383)-FIND("-",C383))&amp;"|"&amp;LEFT(D383,1)&amp;"|"&amp;LEFT(B383,1)&amp;"|"&amp;Tabela_BaseM[[#This Row],[Valor]]&amp;"|"&amp;Tabela_BaseM[[#This Row],[HISTÓRICO]]&amp;"|"))</f>
        <v>#VALUE!</v>
      </c>
    </row>
    <row r="384" spans="10:17" x14ac:dyDescent="0.25">
      <c r="J384" s="11"/>
      <c r="L384" t="str">
        <f>IF(A384="IRPJ",IF(LEFT(B384,1)="1","|M305|",IF(LEFT(B384,1)="2","|M310|",IF(AND(LEFT(B384,1)="3",Tabela_BaseM[[#This Row],[CONTA PARTE B]]&lt;&gt;""),"|M305|",IF(LEFT(B384,1)="4","|M312|","")))),      IF(LEFT(B384,1)="1","|M355|",IF(LEFT(B384,1)="2","|M360|",IF(AND(LEFT(B384,1)="3",Tabela_BaseM[[#This Row],[CONTA PARTE B]]&lt;&gt;""),"|M355|",IF(LEFT(B384,1)="4","|M362|","")))))</f>
        <v/>
      </c>
      <c r="M384" t="str">
        <f>IF(LEFT(Tabela_BaseM[[#This Row],[TIPO RELACIONAMENTO]],1)="3",(IF(A384="IRPJ",IF(LEFT(B384,1)="1","|M305|",IF(LEFT(B384,1)="2","|M310|",IF(LEFT(B384,1)="3","|M310|",IF(LEFT(B384,1)="4","|M312|","")))),IF(LEFT(B384,1)="1","|M355|",IF(LEFT(B384,1)="2","|M360|",IF(LEFT(B384,1)="3","|M360|",IF(LEFT(B384,1)="4","|M362|","")))))),"")</f>
        <v/>
      </c>
      <c r="N38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4" t="e">
        <f>IF(A384="IRPJ",("|M300|"&amp;LEFT(C384,FIND("-",C384)-1)&amp;"|"&amp;RIGHT(C384,LEN(C384)-FIND("-",C384))&amp;"|"&amp;LEFT(D384,1)&amp;"|"&amp;LEFT(B384,1)&amp;"|"&amp;Tabela_BaseM[[#This Row],[Valor]]&amp;"|"&amp;Tabela_BaseM[[#This Row],[HISTÓRICO]]&amp;"|"),("|M350|"&amp;LEFT(C384,FIND("-",C384)-1)&amp;"|"&amp;RIGHT(C384,LEN(C384)-FIND("-",C384))&amp;"|"&amp;LEFT(D384,1)&amp;"|"&amp;LEFT(B384,1)&amp;"|"&amp;Tabela_BaseM[[#This Row],[Valor]]&amp;"|"&amp;Tabela_BaseM[[#This Row],[HISTÓRICO]]&amp;"|"))</f>
        <v>#VALUE!</v>
      </c>
    </row>
    <row r="385" spans="10:17" x14ac:dyDescent="0.25">
      <c r="J385" s="11"/>
      <c r="L385" t="str">
        <f>IF(A385="IRPJ",IF(LEFT(B385,1)="1","|M305|",IF(LEFT(B385,1)="2","|M310|",IF(AND(LEFT(B385,1)="3",Tabela_BaseM[[#This Row],[CONTA PARTE B]]&lt;&gt;""),"|M305|",IF(LEFT(B385,1)="4","|M312|","")))),      IF(LEFT(B385,1)="1","|M355|",IF(LEFT(B385,1)="2","|M360|",IF(AND(LEFT(B385,1)="3",Tabela_BaseM[[#This Row],[CONTA PARTE B]]&lt;&gt;""),"|M355|",IF(LEFT(B385,1)="4","|M362|","")))))</f>
        <v/>
      </c>
      <c r="M385" t="str">
        <f>IF(LEFT(Tabela_BaseM[[#This Row],[TIPO RELACIONAMENTO]],1)="3",(IF(A385="IRPJ",IF(LEFT(B385,1)="1","|M305|",IF(LEFT(B385,1)="2","|M310|",IF(LEFT(B385,1)="3","|M310|",IF(LEFT(B385,1)="4","|M312|","")))),IF(LEFT(B385,1)="1","|M355|",IF(LEFT(B385,1)="2","|M360|",IF(LEFT(B385,1)="3","|M360|",IF(LEFT(B385,1)="4","|M362|","")))))),"")</f>
        <v/>
      </c>
      <c r="N38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5" t="e">
        <f>IF(A385="IRPJ",("|M300|"&amp;LEFT(C385,FIND("-",C385)-1)&amp;"|"&amp;RIGHT(C385,LEN(C385)-FIND("-",C385))&amp;"|"&amp;LEFT(D385,1)&amp;"|"&amp;LEFT(B385,1)&amp;"|"&amp;Tabela_BaseM[[#This Row],[Valor]]&amp;"|"&amp;Tabela_BaseM[[#This Row],[HISTÓRICO]]&amp;"|"),("|M350|"&amp;LEFT(C385,FIND("-",C385)-1)&amp;"|"&amp;RIGHT(C385,LEN(C385)-FIND("-",C385))&amp;"|"&amp;LEFT(D385,1)&amp;"|"&amp;LEFT(B385,1)&amp;"|"&amp;Tabela_BaseM[[#This Row],[Valor]]&amp;"|"&amp;Tabela_BaseM[[#This Row],[HISTÓRICO]]&amp;"|"))</f>
        <v>#VALUE!</v>
      </c>
    </row>
    <row r="386" spans="10:17" x14ac:dyDescent="0.25">
      <c r="J386" s="11"/>
      <c r="L386" t="str">
        <f>IF(A386="IRPJ",IF(LEFT(B386,1)="1","|M305|",IF(LEFT(B386,1)="2","|M310|",IF(AND(LEFT(B386,1)="3",Tabela_BaseM[[#This Row],[CONTA PARTE B]]&lt;&gt;""),"|M305|",IF(LEFT(B386,1)="4","|M312|","")))),      IF(LEFT(B386,1)="1","|M355|",IF(LEFT(B386,1)="2","|M360|",IF(AND(LEFT(B386,1)="3",Tabela_BaseM[[#This Row],[CONTA PARTE B]]&lt;&gt;""),"|M355|",IF(LEFT(B386,1)="4","|M362|","")))))</f>
        <v/>
      </c>
      <c r="M386" t="str">
        <f>IF(LEFT(Tabela_BaseM[[#This Row],[TIPO RELACIONAMENTO]],1)="3",(IF(A386="IRPJ",IF(LEFT(B386,1)="1","|M305|",IF(LEFT(B386,1)="2","|M310|",IF(LEFT(B386,1)="3","|M310|",IF(LEFT(B386,1)="4","|M312|","")))),IF(LEFT(B386,1)="1","|M355|",IF(LEFT(B386,1)="2","|M360|",IF(LEFT(B386,1)="3","|M360|",IF(LEFT(B386,1)="4","|M362|","")))))),"")</f>
        <v/>
      </c>
      <c r="N38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6" t="e">
        <f>IF(A386="IRPJ",("|M300|"&amp;LEFT(C386,FIND("-",C386)-1)&amp;"|"&amp;RIGHT(C386,LEN(C386)-FIND("-",C386))&amp;"|"&amp;LEFT(D386,1)&amp;"|"&amp;LEFT(B386,1)&amp;"|"&amp;Tabela_BaseM[[#This Row],[Valor]]&amp;"|"&amp;Tabela_BaseM[[#This Row],[HISTÓRICO]]&amp;"|"),("|M350|"&amp;LEFT(C386,FIND("-",C386)-1)&amp;"|"&amp;RIGHT(C386,LEN(C386)-FIND("-",C386))&amp;"|"&amp;LEFT(D386,1)&amp;"|"&amp;LEFT(B386,1)&amp;"|"&amp;Tabela_BaseM[[#This Row],[Valor]]&amp;"|"&amp;Tabela_BaseM[[#This Row],[HISTÓRICO]]&amp;"|"))</f>
        <v>#VALUE!</v>
      </c>
    </row>
    <row r="387" spans="10:17" x14ac:dyDescent="0.25">
      <c r="J387" s="11"/>
      <c r="L387" t="str">
        <f>IF(A387="IRPJ",IF(LEFT(B387,1)="1","|M305|",IF(LEFT(B387,1)="2","|M310|",IF(AND(LEFT(B387,1)="3",Tabela_BaseM[[#This Row],[CONTA PARTE B]]&lt;&gt;""),"|M305|",IF(LEFT(B387,1)="4","|M312|","")))),      IF(LEFT(B387,1)="1","|M355|",IF(LEFT(B387,1)="2","|M360|",IF(AND(LEFT(B387,1)="3",Tabela_BaseM[[#This Row],[CONTA PARTE B]]&lt;&gt;""),"|M355|",IF(LEFT(B387,1)="4","|M362|","")))))</f>
        <v/>
      </c>
      <c r="M387" t="str">
        <f>IF(LEFT(Tabela_BaseM[[#This Row],[TIPO RELACIONAMENTO]],1)="3",(IF(A387="IRPJ",IF(LEFT(B387,1)="1","|M305|",IF(LEFT(B387,1)="2","|M310|",IF(LEFT(B387,1)="3","|M310|",IF(LEFT(B387,1)="4","|M312|","")))),IF(LEFT(B387,1)="1","|M355|",IF(LEFT(B387,1)="2","|M360|",IF(LEFT(B387,1)="3","|M360|",IF(LEFT(B387,1)="4","|M362|","")))))),"")</f>
        <v/>
      </c>
      <c r="N38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7" t="e">
        <f>IF(A387="IRPJ",("|M300|"&amp;LEFT(C387,FIND("-",C387)-1)&amp;"|"&amp;RIGHT(C387,LEN(C387)-FIND("-",C387))&amp;"|"&amp;LEFT(D387,1)&amp;"|"&amp;LEFT(B387,1)&amp;"|"&amp;Tabela_BaseM[[#This Row],[Valor]]&amp;"|"&amp;Tabela_BaseM[[#This Row],[HISTÓRICO]]&amp;"|"),("|M350|"&amp;LEFT(C387,FIND("-",C387)-1)&amp;"|"&amp;RIGHT(C387,LEN(C387)-FIND("-",C387))&amp;"|"&amp;LEFT(D387,1)&amp;"|"&amp;LEFT(B387,1)&amp;"|"&amp;Tabela_BaseM[[#This Row],[Valor]]&amp;"|"&amp;Tabela_BaseM[[#This Row],[HISTÓRICO]]&amp;"|"))</f>
        <v>#VALUE!</v>
      </c>
    </row>
    <row r="388" spans="10:17" x14ac:dyDescent="0.25">
      <c r="J388" s="11"/>
      <c r="L388" t="str">
        <f>IF(A388="IRPJ",IF(LEFT(B388,1)="1","|M305|",IF(LEFT(B388,1)="2","|M310|",IF(AND(LEFT(B388,1)="3",Tabela_BaseM[[#This Row],[CONTA PARTE B]]&lt;&gt;""),"|M305|",IF(LEFT(B388,1)="4","|M312|","")))),      IF(LEFT(B388,1)="1","|M355|",IF(LEFT(B388,1)="2","|M360|",IF(AND(LEFT(B388,1)="3",Tabela_BaseM[[#This Row],[CONTA PARTE B]]&lt;&gt;""),"|M355|",IF(LEFT(B388,1)="4","|M362|","")))))</f>
        <v/>
      </c>
      <c r="M388" t="str">
        <f>IF(LEFT(Tabela_BaseM[[#This Row],[TIPO RELACIONAMENTO]],1)="3",(IF(A388="IRPJ",IF(LEFT(B388,1)="1","|M305|",IF(LEFT(B388,1)="2","|M310|",IF(LEFT(B388,1)="3","|M310|",IF(LEFT(B388,1)="4","|M312|","")))),IF(LEFT(B388,1)="1","|M355|",IF(LEFT(B388,1)="2","|M360|",IF(LEFT(B388,1)="3","|M360|",IF(LEFT(B388,1)="4","|M362|","")))))),"")</f>
        <v/>
      </c>
      <c r="N388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8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8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8" t="e">
        <f>IF(A388="IRPJ",("|M300|"&amp;LEFT(C388,FIND("-",C388)-1)&amp;"|"&amp;RIGHT(C388,LEN(C388)-FIND("-",C388))&amp;"|"&amp;LEFT(D388,1)&amp;"|"&amp;LEFT(B388,1)&amp;"|"&amp;Tabela_BaseM[[#This Row],[Valor]]&amp;"|"&amp;Tabela_BaseM[[#This Row],[HISTÓRICO]]&amp;"|"),("|M350|"&amp;LEFT(C388,FIND("-",C388)-1)&amp;"|"&amp;RIGHT(C388,LEN(C388)-FIND("-",C388))&amp;"|"&amp;LEFT(D388,1)&amp;"|"&amp;LEFT(B388,1)&amp;"|"&amp;Tabela_BaseM[[#This Row],[Valor]]&amp;"|"&amp;Tabela_BaseM[[#This Row],[HISTÓRICO]]&amp;"|"))</f>
        <v>#VALUE!</v>
      </c>
    </row>
    <row r="389" spans="10:17" x14ac:dyDescent="0.25">
      <c r="J389" s="11"/>
      <c r="L389" t="str">
        <f>IF(A389="IRPJ",IF(LEFT(B389,1)="1","|M305|",IF(LEFT(B389,1)="2","|M310|",IF(AND(LEFT(B389,1)="3",Tabela_BaseM[[#This Row],[CONTA PARTE B]]&lt;&gt;""),"|M305|",IF(LEFT(B389,1)="4","|M312|","")))),      IF(LEFT(B389,1)="1","|M355|",IF(LEFT(B389,1)="2","|M360|",IF(AND(LEFT(B389,1)="3",Tabela_BaseM[[#This Row],[CONTA PARTE B]]&lt;&gt;""),"|M355|",IF(LEFT(B389,1)="4","|M362|","")))))</f>
        <v/>
      </c>
      <c r="M389" t="str">
        <f>IF(LEFT(Tabela_BaseM[[#This Row],[TIPO RELACIONAMENTO]],1)="3",(IF(A389="IRPJ",IF(LEFT(B389,1)="1","|M305|",IF(LEFT(B389,1)="2","|M310|",IF(LEFT(B389,1)="3","|M310|",IF(LEFT(B389,1)="4","|M312|","")))),IF(LEFT(B389,1)="1","|M355|",IF(LEFT(B389,1)="2","|M360|",IF(LEFT(B389,1)="3","|M360|",IF(LEFT(B389,1)="4","|M362|","")))))),"")</f>
        <v/>
      </c>
      <c r="N389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89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89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89" t="e">
        <f>IF(A389="IRPJ",("|M300|"&amp;LEFT(C389,FIND("-",C389)-1)&amp;"|"&amp;RIGHT(C389,LEN(C389)-FIND("-",C389))&amp;"|"&amp;LEFT(D389,1)&amp;"|"&amp;LEFT(B389,1)&amp;"|"&amp;Tabela_BaseM[[#This Row],[Valor]]&amp;"|"&amp;Tabela_BaseM[[#This Row],[HISTÓRICO]]&amp;"|"),("|M350|"&amp;LEFT(C389,FIND("-",C389)-1)&amp;"|"&amp;RIGHT(C389,LEN(C389)-FIND("-",C389))&amp;"|"&amp;LEFT(D389,1)&amp;"|"&amp;LEFT(B389,1)&amp;"|"&amp;Tabela_BaseM[[#This Row],[Valor]]&amp;"|"&amp;Tabela_BaseM[[#This Row],[HISTÓRICO]]&amp;"|"))</f>
        <v>#VALUE!</v>
      </c>
    </row>
    <row r="390" spans="10:17" x14ac:dyDescent="0.25">
      <c r="J390" s="11"/>
      <c r="L390" t="str">
        <f>IF(A390="IRPJ",IF(LEFT(B390,1)="1","|M305|",IF(LEFT(B390,1)="2","|M310|",IF(AND(LEFT(B390,1)="3",Tabela_BaseM[[#This Row],[CONTA PARTE B]]&lt;&gt;""),"|M305|",IF(LEFT(B390,1)="4","|M312|","")))),      IF(LEFT(B390,1)="1","|M355|",IF(LEFT(B390,1)="2","|M360|",IF(AND(LEFT(B390,1)="3",Tabela_BaseM[[#This Row],[CONTA PARTE B]]&lt;&gt;""),"|M355|",IF(LEFT(B390,1)="4","|M362|","")))))</f>
        <v/>
      </c>
      <c r="M390" t="str">
        <f>IF(LEFT(Tabela_BaseM[[#This Row],[TIPO RELACIONAMENTO]],1)="3",(IF(A390="IRPJ",IF(LEFT(B390,1)="1","|M305|",IF(LEFT(B390,1)="2","|M310|",IF(LEFT(B390,1)="3","|M310|",IF(LEFT(B390,1)="4","|M312|","")))),IF(LEFT(B390,1)="1","|M355|",IF(LEFT(B390,1)="2","|M360|",IF(LEFT(B390,1)="3","|M360|",IF(LEFT(B390,1)="4","|M362|","")))))),"")</f>
        <v/>
      </c>
      <c r="N390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0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0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0" t="e">
        <f>IF(A390="IRPJ",("|M300|"&amp;LEFT(C390,FIND("-",C390)-1)&amp;"|"&amp;RIGHT(C390,LEN(C390)-FIND("-",C390))&amp;"|"&amp;LEFT(D390,1)&amp;"|"&amp;LEFT(B390,1)&amp;"|"&amp;Tabela_BaseM[[#This Row],[Valor]]&amp;"|"&amp;Tabela_BaseM[[#This Row],[HISTÓRICO]]&amp;"|"),("|M350|"&amp;LEFT(C390,FIND("-",C390)-1)&amp;"|"&amp;RIGHT(C390,LEN(C390)-FIND("-",C390))&amp;"|"&amp;LEFT(D390,1)&amp;"|"&amp;LEFT(B390,1)&amp;"|"&amp;Tabela_BaseM[[#This Row],[Valor]]&amp;"|"&amp;Tabela_BaseM[[#This Row],[HISTÓRICO]]&amp;"|"))</f>
        <v>#VALUE!</v>
      </c>
    </row>
    <row r="391" spans="10:17" x14ac:dyDescent="0.25">
      <c r="J391" s="11"/>
      <c r="L391" t="str">
        <f>IF(A391="IRPJ",IF(LEFT(B391,1)="1","|M305|",IF(LEFT(B391,1)="2","|M310|",IF(AND(LEFT(B391,1)="3",Tabela_BaseM[[#This Row],[CONTA PARTE B]]&lt;&gt;""),"|M305|",IF(LEFT(B391,1)="4","|M312|","")))),      IF(LEFT(B391,1)="1","|M355|",IF(LEFT(B391,1)="2","|M360|",IF(AND(LEFT(B391,1)="3",Tabela_BaseM[[#This Row],[CONTA PARTE B]]&lt;&gt;""),"|M355|",IF(LEFT(B391,1)="4","|M362|","")))))</f>
        <v/>
      </c>
      <c r="M391" t="str">
        <f>IF(LEFT(Tabela_BaseM[[#This Row],[TIPO RELACIONAMENTO]],1)="3",(IF(A391="IRPJ",IF(LEFT(B391,1)="1","|M305|",IF(LEFT(B391,1)="2","|M310|",IF(LEFT(B391,1)="3","|M310|",IF(LEFT(B391,1)="4","|M312|","")))),IF(LEFT(B391,1)="1","|M355|",IF(LEFT(B391,1)="2","|M360|",IF(LEFT(B391,1)="3","|M360|",IF(LEFT(B391,1)="4","|M362|","")))))),"")</f>
        <v/>
      </c>
      <c r="N391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1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1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1" t="e">
        <f>IF(A391="IRPJ",("|M300|"&amp;LEFT(C391,FIND("-",C391)-1)&amp;"|"&amp;RIGHT(C391,LEN(C391)-FIND("-",C391))&amp;"|"&amp;LEFT(D391,1)&amp;"|"&amp;LEFT(B391,1)&amp;"|"&amp;Tabela_BaseM[[#This Row],[Valor]]&amp;"|"&amp;Tabela_BaseM[[#This Row],[HISTÓRICO]]&amp;"|"),("|M350|"&amp;LEFT(C391,FIND("-",C391)-1)&amp;"|"&amp;RIGHT(C391,LEN(C391)-FIND("-",C391))&amp;"|"&amp;LEFT(D391,1)&amp;"|"&amp;LEFT(B391,1)&amp;"|"&amp;Tabela_BaseM[[#This Row],[Valor]]&amp;"|"&amp;Tabela_BaseM[[#This Row],[HISTÓRICO]]&amp;"|"))</f>
        <v>#VALUE!</v>
      </c>
    </row>
    <row r="392" spans="10:17" x14ac:dyDescent="0.25">
      <c r="J392" s="11"/>
      <c r="L392" t="str">
        <f>IF(A392="IRPJ",IF(LEFT(B392,1)="1","|M305|",IF(LEFT(B392,1)="2","|M310|",IF(AND(LEFT(B392,1)="3",Tabela_BaseM[[#This Row],[CONTA PARTE B]]&lt;&gt;""),"|M305|",IF(LEFT(B392,1)="4","|M312|","")))),      IF(LEFT(B392,1)="1","|M355|",IF(LEFT(B392,1)="2","|M360|",IF(AND(LEFT(B392,1)="3",Tabela_BaseM[[#This Row],[CONTA PARTE B]]&lt;&gt;""),"|M355|",IF(LEFT(B392,1)="4","|M362|","")))))</f>
        <v/>
      </c>
      <c r="M392" t="str">
        <f>IF(LEFT(Tabela_BaseM[[#This Row],[TIPO RELACIONAMENTO]],1)="3",(IF(A392="IRPJ",IF(LEFT(B392,1)="1","|M305|",IF(LEFT(B392,1)="2","|M310|",IF(LEFT(B392,1)="3","|M310|",IF(LEFT(B392,1)="4","|M312|","")))),IF(LEFT(B392,1)="1","|M355|",IF(LEFT(B392,1)="2","|M360|",IF(LEFT(B392,1)="3","|M360|",IF(LEFT(B392,1)="4","|M362|","")))))),"")</f>
        <v/>
      </c>
      <c r="N392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2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2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2" t="e">
        <f>IF(A392="IRPJ",("|M300|"&amp;LEFT(C392,FIND("-",C392)-1)&amp;"|"&amp;RIGHT(C392,LEN(C392)-FIND("-",C392))&amp;"|"&amp;LEFT(D392,1)&amp;"|"&amp;LEFT(B392,1)&amp;"|"&amp;Tabela_BaseM[[#This Row],[Valor]]&amp;"|"&amp;Tabela_BaseM[[#This Row],[HISTÓRICO]]&amp;"|"),("|M350|"&amp;LEFT(C392,FIND("-",C392)-1)&amp;"|"&amp;RIGHT(C392,LEN(C392)-FIND("-",C392))&amp;"|"&amp;LEFT(D392,1)&amp;"|"&amp;LEFT(B392,1)&amp;"|"&amp;Tabela_BaseM[[#This Row],[Valor]]&amp;"|"&amp;Tabela_BaseM[[#This Row],[HISTÓRICO]]&amp;"|"))</f>
        <v>#VALUE!</v>
      </c>
    </row>
    <row r="393" spans="10:17" x14ac:dyDescent="0.25">
      <c r="J393" s="11"/>
      <c r="L393" t="str">
        <f>IF(A393="IRPJ",IF(LEFT(B393,1)="1","|M305|",IF(LEFT(B393,1)="2","|M310|",IF(AND(LEFT(B393,1)="3",Tabela_BaseM[[#This Row],[CONTA PARTE B]]&lt;&gt;""),"|M305|",IF(LEFT(B393,1)="4","|M312|","")))),      IF(LEFT(B393,1)="1","|M355|",IF(LEFT(B393,1)="2","|M360|",IF(AND(LEFT(B393,1)="3",Tabela_BaseM[[#This Row],[CONTA PARTE B]]&lt;&gt;""),"|M355|",IF(LEFT(B393,1)="4","|M362|","")))))</f>
        <v/>
      </c>
      <c r="M393" t="str">
        <f>IF(LEFT(Tabela_BaseM[[#This Row],[TIPO RELACIONAMENTO]],1)="3",(IF(A393="IRPJ",IF(LEFT(B393,1)="1","|M305|",IF(LEFT(B393,1)="2","|M310|",IF(LEFT(B393,1)="3","|M310|",IF(LEFT(B393,1)="4","|M312|","")))),IF(LEFT(B393,1)="1","|M355|",IF(LEFT(B393,1)="2","|M360|",IF(LEFT(B393,1)="3","|M360|",IF(LEFT(B393,1)="4","|M362|","")))))),"")</f>
        <v/>
      </c>
      <c r="N393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3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3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3" t="e">
        <f>IF(A393="IRPJ",("|M300|"&amp;LEFT(C393,FIND("-",C393)-1)&amp;"|"&amp;RIGHT(C393,LEN(C393)-FIND("-",C393))&amp;"|"&amp;LEFT(D393,1)&amp;"|"&amp;LEFT(B393,1)&amp;"|"&amp;Tabela_BaseM[[#This Row],[Valor]]&amp;"|"&amp;Tabela_BaseM[[#This Row],[HISTÓRICO]]&amp;"|"),("|M350|"&amp;LEFT(C393,FIND("-",C393)-1)&amp;"|"&amp;RIGHT(C393,LEN(C393)-FIND("-",C393))&amp;"|"&amp;LEFT(D393,1)&amp;"|"&amp;LEFT(B393,1)&amp;"|"&amp;Tabela_BaseM[[#This Row],[Valor]]&amp;"|"&amp;Tabela_BaseM[[#This Row],[HISTÓRICO]]&amp;"|"))</f>
        <v>#VALUE!</v>
      </c>
    </row>
    <row r="394" spans="10:17" x14ac:dyDescent="0.25">
      <c r="J394" s="11"/>
      <c r="L394" t="str">
        <f>IF(A394="IRPJ",IF(LEFT(B394,1)="1","|M305|",IF(LEFT(B394,1)="2","|M310|",IF(AND(LEFT(B394,1)="3",Tabela_BaseM[[#This Row],[CONTA PARTE B]]&lt;&gt;""),"|M305|",IF(LEFT(B394,1)="4","|M312|","")))),      IF(LEFT(B394,1)="1","|M355|",IF(LEFT(B394,1)="2","|M360|",IF(AND(LEFT(B394,1)="3",Tabela_BaseM[[#This Row],[CONTA PARTE B]]&lt;&gt;""),"|M355|",IF(LEFT(B394,1)="4","|M362|","")))))</f>
        <v/>
      </c>
      <c r="M394" t="str">
        <f>IF(LEFT(Tabela_BaseM[[#This Row],[TIPO RELACIONAMENTO]],1)="3",(IF(A394="IRPJ",IF(LEFT(B394,1)="1","|M305|",IF(LEFT(B394,1)="2","|M310|",IF(LEFT(B394,1)="3","|M310|",IF(LEFT(B394,1)="4","|M312|","")))),IF(LEFT(B394,1)="1","|M355|",IF(LEFT(B394,1)="2","|M360|",IF(LEFT(B394,1)="3","|M360|",IF(LEFT(B394,1)="4","|M362|","")))))),"")</f>
        <v/>
      </c>
      <c r="N394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4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4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4" t="e">
        <f>IF(A394="IRPJ",("|M300|"&amp;LEFT(C394,FIND("-",C394)-1)&amp;"|"&amp;RIGHT(C394,LEN(C394)-FIND("-",C394))&amp;"|"&amp;LEFT(D394,1)&amp;"|"&amp;LEFT(B394,1)&amp;"|"&amp;Tabela_BaseM[[#This Row],[Valor]]&amp;"|"&amp;Tabela_BaseM[[#This Row],[HISTÓRICO]]&amp;"|"),("|M350|"&amp;LEFT(C394,FIND("-",C394)-1)&amp;"|"&amp;RIGHT(C394,LEN(C394)-FIND("-",C394))&amp;"|"&amp;LEFT(D394,1)&amp;"|"&amp;LEFT(B394,1)&amp;"|"&amp;Tabela_BaseM[[#This Row],[Valor]]&amp;"|"&amp;Tabela_BaseM[[#This Row],[HISTÓRICO]]&amp;"|"))</f>
        <v>#VALUE!</v>
      </c>
    </row>
    <row r="395" spans="10:17" x14ac:dyDescent="0.25">
      <c r="J395" s="11"/>
      <c r="L395" t="str">
        <f>IF(A395="IRPJ",IF(LEFT(B395,1)="1","|M305|",IF(LEFT(B395,1)="2","|M310|",IF(AND(LEFT(B395,1)="3",Tabela_BaseM[[#This Row],[CONTA PARTE B]]&lt;&gt;""),"|M305|",IF(LEFT(B395,1)="4","|M312|","")))),      IF(LEFT(B395,1)="1","|M355|",IF(LEFT(B395,1)="2","|M360|",IF(AND(LEFT(B395,1)="3",Tabela_BaseM[[#This Row],[CONTA PARTE B]]&lt;&gt;""),"|M355|",IF(LEFT(B395,1)="4","|M362|","")))))</f>
        <v/>
      </c>
      <c r="M395" t="str">
        <f>IF(LEFT(Tabela_BaseM[[#This Row],[TIPO RELACIONAMENTO]],1)="3",(IF(A395="IRPJ",IF(LEFT(B395,1)="1","|M305|",IF(LEFT(B395,1)="2","|M310|",IF(LEFT(B395,1)="3","|M310|",IF(LEFT(B395,1)="4","|M312|","")))),IF(LEFT(B395,1)="1","|M355|",IF(LEFT(B395,1)="2","|M360|",IF(LEFT(B395,1)="3","|M360|",IF(LEFT(B395,1)="4","|M362|","")))))),"")</f>
        <v/>
      </c>
      <c r="N395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5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5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5" t="e">
        <f>IF(A395="IRPJ",("|M300|"&amp;LEFT(C395,FIND("-",C395)-1)&amp;"|"&amp;RIGHT(C395,LEN(C395)-FIND("-",C395))&amp;"|"&amp;LEFT(D395,1)&amp;"|"&amp;LEFT(B395,1)&amp;"|"&amp;Tabela_BaseM[[#This Row],[Valor]]&amp;"|"&amp;Tabela_BaseM[[#This Row],[HISTÓRICO]]&amp;"|"),("|M350|"&amp;LEFT(C395,FIND("-",C395)-1)&amp;"|"&amp;RIGHT(C395,LEN(C395)-FIND("-",C395))&amp;"|"&amp;LEFT(D395,1)&amp;"|"&amp;LEFT(B395,1)&amp;"|"&amp;Tabela_BaseM[[#This Row],[Valor]]&amp;"|"&amp;Tabela_BaseM[[#This Row],[HISTÓRICO]]&amp;"|"))</f>
        <v>#VALUE!</v>
      </c>
    </row>
    <row r="396" spans="10:17" x14ac:dyDescent="0.25">
      <c r="J396" s="11"/>
      <c r="L396" t="str">
        <f>IF(A396="IRPJ",IF(LEFT(B396,1)="1","|M305|",IF(LEFT(B396,1)="2","|M310|",IF(AND(LEFT(B396,1)="3",Tabela_BaseM[[#This Row],[CONTA PARTE B]]&lt;&gt;""),"|M305|",IF(LEFT(B396,1)="4","|M312|","")))),      IF(LEFT(B396,1)="1","|M355|",IF(LEFT(B396,1)="2","|M360|",IF(AND(LEFT(B396,1)="3",Tabela_BaseM[[#This Row],[CONTA PARTE B]]&lt;&gt;""),"|M355|",IF(LEFT(B396,1)="4","|M362|","")))))</f>
        <v/>
      </c>
      <c r="M396" t="str">
        <f>IF(LEFT(Tabela_BaseM[[#This Row],[TIPO RELACIONAMENTO]],1)="3",(IF(A396="IRPJ",IF(LEFT(B396,1)="1","|M305|",IF(LEFT(B396,1)="2","|M310|",IF(LEFT(B396,1)="3","|M310|",IF(LEFT(B396,1)="4","|M312|","")))),IF(LEFT(B396,1)="1","|M355|",IF(LEFT(B396,1)="2","|M360|",IF(LEFT(B396,1)="3","|M360|",IF(LEFT(B396,1)="4","|M362|","")))))),"")</f>
        <v/>
      </c>
      <c r="N396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6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6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6" t="e">
        <f>IF(A396="IRPJ",("|M300|"&amp;LEFT(C396,FIND("-",C396)-1)&amp;"|"&amp;RIGHT(C396,LEN(C396)-FIND("-",C396))&amp;"|"&amp;LEFT(D396,1)&amp;"|"&amp;LEFT(B396,1)&amp;"|"&amp;Tabela_BaseM[[#This Row],[Valor]]&amp;"|"&amp;Tabela_BaseM[[#This Row],[HISTÓRICO]]&amp;"|"),("|M350|"&amp;LEFT(C396,FIND("-",C396)-1)&amp;"|"&amp;RIGHT(C396,LEN(C396)-FIND("-",C396))&amp;"|"&amp;LEFT(D396,1)&amp;"|"&amp;LEFT(B396,1)&amp;"|"&amp;Tabela_BaseM[[#This Row],[Valor]]&amp;"|"&amp;Tabela_BaseM[[#This Row],[HISTÓRICO]]&amp;"|"))</f>
        <v>#VALUE!</v>
      </c>
    </row>
    <row r="397" spans="10:17" x14ac:dyDescent="0.25">
      <c r="J397" s="11"/>
      <c r="L397" t="str">
        <f>IF(A397="IRPJ",IF(LEFT(B397,1)="1","|M305|",IF(LEFT(B397,1)="2","|M310|",IF(AND(LEFT(B397,1)="3",Tabela_BaseM[[#This Row],[CONTA PARTE B]]&lt;&gt;""),"|M305|",IF(LEFT(B397,1)="4","|M312|","")))),      IF(LEFT(B397,1)="1","|M355|",IF(LEFT(B397,1)="2","|M360|",IF(AND(LEFT(B397,1)="3",Tabela_BaseM[[#This Row],[CONTA PARTE B]]&lt;&gt;""),"|M355|",IF(LEFT(B397,1)="4","|M362|","")))))</f>
        <v/>
      </c>
      <c r="M397" t="str">
        <f>IF(LEFT(Tabela_BaseM[[#This Row],[TIPO RELACIONAMENTO]],1)="3",(IF(A397="IRPJ",IF(LEFT(B397,1)="1","|M305|",IF(LEFT(B397,1)="2","|M310|",IF(LEFT(B397,1)="3","|M310|",IF(LEFT(B397,1)="4","|M312|","")))),IF(LEFT(B397,1)="1","|M355|",IF(LEFT(B397,1)="2","|M360|",IF(LEFT(B397,1)="3","|M360|",IF(LEFT(B397,1)="4","|M362|","")))))),"")</f>
        <v/>
      </c>
      <c r="N397" t="str">
        <f>IF(OR(Tabela_BaseM[[#This Row],[tipo Registro 3CCTB]]="|M310|",Tabela_BaseM[[#This Row],[tipo Registro 3CCTB]]="|M360|"),(Tabela_BaseM[[#This Row],[tipo Registro 3CCTB]]&amp;Tabela_BaseM[[#This Row],[CONTA]]&amp;"||"&amp;Tabela_BaseM[[#This Row],[Valor]]&amp;"|"&amp;IF(LEFT(Tabela_BaseM[[#This Row],[AD/EX]],1)="A","D","C")&amp;"|"),IF(OR(Tabela_BaseM[[#This Row],[tipo Registro 3CCTB]]="|M305|",Tabela_BaseM[[#This Row],[tipo Registro 3CCTB]]="|M355|"),(Tabela_BaseM[[#This Row],[tipo Registro 3CCTB]]&amp;Tabela_BaseM[[#This Row],[CONTA PARTE B]]&amp;"|"&amp;Tabela_BaseM[[#This Row],[Valor]]&amp;"|"&amp;IF(LEFT(Tabela_BaseM[[#This Row],[AD/EX]],1)="A","D","C")&amp;"|"),"VER"))</f>
        <v>VER</v>
      </c>
      <c r="O397" t="str">
        <f>IF(OR(Tabela_BaseM[[#This Row],[tipo registro 3 PARTE B]]="|M310|",Tabela_BaseM[[#This Row],[tipo registro 3 PARTE B]]="|M360|"),(Tabela_BaseM[[#This Row],[tipo registro 3 PARTE B]]&amp;Tabela_BaseM[[#This Row],[CONTA]]&amp;"||"&amp;Tabela_BaseM[[#This Row],[Valor]]&amp;"|"&amp;IF(LEFT(Tabela_BaseM[[#This Row],[AD/EX]],1)="A","D","C")&amp;"|"),IF(OR(Tabela_BaseM[[#This Row],[tipo registro 3 PARTE B]]="|M305|",Tabela_BaseM[[#This Row],[tipo registro 3 PARTE B]]="|M355|"),(Tabela_BaseM[[#This Row],[tipo registro 3 PARTE B]]&amp;Tabela_BaseM[[#This Row],[CONTA]]&amp;Tabela_BaseM[[#This Row],[Valor]]&amp;"|"&amp;IF(LEFT(Tabela_BaseM[[#This Row],[AD/EX]],1)="A","D","C")&amp;"|"),""))</f>
        <v/>
      </c>
      <c r="P397" t="str">
        <f>("|M030|"&amp;TEXT(DATE(YEAR(Tabela_BaseM[[#This Row],[Periodo]]), MONTH(Tabela_BaseM[[#This Row],[Periodo]]), 1), "ddmmaaaa")&amp;"|"&amp;TEXT(EOMONTH(Tabela_BaseM[[#This Row],[Periodo]], 0), "ddmmaaaa")&amp;"|A"&amp;TEXT(Tabela_BaseM[[#This Row],[Periodo]],"MM")&amp;"|")</f>
        <v>|M030|01011900|31011900|A01|</v>
      </c>
      <c r="Q397" t="e">
        <f>IF(A397="IRPJ",("|M300|"&amp;LEFT(C397,FIND("-",C397)-1)&amp;"|"&amp;RIGHT(C397,LEN(C397)-FIND("-",C397))&amp;"|"&amp;LEFT(D397,1)&amp;"|"&amp;LEFT(B397,1)&amp;"|"&amp;Tabela_BaseM[[#This Row],[Valor]]&amp;"|"&amp;Tabela_BaseM[[#This Row],[HISTÓRICO]]&amp;"|"),("|M350|"&amp;LEFT(C397,FIND("-",C397)-1)&amp;"|"&amp;RIGHT(C397,LEN(C397)-FIND("-",C397))&amp;"|"&amp;LEFT(D397,1)&amp;"|"&amp;LEFT(B397,1)&amp;"|"&amp;Tabela_BaseM[[#This Row],[Valor]]&amp;"|"&amp;Tabela_BaseM[[#This Row],[HISTÓRICO]]&amp;"|"))</f>
        <v>#VALUE!</v>
      </c>
    </row>
  </sheetData>
  <sortState xmlns:xlrd2="http://schemas.microsoft.com/office/spreadsheetml/2017/richdata2" ref="A2:K397">
    <sortCondition descending="1" ref="A2:A398"/>
    <sortCondition ref="B2:B398"/>
    <sortCondition ref="C2:C398"/>
    <sortCondition ref="D2:D398"/>
    <sortCondition ref="F2:F398"/>
  </sortState>
  <phoneticPr fontId="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6E9A6-997E-41DF-8457-C0DDF49CA262}">
  <dimension ref="A1:A295"/>
  <sheetViews>
    <sheetView workbookViewId="0"/>
  </sheetViews>
  <sheetFormatPr defaultRowHeight="15" x14ac:dyDescent="0.25"/>
  <sheetData>
    <row r="1" spans="1:1" x14ac:dyDescent="0.25">
      <c r="A1" t="s">
        <v>804</v>
      </c>
    </row>
    <row r="2" spans="1:1" x14ac:dyDescent="0.25">
      <c r="A2" t="s">
        <v>1100</v>
      </c>
    </row>
    <row r="3" spans="1:1" x14ac:dyDescent="0.25">
      <c r="A3" t="s">
        <v>1204</v>
      </c>
    </row>
    <row r="4" spans="1:1" x14ac:dyDescent="0.25">
      <c r="A4" t="s">
        <v>1102</v>
      </c>
    </row>
    <row r="5" spans="1:1" x14ac:dyDescent="0.25">
      <c r="A5" t="s">
        <v>1103</v>
      </c>
    </row>
    <row r="6" spans="1:1" x14ac:dyDescent="0.25">
      <c r="A6" t="s">
        <v>1203</v>
      </c>
    </row>
    <row r="7" spans="1:1" x14ac:dyDescent="0.25">
      <c r="A7" t="s">
        <v>1205</v>
      </c>
    </row>
    <row r="8" spans="1:1" x14ac:dyDescent="0.25">
      <c r="A8" t="s">
        <v>1101</v>
      </c>
    </row>
    <row r="9" spans="1:1" x14ac:dyDescent="0.25">
      <c r="A9" t="s">
        <v>1242</v>
      </c>
    </row>
    <row r="10" spans="1:1" x14ac:dyDescent="0.25">
      <c r="A10" t="s">
        <v>1240</v>
      </c>
    </row>
    <row r="11" spans="1:1" x14ac:dyDescent="0.25">
      <c r="A11" t="s">
        <v>1243</v>
      </c>
    </row>
    <row r="12" spans="1:1" x14ac:dyDescent="0.25">
      <c r="A12" t="s">
        <v>1244</v>
      </c>
    </row>
    <row r="13" spans="1:1" x14ac:dyDescent="0.25">
      <c r="A13" t="s">
        <v>1241</v>
      </c>
    </row>
    <row r="14" spans="1:1" x14ac:dyDescent="0.25">
      <c r="A14" t="s">
        <v>1248</v>
      </c>
    </row>
    <row r="15" spans="1:1" x14ac:dyDescent="0.25">
      <c r="A15" t="s">
        <v>1246</v>
      </c>
    </row>
    <row r="16" spans="1:1" x14ac:dyDescent="0.25">
      <c r="A16" t="s">
        <v>1247</v>
      </c>
    </row>
    <row r="17" spans="1:1" x14ac:dyDescent="0.25">
      <c r="A17" t="s">
        <v>1245</v>
      </c>
    </row>
    <row r="18" spans="1:1" x14ac:dyDescent="0.25">
      <c r="A18" t="s">
        <v>1104</v>
      </c>
    </row>
    <row r="19" spans="1:1" x14ac:dyDescent="0.25">
      <c r="A19" t="s">
        <v>1250</v>
      </c>
    </row>
    <row r="20" spans="1:1" x14ac:dyDescent="0.25">
      <c r="A20" t="s">
        <v>1249</v>
      </c>
    </row>
    <row r="21" spans="1:1" x14ac:dyDescent="0.25">
      <c r="A21" t="s">
        <v>1105</v>
      </c>
    </row>
    <row r="22" spans="1:1" x14ac:dyDescent="0.25">
      <c r="A22" t="s">
        <v>1252</v>
      </c>
    </row>
    <row r="23" spans="1:1" x14ac:dyDescent="0.25">
      <c r="A23" t="s">
        <v>1251</v>
      </c>
    </row>
    <row r="24" spans="1:1" x14ac:dyDescent="0.25">
      <c r="A24" t="s">
        <v>1106</v>
      </c>
    </row>
    <row r="25" spans="1:1" x14ac:dyDescent="0.25">
      <c r="A25" t="s">
        <v>1253</v>
      </c>
    </row>
    <row r="26" spans="1:1" x14ac:dyDescent="0.25">
      <c r="A26" t="s">
        <v>1039</v>
      </c>
    </row>
    <row r="27" spans="1:1" x14ac:dyDescent="0.25">
      <c r="A27" t="s">
        <v>1202</v>
      </c>
    </row>
    <row r="28" spans="1:1" x14ac:dyDescent="0.25">
      <c r="A28" t="s">
        <v>1235</v>
      </c>
    </row>
    <row r="29" spans="1:1" x14ac:dyDescent="0.25">
      <c r="A29" t="s">
        <v>1238</v>
      </c>
    </row>
    <row r="30" spans="1:1" x14ac:dyDescent="0.25">
      <c r="A30" t="s">
        <v>1237</v>
      </c>
    </row>
    <row r="31" spans="1:1" x14ac:dyDescent="0.25">
      <c r="A31" t="s">
        <v>1236</v>
      </c>
    </row>
    <row r="32" spans="1:1" x14ac:dyDescent="0.25">
      <c r="A32" t="s">
        <v>1196</v>
      </c>
    </row>
    <row r="33" spans="1:1" x14ac:dyDescent="0.25">
      <c r="A33" t="s">
        <v>1197</v>
      </c>
    </row>
    <row r="34" spans="1:1" x14ac:dyDescent="0.25">
      <c r="A34" t="s">
        <v>1107</v>
      </c>
    </row>
    <row r="35" spans="1:1" x14ac:dyDescent="0.25">
      <c r="A35" t="s">
        <v>1255</v>
      </c>
    </row>
    <row r="36" spans="1:1" x14ac:dyDescent="0.25">
      <c r="A36" t="s">
        <v>1254</v>
      </c>
    </row>
    <row r="37" spans="1:1" x14ac:dyDescent="0.25">
      <c r="A37" t="s">
        <v>1108</v>
      </c>
    </row>
    <row r="38" spans="1:1" x14ac:dyDescent="0.25">
      <c r="A38" t="s">
        <v>1111</v>
      </c>
    </row>
    <row r="39" spans="1:1" x14ac:dyDescent="0.25">
      <c r="A39" t="s">
        <v>1207</v>
      </c>
    </row>
    <row r="40" spans="1:1" x14ac:dyDescent="0.25">
      <c r="A40" t="s">
        <v>1116</v>
      </c>
    </row>
    <row r="41" spans="1:1" x14ac:dyDescent="0.25">
      <c r="A41" t="s">
        <v>1112</v>
      </c>
    </row>
    <row r="42" spans="1:1" x14ac:dyDescent="0.25">
      <c r="A42" t="s">
        <v>1206</v>
      </c>
    </row>
    <row r="43" spans="1:1" x14ac:dyDescent="0.25">
      <c r="A43" t="s">
        <v>1109</v>
      </c>
    </row>
    <row r="44" spans="1:1" x14ac:dyDescent="0.25">
      <c r="A44" t="s">
        <v>1115</v>
      </c>
    </row>
    <row r="45" spans="1:1" x14ac:dyDescent="0.25">
      <c r="A45" t="s">
        <v>1113</v>
      </c>
    </row>
    <row r="46" spans="1:1" x14ac:dyDescent="0.25">
      <c r="A46" t="s">
        <v>1114</v>
      </c>
    </row>
    <row r="47" spans="1:1" x14ac:dyDescent="0.25">
      <c r="A47" t="s">
        <v>1110</v>
      </c>
    </row>
    <row r="48" spans="1:1" x14ac:dyDescent="0.25">
      <c r="A48" t="s">
        <v>1117</v>
      </c>
    </row>
    <row r="49" spans="1:1" x14ac:dyDescent="0.25">
      <c r="A49" t="s">
        <v>1259</v>
      </c>
    </row>
    <row r="50" spans="1:1" x14ac:dyDescent="0.25">
      <c r="A50" t="s">
        <v>1257</v>
      </c>
    </row>
    <row r="51" spans="1:1" x14ac:dyDescent="0.25">
      <c r="A51" t="s">
        <v>1256</v>
      </c>
    </row>
    <row r="52" spans="1:1" x14ac:dyDescent="0.25">
      <c r="A52" t="s">
        <v>1262</v>
      </c>
    </row>
    <row r="53" spans="1:1" x14ac:dyDescent="0.25">
      <c r="A53" t="s">
        <v>1261</v>
      </c>
    </row>
    <row r="54" spans="1:1" x14ac:dyDescent="0.25">
      <c r="A54" t="s">
        <v>1258</v>
      </c>
    </row>
    <row r="55" spans="1:1" x14ac:dyDescent="0.25">
      <c r="A55" t="s">
        <v>1265</v>
      </c>
    </row>
    <row r="56" spans="1:1" x14ac:dyDescent="0.25">
      <c r="A56" t="s">
        <v>1263</v>
      </c>
    </row>
    <row r="57" spans="1:1" x14ac:dyDescent="0.25">
      <c r="A57" t="s">
        <v>1264</v>
      </c>
    </row>
    <row r="58" spans="1:1" x14ac:dyDescent="0.25">
      <c r="A58" t="s">
        <v>1260</v>
      </c>
    </row>
    <row r="59" spans="1:1" x14ac:dyDescent="0.25">
      <c r="A59" t="s">
        <v>1266</v>
      </c>
    </row>
    <row r="60" spans="1:1" x14ac:dyDescent="0.25">
      <c r="A60" t="s">
        <v>1054</v>
      </c>
    </row>
    <row r="61" spans="1:1" x14ac:dyDescent="0.25">
      <c r="A61" t="s">
        <v>1200</v>
      </c>
    </row>
    <row r="62" spans="1:1" x14ac:dyDescent="0.25">
      <c r="A62" t="s">
        <v>1231</v>
      </c>
    </row>
    <row r="63" spans="1:1" x14ac:dyDescent="0.25">
      <c r="A63" t="s">
        <v>1230</v>
      </c>
    </row>
    <row r="64" spans="1:1" x14ac:dyDescent="0.25">
      <c r="A64" t="s">
        <v>1074</v>
      </c>
    </row>
    <row r="65" spans="1:1" x14ac:dyDescent="0.25">
      <c r="A65" t="s">
        <v>1075</v>
      </c>
    </row>
    <row r="66" spans="1:1" x14ac:dyDescent="0.25">
      <c r="A66" t="s">
        <v>1232</v>
      </c>
    </row>
    <row r="67" spans="1:1" x14ac:dyDescent="0.25">
      <c r="A67" t="s">
        <v>1073</v>
      </c>
    </row>
    <row r="68" spans="1:1" x14ac:dyDescent="0.25">
      <c r="A68" t="s">
        <v>1233</v>
      </c>
    </row>
    <row r="69" spans="1:1" x14ac:dyDescent="0.25">
      <c r="A69" t="s">
        <v>1068</v>
      </c>
    </row>
    <row r="70" spans="1:1" x14ac:dyDescent="0.25">
      <c r="A70" t="s">
        <v>1201</v>
      </c>
    </row>
    <row r="71" spans="1:1" x14ac:dyDescent="0.25">
      <c r="A71" t="s">
        <v>1234</v>
      </c>
    </row>
    <row r="72" spans="1:1" x14ac:dyDescent="0.25">
      <c r="A72" t="s">
        <v>1080</v>
      </c>
    </row>
    <row r="73" spans="1:1" x14ac:dyDescent="0.25">
      <c r="A73" t="s">
        <v>1239</v>
      </c>
    </row>
    <row r="74" spans="1:1" x14ac:dyDescent="0.25">
      <c r="A74" t="s">
        <v>1118</v>
      </c>
    </row>
    <row r="75" spans="1:1" x14ac:dyDescent="0.25">
      <c r="A75" t="s">
        <v>1124</v>
      </c>
    </row>
    <row r="76" spans="1:1" x14ac:dyDescent="0.25">
      <c r="A76" t="s">
        <v>1210</v>
      </c>
    </row>
    <row r="77" spans="1:1" x14ac:dyDescent="0.25">
      <c r="A77" t="s">
        <v>1127</v>
      </c>
    </row>
    <row r="78" spans="1:1" x14ac:dyDescent="0.25">
      <c r="A78" t="s">
        <v>1126</v>
      </c>
    </row>
    <row r="79" spans="1:1" x14ac:dyDescent="0.25">
      <c r="A79" t="s">
        <v>1125</v>
      </c>
    </row>
    <row r="80" spans="1:1" x14ac:dyDescent="0.25">
      <c r="A80" t="s">
        <v>1282</v>
      </c>
    </row>
    <row r="81" spans="1:1" x14ac:dyDescent="0.25">
      <c r="A81" t="s">
        <v>1279</v>
      </c>
    </row>
    <row r="82" spans="1:1" x14ac:dyDescent="0.25">
      <c r="A82" t="s">
        <v>1280</v>
      </c>
    </row>
    <row r="83" spans="1:1" x14ac:dyDescent="0.25">
      <c r="A83" t="s">
        <v>1248</v>
      </c>
    </row>
    <row r="84" spans="1:1" x14ac:dyDescent="0.25">
      <c r="A84" t="s">
        <v>1281</v>
      </c>
    </row>
    <row r="85" spans="1:1" x14ac:dyDescent="0.25">
      <c r="A85" t="s">
        <v>1198</v>
      </c>
    </row>
    <row r="86" spans="1:1" x14ac:dyDescent="0.25">
      <c r="A86" t="s">
        <v>1285</v>
      </c>
    </row>
    <row r="87" spans="1:1" x14ac:dyDescent="0.25">
      <c r="A87" t="s">
        <v>1283</v>
      </c>
    </row>
    <row r="88" spans="1:1" x14ac:dyDescent="0.25">
      <c r="A88" t="s">
        <v>1284</v>
      </c>
    </row>
    <row r="89" spans="1:1" x14ac:dyDescent="0.25">
      <c r="A89" t="s">
        <v>1286</v>
      </c>
    </row>
    <row r="90" spans="1:1" x14ac:dyDescent="0.25">
      <c r="A90" t="s">
        <v>1128</v>
      </c>
    </row>
    <row r="91" spans="1:1" x14ac:dyDescent="0.25">
      <c r="A91" t="s">
        <v>1288</v>
      </c>
    </row>
    <row r="92" spans="1:1" x14ac:dyDescent="0.25">
      <c r="A92" t="s">
        <v>1287</v>
      </c>
    </row>
    <row r="93" spans="1:1" x14ac:dyDescent="0.25">
      <c r="A93" t="s">
        <v>1129</v>
      </c>
    </row>
    <row r="94" spans="1:1" x14ac:dyDescent="0.25">
      <c r="A94" t="s">
        <v>1289</v>
      </c>
    </row>
    <row r="95" spans="1:1" x14ac:dyDescent="0.25">
      <c r="A95" t="s">
        <v>1122</v>
      </c>
    </row>
    <row r="96" spans="1:1" x14ac:dyDescent="0.25">
      <c r="A96" t="s">
        <v>1209</v>
      </c>
    </row>
    <row r="97" spans="1:1" x14ac:dyDescent="0.25">
      <c r="A97" t="s">
        <v>1275</v>
      </c>
    </row>
    <row r="98" spans="1:1" x14ac:dyDescent="0.25">
      <c r="A98" t="s">
        <v>1274</v>
      </c>
    </row>
    <row r="99" spans="1:1" x14ac:dyDescent="0.25">
      <c r="A99" t="s">
        <v>1277</v>
      </c>
    </row>
    <row r="100" spans="1:1" x14ac:dyDescent="0.25">
      <c r="A100" t="s">
        <v>1273</v>
      </c>
    </row>
    <row r="101" spans="1:1" x14ac:dyDescent="0.25">
      <c r="A101" t="s">
        <v>1272</v>
      </c>
    </row>
    <row r="102" spans="1:1" x14ac:dyDescent="0.25">
      <c r="A102" t="s">
        <v>1276</v>
      </c>
    </row>
    <row r="103" spans="1:1" x14ac:dyDescent="0.25">
      <c r="A103" t="s">
        <v>1130</v>
      </c>
    </row>
    <row r="104" spans="1:1" x14ac:dyDescent="0.25">
      <c r="A104" t="s">
        <v>1140</v>
      </c>
    </row>
    <row r="105" spans="1:1" x14ac:dyDescent="0.25">
      <c r="A105" t="s">
        <v>1134</v>
      </c>
    </row>
    <row r="106" spans="1:1" x14ac:dyDescent="0.25">
      <c r="A106" t="s">
        <v>1212</v>
      </c>
    </row>
    <row r="107" spans="1:1" x14ac:dyDescent="0.25">
      <c r="A107" t="s">
        <v>1211</v>
      </c>
    </row>
    <row r="108" spans="1:1" x14ac:dyDescent="0.25">
      <c r="A108" t="s">
        <v>1135</v>
      </c>
    </row>
    <row r="109" spans="1:1" x14ac:dyDescent="0.25">
      <c r="A109" t="s">
        <v>1136</v>
      </c>
    </row>
    <row r="110" spans="1:1" x14ac:dyDescent="0.25">
      <c r="A110" t="s">
        <v>1132</v>
      </c>
    </row>
    <row r="111" spans="1:1" x14ac:dyDescent="0.25">
      <c r="A111" t="s">
        <v>1131</v>
      </c>
    </row>
    <row r="112" spans="1:1" x14ac:dyDescent="0.25">
      <c r="A112" t="s">
        <v>1139</v>
      </c>
    </row>
    <row r="113" spans="1:1" x14ac:dyDescent="0.25">
      <c r="A113" t="s">
        <v>1137</v>
      </c>
    </row>
    <row r="114" spans="1:1" x14ac:dyDescent="0.25">
      <c r="A114" t="s">
        <v>1138</v>
      </c>
    </row>
    <row r="115" spans="1:1" x14ac:dyDescent="0.25">
      <c r="A115" t="s">
        <v>1133</v>
      </c>
    </row>
    <row r="116" spans="1:1" x14ac:dyDescent="0.25">
      <c r="A116" t="s">
        <v>1303</v>
      </c>
    </row>
    <row r="117" spans="1:1" x14ac:dyDescent="0.25">
      <c r="A117" t="s">
        <v>1293</v>
      </c>
    </row>
    <row r="118" spans="1:1" x14ac:dyDescent="0.25">
      <c r="A118" t="s">
        <v>1300</v>
      </c>
    </row>
    <row r="119" spans="1:1" x14ac:dyDescent="0.25">
      <c r="A119" t="s">
        <v>1291</v>
      </c>
    </row>
    <row r="120" spans="1:1" x14ac:dyDescent="0.25">
      <c r="A120" t="s">
        <v>1297</v>
      </c>
    </row>
    <row r="121" spans="1:1" x14ac:dyDescent="0.25">
      <c r="A121" t="s">
        <v>1296</v>
      </c>
    </row>
    <row r="122" spans="1:1" x14ac:dyDescent="0.25">
      <c r="A122" t="s">
        <v>1295</v>
      </c>
    </row>
    <row r="123" spans="1:1" x14ac:dyDescent="0.25">
      <c r="A123" t="s">
        <v>1301</v>
      </c>
    </row>
    <row r="124" spans="1:1" x14ac:dyDescent="0.25">
      <c r="A124" t="s">
        <v>1292</v>
      </c>
    </row>
    <row r="125" spans="1:1" x14ac:dyDescent="0.25">
      <c r="A125" t="s">
        <v>1302</v>
      </c>
    </row>
    <row r="126" spans="1:1" x14ac:dyDescent="0.25">
      <c r="A126" t="s">
        <v>1290</v>
      </c>
    </row>
    <row r="127" spans="1:1" x14ac:dyDescent="0.25">
      <c r="A127" t="s">
        <v>1298</v>
      </c>
    </row>
    <row r="128" spans="1:1" x14ac:dyDescent="0.25">
      <c r="A128" t="s">
        <v>1299</v>
      </c>
    </row>
    <row r="129" spans="1:1" x14ac:dyDescent="0.25">
      <c r="A129" t="s">
        <v>1294</v>
      </c>
    </row>
    <row r="130" spans="1:1" x14ac:dyDescent="0.25">
      <c r="A130" t="s">
        <v>1141</v>
      </c>
    </row>
    <row r="131" spans="1:1" x14ac:dyDescent="0.25">
      <c r="A131" t="s">
        <v>1304</v>
      </c>
    </row>
    <row r="132" spans="1:1" x14ac:dyDescent="0.25">
      <c r="A132" t="s">
        <v>1119</v>
      </c>
    </row>
    <row r="133" spans="1:1" x14ac:dyDescent="0.25">
      <c r="A133" t="s">
        <v>1208</v>
      </c>
    </row>
    <row r="134" spans="1:1" x14ac:dyDescent="0.25">
      <c r="A134" t="s">
        <v>1270</v>
      </c>
    </row>
    <row r="135" spans="1:1" x14ac:dyDescent="0.25">
      <c r="A135" t="s">
        <v>1269</v>
      </c>
    </row>
    <row r="136" spans="1:1" x14ac:dyDescent="0.25">
      <c r="A136" t="s">
        <v>1268</v>
      </c>
    </row>
    <row r="137" spans="1:1" x14ac:dyDescent="0.25">
      <c r="A137" t="s">
        <v>1267</v>
      </c>
    </row>
    <row r="138" spans="1:1" x14ac:dyDescent="0.25">
      <c r="A138" t="s">
        <v>1120</v>
      </c>
    </row>
    <row r="139" spans="1:1" x14ac:dyDescent="0.25">
      <c r="A139" t="s">
        <v>1121</v>
      </c>
    </row>
    <row r="140" spans="1:1" x14ac:dyDescent="0.25">
      <c r="A140" t="s">
        <v>1271</v>
      </c>
    </row>
    <row r="141" spans="1:1" x14ac:dyDescent="0.25">
      <c r="A141" t="s">
        <v>1073</v>
      </c>
    </row>
    <row r="142" spans="1:1" x14ac:dyDescent="0.25">
      <c r="A142" t="s">
        <v>1233</v>
      </c>
    </row>
    <row r="143" spans="1:1" x14ac:dyDescent="0.25">
      <c r="A143" t="s">
        <v>1123</v>
      </c>
    </row>
    <row r="144" spans="1:1" x14ac:dyDescent="0.25">
      <c r="A144" t="s">
        <v>1278</v>
      </c>
    </row>
    <row r="145" spans="1:1" x14ac:dyDescent="0.25">
      <c r="A145" t="s">
        <v>1142</v>
      </c>
    </row>
    <row r="146" spans="1:1" x14ac:dyDescent="0.25">
      <c r="A146" t="s">
        <v>1150</v>
      </c>
    </row>
    <row r="147" spans="1:1" x14ac:dyDescent="0.25">
      <c r="A147" t="s">
        <v>1151</v>
      </c>
    </row>
    <row r="148" spans="1:1" x14ac:dyDescent="0.25">
      <c r="A148" t="s">
        <v>1215</v>
      </c>
    </row>
    <row r="149" spans="1:1" x14ac:dyDescent="0.25">
      <c r="A149" t="s">
        <v>1216</v>
      </c>
    </row>
    <row r="150" spans="1:1" x14ac:dyDescent="0.25">
      <c r="A150" t="s">
        <v>1217</v>
      </c>
    </row>
    <row r="151" spans="1:1" x14ac:dyDescent="0.25">
      <c r="A151" t="s">
        <v>1319</v>
      </c>
    </row>
    <row r="152" spans="1:1" x14ac:dyDescent="0.25">
      <c r="A152" t="s">
        <v>1320</v>
      </c>
    </row>
    <row r="153" spans="1:1" x14ac:dyDescent="0.25">
      <c r="A153" t="s">
        <v>1321</v>
      </c>
    </row>
    <row r="154" spans="1:1" x14ac:dyDescent="0.25">
      <c r="A154" t="s">
        <v>1322</v>
      </c>
    </row>
    <row r="155" spans="1:1" x14ac:dyDescent="0.25">
      <c r="A155" t="s">
        <v>1325</v>
      </c>
    </row>
    <row r="156" spans="1:1" x14ac:dyDescent="0.25">
      <c r="A156" t="s">
        <v>1323</v>
      </c>
    </row>
    <row r="157" spans="1:1" x14ac:dyDescent="0.25">
      <c r="A157" t="s">
        <v>1324</v>
      </c>
    </row>
    <row r="158" spans="1:1" x14ac:dyDescent="0.25">
      <c r="A158" t="s">
        <v>1152</v>
      </c>
    </row>
    <row r="159" spans="1:1" x14ac:dyDescent="0.25">
      <c r="A159" t="s">
        <v>1327</v>
      </c>
    </row>
    <row r="160" spans="1:1" x14ac:dyDescent="0.25">
      <c r="A160" t="s">
        <v>1326</v>
      </c>
    </row>
    <row r="161" spans="1:1" x14ac:dyDescent="0.25">
      <c r="A161" t="s">
        <v>1153</v>
      </c>
    </row>
    <row r="162" spans="1:1" x14ac:dyDescent="0.25">
      <c r="A162" t="s">
        <v>1329</v>
      </c>
    </row>
    <row r="163" spans="1:1" x14ac:dyDescent="0.25">
      <c r="A163" t="s">
        <v>1328</v>
      </c>
    </row>
    <row r="164" spans="1:1" x14ac:dyDescent="0.25">
      <c r="A164" t="s">
        <v>1154</v>
      </c>
    </row>
    <row r="165" spans="1:1" x14ac:dyDescent="0.25">
      <c r="A165" t="s">
        <v>1330</v>
      </c>
    </row>
    <row r="166" spans="1:1" x14ac:dyDescent="0.25">
      <c r="A166" t="s">
        <v>1331</v>
      </c>
    </row>
    <row r="167" spans="1:1" x14ac:dyDescent="0.25">
      <c r="A167" t="s">
        <v>1155</v>
      </c>
    </row>
    <row r="168" spans="1:1" x14ac:dyDescent="0.25">
      <c r="A168" t="s">
        <v>1332</v>
      </c>
    </row>
    <row r="169" spans="1:1" x14ac:dyDescent="0.25">
      <c r="A169" t="s">
        <v>1146</v>
      </c>
    </row>
    <row r="170" spans="1:1" x14ac:dyDescent="0.25">
      <c r="A170" t="s">
        <v>1312</v>
      </c>
    </row>
    <row r="171" spans="1:1" x14ac:dyDescent="0.25">
      <c r="A171" t="s">
        <v>1148</v>
      </c>
    </row>
    <row r="172" spans="1:1" x14ac:dyDescent="0.25">
      <c r="A172" t="s">
        <v>1214</v>
      </c>
    </row>
    <row r="173" spans="1:1" x14ac:dyDescent="0.25">
      <c r="A173" t="s">
        <v>1316</v>
      </c>
    </row>
    <row r="174" spans="1:1" x14ac:dyDescent="0.25">
      <c r="A174" t="s">
        <v>1315</v>
      </c>
    </row>
    <row r="175" spans="1:1" x14ac:dyDescent="0.25">
      <c r="A175" t="s">
        <v>1314</v>
      </c>
    </row>
    <row r="176" spans="1:1" x14ac:dyDescent="0.25">
      <c r="A176" t="s">
        <v>1317</v>
      </c>
    </row>
    <row r="177" spans="1:1" x14ac:dyDescent="0.25">
      <c r="A177" t="s">
        <v>1156</v>
      </c>
    </row>
    <row r="178" spans="1:1" x14ac:dyDescent="0.25">
      <c r="A178" t="s">
        <v>1160</v>
      </c>
    </row>
    <row r="179" spans="1:1" x14ac:dyDescent="0.25">
      <c r="A179" t="s">
        <v>1163</v>
      </c>
    </row>
    <row r="180" spans="1:1" x14ac:dyDescent="0.25">
      <c r="A180" t="s">
        <v>1219</v>
      </c>
    </row>
    <row r="181" spans="1:1" x14ac:dyDescent="0.25">
      <c r="A181" t="s">
        <v>1220</v>
      </c>
    </row>
    <row r="182" spans="1:1" x14ac:dyDescent="0.25">
      <c r="A182" t="s">
        <v>1158</v>
      </c>
    </row>
    <row r="183" spans="1:1" x14ac:dyDescent="0.25">
      <c r="A183" t="s">
        <v>1218</v>
      </c>
    </row>
    <row r="184" spans="1:1" x14ac:dyDescent="0.25">
      <c r="A184" t="s">
        <v>1221</v>
      </c>
    </row>
    <row r="185" spans="1:1" x14ac:dyDescent="0.25">
      <c r="A185" t="s">
        <v>1161</v>
      </c>
    </row>
    <row r="186" spans="1:1" x14ac:dyDescent="0.25">
      <c r="A186" t="s">
        <v>1162</v>
      </c>
    </row>
    <row r="187" spans="1:1" x14ac:dyDescent="0.25">
      <c r="A187" t="s">
        <v>1159</v>
      </c>
    </row>
    <row r="188" spans="1:1" x14ac:dyDescent="0.25">
      <c r="A188" t="s">
        <v>1157</v>
      </c>
    </row>
    <row r="189" spans="1:1" x14ac:dyDescent="0.25">
      <c r="A189" t="s">
        <v>1335</v>
      </c>
    </row>
    <row r="190" spans="1:1" x14ac:dyDescent="0.25">
      <c r="A190" t="s">
        <v>1333</v>
      </c>
    </row>
    <row r="191" spans="1:1" x14ac:dyDescent="0.25">
      <c r="A191" t="s">
        <v>1338</v>
      </c>
    </row>
    <row r="192" spans="1:1" x14ac:dyDescent="0.25">
      <c r="A192" t="s">
        <v>1344</v>
      </c>
    </row>
    <row r="193" spans="1:1" x14ac:dyDescent="0.25">
      <c r="A193" t="s">
        <v>1343</v>
      </c>
    </row>
    <row r="194" spans="1:1" x14ac:dyDescent="0.25">
      <c r="A194" t="s">
        <v>1337</v>
      </c>
    </row>
    <row r="195" spans="1:1" x14ac:dyDescent="0.25">
      <c r="A195" t="s">
        <v>1334</v>
      </c>
    </row>
    <row r="196" spans="1:1" x14ac:dyDescent="0.25">
      <c r="A196" t="s">
        <v>1342</v>
      </c>
    </row>
    <row r="197" spans="1:1" x14ac:dyDescent="0.25">
      <c r="A197" t="s">
        <v>1341</v>
      </c>
    </row>
    <row r="198" spans="1:1" x14ac:dyDescent="0.25">
      <c r="A198" t="s">
        <v>1339</v>
      </c>
    </row>
    <row r="199" spans="1:1" x14ac:dyDescent="0.25">
      <c r="A199" t="s">
        <v>1340</v>
      </c>
    </row>
    <row r="200" spans="1:1" x14ac:dyDescent="0.25">
      <c r="A200" t="s">
        <v>1336</v>
      </c>
    </row>
    <row r="201" spans="1:1" x14ac:dyDescent="0.25">
      <c r="A201" t="s">
        <v>1345</v>
      </c>
    </row>
    <row r="202" spans="1:1" x14ac:dyDescent="0.25">
      <c r="A202" t="s">
        <v>1164</v>
      </c>
    </row>
    <row r="203" spans="1:1" x14ac:dyDescent="0.25">
      <c r="A203" t="s">
        <v>1346</v>
      </c>
    </row>
    <row r="204" spans="1:1" x14ac:dyDescent="0.25">
      <c r="A204" t="s">
        <v>1143</v>
      </c>
    </row>
    <row r="205" spans="1:1" x14ac:dyDescent="0.25">
      <c r="A205" t="s">
        <v>1213</v>
      </c>
    </row>
    <row r="206" spans="1:1" x14ac:dyDescent="0.25">
      <c r="A206" t="s">
        <v>1310</v>
      </c>
    </row>
    <row r="207" spans="1:1" x14ac:dyDescent="0.25">
      <c r="A207" t="s">
        <v>1306</v>
      </c>
    </row>
    <row r="208" spans="1:1" x14ac:dyDescent="0.25">
      <c r="A208" t="s">
        <v>1305</v>
      </c>
    </row>
    <row r="209" spans="1:1" x14ac:dyDescent="0.25">
      <c r="A209" t="s">
        <v>1307</v>
      </c>
    </row>
    <row r="210" spans="1:1" x14ac:dyDescent="0.25">
      <c r="A210" t="s">
        <v>1309</v>
      </c>
    </row>
    <row r="211" spans="1:1" x14ac:dyDescent="0.25">
      <c r="A211" t="s">
        <v>1308</v>
      </c>
    </row>
    <row r="212" spans="1:1" x14ac:dyDescent="0.25">
      <c r="A212" t="s">
        <v>1144</v>
      </c>
    </row>
    <row r="213" spans="1:1" x14ac:dyDescent="0.25">
      <c r="A213" t="s">
        <v>1145</v>
      </c>
    </row>
    <row r="214" spans="1:1" x14ac:dyDescent="0.25">
      <c r="A214" t="s">
        <v>1311</v>
      </c>
    </row>
    <row r="215" spans="1:1" x14ac:dyDescent="0.25">
      <c r="A215" t="s">
        <v>1073</v>
      </c>
    </row>
    <row r="216" spans="1:1" x14ac:dyDescent="0.25">
      <c r="A216" t="s">
        <v>1233</v>
      </c>
    </row>
    <row r="217" spans="1:1" x14ac:dyDescent="0.25">
      <c r="A217" t="s">
        <v>1147</v>
      </c>
    </row>
    <row r="218" spans="1:1" x14ac:dyDescent="0.25">
      <c r="A218" t="s">
        <v>1199</v>
      </c>
    </row>
    <row r="219" spans="1:1" x14ac:dyDescent="0.25">
      <c r="A219" t="s">
        <v>1313</v>
      </c>
    </row>
    <row r="220" spans="1:1" x14ac:dyDescent="0.25">
      <c r="A220" t="s">
        <v>1149</v>
      </c>
    </row>
    <row r="221" spans="1:1" x14ac:dyDescent="0.25">
      <c r="A221" t="s">
        <v>1318</v>
      </c>
    </row>
    <row r="222" spans="1:1" x14ac:dyDescent="0.25">
      <c r="A222" t="s">
        <v>1165</v>
      </c>
    </row>
    <row r="223" spans="1:1" x14ac:dyDescent="0.25">
      <c r="A223" t="s">
        <v>1172</v>
      </c>
    </row>
    <row r="224" spans="1:1" x14ac:dyDescent="0.25">
      <c r="A224" t="s">
        <v>1175</v>
      </c>
    </row>
    <row r="225" spans="1:1" x14ac:dyDescent="0.25">
      <c r="A225" t="s">
        <v>1225</v>
      </c>
    </row>
    <row r="226" spans="1:1" x14ac:dyDescent="0.25">
      <c r="A226" t="s">
        <v>1226</v>
      </c>
    </row>
    <row r="227" spans="1:1" x14ac:dyDescent="0.25">
      <c r="A227" t="s">
        <v>1174</v>
      </c>
    </row>
    <row r="228" spans="1:1" x14ac:dyDescent="0.25">
      <c r="A228" t="s">
        <v>1173</v>
      </c>
    </row>
    <row r="229" spans="1:1" x14ac:dyDescent="0.25">
      <c r="A229" t="s">
        <v>1224</v>
      </c>
    </row>
    <row r="230" spans="1:1" x14ac:dyDescent="0.25">
      <c r="A230" t="s">
        <v>1365</v>
      </c>
    </row>
    <row r="231" spans="1:1" x14ac:dyDescent="0.25">
      <c r="A231" t="s">
        <v>1361</v>
      </c>
    </row>
    <row r="232" spans="1:1" x14ac:dyDescent="0.25">
      <c r="A232" t="s">
        <v>1360</v>
      </c>
    </row>
    <row r="233" spans="1:1" x14ac:dyDescent="0.25">
      <c r="A233" t="s">
        <v>1364</v>
      </c>
    </row>
    <row r="234" spans="1:1" x14ac:dyDescent="0.25">
      <c r="A234" t="s">
        <v>1362</v>
      </c>
    </row>
    <row r="235" spans="1:1" x14ac:dyDescent="0.25">
      <c r="A235" t="s">
        <v>1363</v>
      </c>
    </row>
    <row r="236" spans="1:1" x14ac:dyDescent="0.25">
      <c r="A236" t="s">
        <v>1176</v>
      </c>
    </row>
    <row r="237" spans="1:1" x14ac:dyDescent="0.25">
      <c r="A237" t="s">
        <v>1367</v>
      </c>
    </row>
    <row r="238" spans="1:1" x14ac:dyDescent="0.25">
      <c r="A238" t="s">
        <v>1366</v>
      </c>
    </row>
    <row r="239" spans="1:1" x14ac:dyDescent="0.25">
      <c r="A239" t="s">
        <v>1177</v>
      </c>
    </row>
    <row r="240" spans="1:1" x14ac:dyDescent="0.25">
      <c r="A240" t="s">
        <v>1369</v>
      </c>
    </row>
    <row r="241" spans="1:1" x14ac:dyDescent="0.25">
      <c r="A241" t="s">
        <v>1368</v>
      </c>
    </row>
    <row r="242" spans="1:1" x14ac:dyDescent="0.25">
      <c r="A242" t="s">
        <v>1178</v>
      </c>
    </row>
    <row r="243" spans="1:1" x14ac:dyDescent="0.25">
      <c r="A243" t="s">
        <v>1370</v>
      </c>
    </row>
    <row r="244" spans="1:1" x14ac:dyDescent="0.25">
      <c r="A244" t="s">
        <v>1371</v>
      </c>
    </row>
    <row r="245" spans="1:1" x14ac:dyDescent="0.25">
      <c r="A245" t="s">
        <v>1179</v>
      </c>
    </row>
    <row r="246" spans="1:1" x14ac:dyDescent="0.25">
      <c r="A246" t="s">
        <v>1372</v>
      </c>
    </row>
    <row r="247" spans="1:1" x14ac:dyDescent="0.25">
      <c r="A247" t="s">
        <v>1180</v>
      </c>
    </row>
    <row r="248" spans="1:1" x14ac:dyDescent="0.25">
      <c r="A248" t="s">
        <v>1373</v>
      </c>
    </row>
    <row r="249" spans="1:1" x14ac:dyDescent="0.25">
      <c r="A249" t="s">
        <v>1169</v>
      </c>
    </row>
    <row r="250" spans="1:1" x14ac:dyDescent="0.25">
      <c r="A250" t="s">
        <v>1352</v>
      </c>
    </row>
    <row r="251" spans="1:1" x14ac:dyDescent="0.25">
      <c r="A251" t="s">
        <v>1170</v>
      </c>
    </row>
    <row r="252" spans="1:1" x14ac:dyDescent="0.25">
      <c r="A252" t="s">
        <v>1223</v>
      </c>
    </row>
    <row r="253" spans="1:1" x14ac:dyDescent="0.25">
      <c r="A253" t="s">
        <v>1357</v>
      </c>
    </row>
    <row r="254" spans="1:1" x14ac:dyDescent="0.25">
      <c r="A254" t="s">
        <v>1353</v>
      </c>
    </row>
    <row r="255" spans="1:1" x14ac:dyDescent="0.25">
      <c r="A255" t="s">
        <v>1356</v>
      </c>
    </row>
    <row r="256" spans="1:1" x14ac:dyDescent="0.25">
      <c r="A256" t="s">
        <v>1355</v>
      </c>
    </row>
    <row r="257" spans="1:1" x14ac:dyDescent="0.25">
      <c r="A257" t="s">
        <v>1354</v>
      </c>
    </row>
    <row r="258" spans="1:1" x14ac:dyDescent="0.25">
      <c r="A258" t="s">
        <v>1181</v>
      </c>
    </row>
    <row r="259" spans="1:1" x14ac:dyDescent="0.25">
      <c r="A259" t="s">
        <v>1229</v>
      </c>
    </row>
    <row r="260" spans="1:1" x14ac:dyDescent="0.25">
      <c r="A260" t="s">
        <v>1227</v>
      </c>
    </row>
    <row r="261" spans="1:1" x14ac:dyDescent="0.25">
      <c r="A261" t="s">
        <v>1186</v>
      </c>
    </row>
    <row r="262" spans="1:1" x14ac:dyDescent="0.25">
      <c r="A262" t="s">
        <v>1187</v>
      </c>
    </row>
    <row r="263" spans="1:1" x14ac:dyDescent="0.25">
      <c r="A263" t="s">
        <v>1228</v>
      </c>
    </row>
    <row r="264" spans="1:1" x14ac:dyDescent="0.25">
      <c r="A264" t="s">
        <v>1184</v>
      </c>
    </row>
    <row r="265" spans="1:1" x14ac:dyDescent="0.25">
      <c r="A265" t="s">
        <v>1183</v>
      </c>
    </row>
    <row r="266" spans="1:1" x14ac:dyDescent="0.25">
      <c r="A266" t="s">
        <v>1188</v>
      </c>
    </row>
    <row r="267" spans="1:1" x14ac:dyDescent="0.25">
      <c r="A267" t="s">
        <v>1185</v>
      </c>
    </row>
    <row r="268" spans="1:1" x14ac:dyDescent="0.25">
      <c r="A268" t="s">
        <v>1182</v>
      </c>
    </row>
    <row r="269" spans="1:1" x14ac:dyDescent="0.25">
      <c r="A269" t="s">
        <v>1384</v>
      </c>
    </row>
    <row r="270" spans="1:1" x14ac:dyDescent="0.25">
      <c r="A270" t="s">
        <v>1385</v>
      </c>
    </row>
    <row r="271" spans="1:1" x14ac:dyDescent="0.25">
      <c r="A271" t="s">
        <v>1386</v>
      </c>
    </row>
    <row r="272" spans="1:1" x14ac:dyDescent="0.25">
      <c r="A272" t="s">
        <v>1375</v>
      </c>
    </row>
    <row r="273" spans="1:1" x14ac:dyDescent="0.25">
      <c r="A273" t="s">
        <v>1379</v>
      </c>
    </row>
    <row r="274" spans="1:1" x14ac:dyDescent="0.25">
      <c r="A274" t="s">
        <v>1378</v>
      </c>
    </row>
    <row r="275" spans="1:1" x14ac:dyDescent="0.25">
      <c r="A275" t="s">
        <v>1382</v>
      </c>
    </row>
    <row r="276" spans="1:1" x14ac:dyDescent="0.25">
      <c r="A276" t="s">
        <v>1381</v>
      </c>
    </row>
    <row r="277" spans="1:1" x14ac:dyDescent="0.25">
      <c r="A277" t="s">
        <v>1377</v>
      </c>
    </row>
    <row r="278" spans="1:1" x14ac:dyDescent="0.25">
      <c r="A278" t="s">
        <v>1374</v>
      </c>
    </row>
    <row r="279" spans="1:1" x14ac:dyDescent="0.25">
      <c r="A279" t="s">
        <v>1380</v>
      </c>
    </row>
    <row r="280" spans="1:1" x14ac:dyDescent="0.25">
      <c r="A280" t="s">
        <v>1376</v>
      </c>
    </row>
    <row r="281" spans="1:1" x14ac:dyDescent="0.25">
      <c r="A281" t="s">
        <v>1383</v>
      </c>
    </row>
    <row r="282" spans="1:1" x14ac:dyDescent="0.25">
      <c r="A282" t="s">
        <v>1166</v>
      </c>
    </row>
    <row r="283" spans="1:1" x14ac:dyDescent="0.25">
      <c r="A283" t="s">
        <v>1222</v>
      </c>
    </row>
    <row r="284" spans="1:1" x14ac:dyDescent="0.25">
      <c r="A284" t="s">
        <v>1350</v>
      </c>
    </row>
    <row r="285" spans="1:1" x14ac:dyDescent="0.25">
      <c r="A285" t="s">
        <v>1347</v>
      </c>
    </row>
    <row r="286" spans="1:1" x14ac:dyDescent="0.25">
      <c r="A286" t="s">
        <v>1349</v>
      </c>
    </row>
    <row r="287" spans="1:1" x14ac:dyDescent="0.25">
      <c r="A287" t="s">
        <v>1348</v>
      </c>
    </row>
    <row r="288" spans="1:1" x14ac:dyDescent="0.25">
      <c r="A288" t="s">
        <v>1167</v>
      </c>
    </row>
    <row r="289" spans="1:1" x14ac:dyDescent="0.25">
      <c r="A289" t="s">
        <v>1168</v>
      </c>
    </row>
    <row r="290" spans="1:1" x14ac:dyDescent="0.25">
      <c r="A290" t="s">
        <v>1351</v>
      </c>
    </row>
    <row r="291" spans="1:1" x14ac:dyDescent="0.25">
      <c r="A291" t="s">
        <v>1073</v>
      </c>
    </row>
    <row r="292" spans="1:1" x14ac:dyDescent="0.25">
      <c r="A292" t="s">
        <v>1233</v>
      </c>
    </row>
    <row r="293" spans="1:1" x14ac:dyDescent="0.25">
      <c r="A293" t="s">
        <v>1171</v>
      </c>
    </row>
    <row r="294" spans="1:1" x14ac:dyDescent="0.25">
      <c r="A294" t="s">
        <v>1359</v>
      </c>
    </row>
    <row r="295" spans="1:1" x14ac:dyDescent="0.25">
      <c r="A295" t="s">
        <v>1358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C176-867C-443A-8167-BDE85841D78D}">
  <sheetPr codeName="Planilha2"/>
  <dimension ref="A1:A1175"/>
  <sheetViews>
    <sheetView showGridLines="0" workbookViewId="0">
      <selection activeCell="A4" sqref="A4"/>
    </sheetView>
  </sheetViews>
  <sheetFormatPr defaultRowHeight="15" x14ac:dyDescent="0.25"/>
  <cols>
    <col min="1" max="1" width="106.7109375" bestFit="1" customWidth="1"/>
    <col min="2" max="2" width="35" customWidth="1"/>
    <col min="3" max="5" width="28" bestFit="1" customWidth="1"/>
    <col min="6" max="6" width="12" bestFit="1" customWidth="1"/>
  </cols>
  <sheetData>
    <row r="1" spans="1:1" ht="39" customHeight="1" x14ac:dyDescent="0.25"/>
    <row r="2" spans="1:1" ht="9.75" customHeight="1" x14ac:dyDescent="0.25"/>
    <row r="4" spans="1:1" x14ac:dyDescent="0.25">
      <c r="A4" s="12" t="s">
        <v>519</v>
      </c>
    </row>
    <row r="5" spans="1:1" x14ac:dyDescent="0.25">
      <c r="A5" s="14" t="s">
        <v>21</v>
      </c>
    </row>
    <row r="6" spans="1:1" x14ac:dyDescent="0.25">
      <c r="A6" s="14" t="s">
        <v>804</v>
      </c>
    </row>
    <row r="7" spans="1:1" x14ac:dyDescent="0.25">
      <c r="A7" s="14" t="s">
        <v>520</v>
      </c>
    </row>
    <row r="8" spans="1:1" x14ac:dyDescent="0.25">
      <c r="A8" s="14" t="s">
        <v>431</v>
      </c>
    </row>
    <row r="9" spans="1:1" x14ac:dyDescent="0.25">
      <c r="A9" s="14" t="s">
        <v>432</v>
      </c>
    </row>
    <row r="10" spans="1:1" x14ac:dyDescent="0.25">
      <c r="A10" s="14" t="s">
        <v>785</v>
      </c>
    </row>
    <row r="11" spans="1:1" x14ac:dyDescent="0.25">
      <c r="A11" s="14" t="s">
        <v>433</v>
      </c>
    </row>
    <row r="12" spans="1:1" x14ac:dyDescent="0.25">
      <c r="A12" s="14"/>
    </row>
    <row r="13" spans="1:1" x14ac:dyDescent="0.25">
      <c r="A13" s="14" t="s">
        <v>786</v>
      </c>
    </row>
    <row r="14" spans="1:1" x14ac:dyDescent="0.25">
      <c r="A14" s="14" t="s">
        <v>435</v>
      </c>
    </row>
    <row r="15" spans="1:1" x14ac:dyDescent="0.25">
      <c r="A15" s="14"/>
    </row>
    <row r="16" spans="1:1" x14ac:dyDescent="0.25">
      <c r="A16" s="14" t="s">
        <v>787</v>
      </c>
    </row>
    <row r="17" spans="1:1" x14ac:dyDescent="0.25">
      <c r="A17" s="14" t="s">
        <v>434</v>
      </c>
    </row>
    <row r="18" spans="1:1" x14ac:dyDescent="0.25">
      <c r="A18" s="14"/>
    </row>
    <row r="19" spans="1:1" x14ac:dyDescent="0.25">
      <c r="A19" s="14" t="s">
        <v>788</v>
      </c>
    </row>
    <row r="20" spans="1:1" x14ac:dyDescent="0.25">
      <c r="A20" s="14" t="s">
        <v>437</v>
      </c>
    </row>
    <row r="21" spans="1:1" x14ac:dyDescent="0.25">
      <c r="A21" s="14"/>
    </row>
    <row r="22" spans="1:1" x14ac:dyDescent="0.25">
      <c r="A22" s="14" t="s">
        <v>789</v>
      </c>
    </row>
    <row r="23" spans="1:1" x14ac:dyDescent="0.25">
      <c r="A23" s="14" t="s">
        <v>436</v>
      </c>
    </row>
    <row r="24" spans="1:1" x14ac:dyDescent="0.25">
      <c r="A24" s="14"/>
    </row>
    <row r="25" spans="1:1" x14ac:dyDescent="0.25">
      <c r="A25" s="14" t="s">
        <v>823</v>
      </c>
    </row>
    <row r="26" spans="1:1" x14ac:dyDescent="0.25">
      <c r="A26" s="14" t="s">
        <v>438</v>
      </c>
    </row>
    <row r="27" spans="1:1" x14ac:dyDescent="0.25">
      <c r="A27" s="14" t="s">
        <v>439</v>
      </c>
    </row>
    <row r="28" spans="1:1" x14ac:dyDescent="0.25">
      <c r="A28" s="14" t="s">
        <v>824</v>
      </c>
    </row>
    <row r="29" spans="1:1" x14ac:dyDescent="0.25">
      <c r="A29" s="14" t="s">
        <v>521</v>
      </c>
    </row>
    <row r="30" spans="1:1" x14ac:dyDescent="0.25">
      <c r="A30" s="14" t="s">
        <v>500</v>
      </c>
    </row>
    <row r="31" spans="1:1" x14ac:dyDescent="0.25">
      <c r="A31" s="14" t="s">
        <v>514</v>
      </c>
    </row>
    <row r="32" spans="1:1" x14ac:dyDescent="0.25">
      <c r="A32" s="14" t="s">
        <v>502</v>
      </c>
    </row>
    <row r="33" spans="1:1" x14ac:dyDescent="0.25">
      <c r="A33" s="14" t="s">
        <v>517</v>
      </c>
    </row>
    <row r="34" spans="1:1" x14ac:dyDescent="0.25">
      <c r="A34" s="14" t="s">
        <v>501</v>
      </c>
    </row>
    <row r="35" spans="1:1" x14ac:dyDescent="0.25">
      <c r="A35" s="14" t="s">
        <v>515</v>
      </c>
    </row>
    <row r="36" spans="1:1" x14ac:dyDescent="0.25">
      <c r="A36" s="14" t="s">
        <v>499</v>
      </c>
    </row>
    <row r="37" spans="1:1" x14ac:dyDescent="0.25">
      <c r="A37" s="14" t="s">
        <v>513</v>
      </c>
    </row>
    <row r="38" spans="1:1" x14ac:dyDescent="0.25">
      <c r="A38" s="14" t="s">
        <v>516</v>
      </c>
    </row>
    <row r="39" spans="1:1" x14ac:dyDescent="0.25">
      <c r="A39" s="14" t="s">
        <v>522</v>
      </c>
    </row>
    <row r="40" spans="1:1" x14ac:dyDescent="0.25">
      <c r="A40" s="14" t="s">
        <v>440</v>
      </c>
    </row>
    <row r="41" spans="1:1" x14ac:dyDescent="0.25">
      <c r="A41" s="14" t="s">
        <v>441</v>
      </c>
    </row>
    <row r="42" spans="1:1" x14ac:dyDescent="0.25">
      <c r="A42" s="14" t="s">
        <v>788</v>
      </c>
    </row>
    <row r="43" spans="1:1" x14ac:dyDescent="0.25">
      <c r="A43" s="14" t="s">
        <v>437</v>
      </c>
    </row>
    <row r="44" spans="1:1" x14ac:dyDescent="0.25">
      <c r="A44" s="14"/>
    </row>
    <row r="45" spans="1:1" x14ac:dyDescent="0.25">
      <c r="A45" s="14" t="s">
        <v>790</v>
      </c>
    </row>
    <row r="46" spans="1:1" x14ac:dyDescent="0.25">
      <c r="A46" s="14" t="s">
        <v>442</v>
      </c>
    </row>
    <row r="47" spans="1:1" x14ac:dyDescent="0.25">
      <c r="A47" s="14"/>
    </row>
    <row r="48" spans="1:1" x14ac:dyDescent="0.25">
      <c r="A48" s="14" t="s">
        <v>791</v>
      </c>
    </row>
    <row r="49" spans="1:1" x14ac:dyDescent="0.25">
      <c r="A49" s="14" t="s">
        <v>443</v>
      </c>
    </row>
    <row r="50" spans="1:1" x14ac:dyDescent="0.25">
      <c r="A50" s="14"/>
    </row>
    <row r="51" spans="1:1" x14ac:dyDescent="0.25">
      <c r="A51" s="14" t="s">
        <v>792</v>
      </c>
    </row>
    <row r="52" spans="1:1" x14ac:dyDescent="0.25">
      <c r="A52" s="14" t="s">
        <v>445</v>
      </c>
    </row>
    <row r="53" spans="1:1" x14ac:dyDescent="0.25">
      <c r="A53" s="14"/>
    </row>
    <row r="54" spans="1:1" x14ac:dyDescent="0.25">
      <c r="A54" s="14" t="s">
        <v>793</v>
      </c>
    </row>
    <row r="55" spans="1:1" x14ac:dyDescent="0.25">
      <c r="A55" s="14" t="s">
        <v>444</v>
      </c>
    </row>
    <row r="56" spans="1:1" x14ac:dyDescent="0.25">
      <c r="A56" s="14"/>
    </row>
    <row r="57" spans="1:1" x14ac:dyDescent="0.25">
      <c r="A57" s="14" t="s">
        <v>794</v>
      </c>
    </row>
    <row r="58" spans="1:1" x14ac:dyDescent="0.25">
      <c r="A58" s="14" t="s">
        <v>446</v>
      </c>
    </row>
    <row r="59" spans="1:1" x14ac:dyDescent="0.25">
      <c r="A59" s="14"/>
    </row>
    <row r="60" spans="1:1" x14ac:dyDescent="0.25">
      <c r="A60" s="14" t="s">
        <v>825</v>
      </c>
    </row>
    <row r="61" spans="1:1" x14ac:dyDescent="0.25">
      <c r="A61" s="14" t="s">
        <v>447</v>
      </c>
    </row>
    <row r="62" spans="1:1" x14ac:dyDescent="0.25">
      <c r="A62" s="14" t="s">
        <v>448</v>
      </c>
    </row>
    <row r="63" spans="1:1" x14ac:dyDescent="0.25">
      <c r="A63" s="14" t="s">
        <v>826</v>
      </c>
    </row>
    <row r="64" spans="1:1" x14ac:dyDescent="0.25">
      <c r="A64" s="14" t="s">
        <v>449</v>
      </c>
    </row>
    <row r="65" spans="1:1" x14ac:dyDescent="0.25">
      <c r="A65" s="14" t="s">
        <v>450</v>
      </c>
    </row>
    <row r="66" spans="1:1" x14ac:dyDescent="0.25">
      <c r="A66" s="14" t="s">
        <v>827</v>
      </c>
    </row>
    <row r="67" spans="1:1" x14ac:dyDescent="0.25">
      <c r="A67" s="14" t="s">
        <v>451</v>
      </c>
    </row>
    <row r="68" spans="1:1" x14ac:dyDescent="0.25">
      <c r="A68" s="14" t="s">
        <v>452</v>
      </c>
    </row>
    <row r="69" spans="1:1" x14ac:dyDescent="0.25">
      <c r="A69" s="14" t="s">
        <v>828</v>
      </c>
    </row>
    <row r="70" spans="1:1" x14ac:dyDescent="0.25">
      <c r="A70" s="14" t="s">
        <v>503</v>
      </c>
    </row>
    <row r="71" spans="1:1" x14ac:dyDescent="0.25">
      <c r="A71" s="14" t="s">
        <v>518</v>
      </c>
    </row>
    <row r="72" spans="1:1" x14ac:dyDescent="0.25">
      <c r="A72" s="14" t="s">
        <v>829</v>
      </c>
    </row>
    <row r="73" spans="1:1" x14ac:dyDescent="0.25">
      <c r="A73" s="14" t="s">
        <v>521</v>
      </c>
    </row>
    <row r="74" spans="1:1" x14ac:dyDescent="0.25">
      <c r="A74" s="14" t="s">
        <v>502</v>
      </c>
    </row>
    <row r="75" spans="1:1" x14ac:dyDescent="0.25">
      <c r="A75" s="14" t="s">
        <v>517</v>
      </c>
    </row>
    <row r="76" spans="1:1" x14ac:dyDescent="0.25">
      <c r="A76" s="14" t="s">
        <v>501</v>
      </c>
    </row>
    <row r="77" spans="1:1" x14ac:dyDescent="0.25">
      <c r="A77" s="14" t="s">
        <v>515</v>
      </c>
    </row>
    <row r="78" spans="1:1" x14ac:dyDescent="0.25">
      <c r="A78" s="14" t="s">
        <v>499</v>
      </c>
    </row>
    <row r="79" spans="1:1" x14ac:dyDescent="0.25">
      <c r="A79" s="14" t="s">
        <v>516</v>
      </c>
    </row>
    <row r="80" spans="1:1" x14ac:dyDescent="0.25">
      <c r="A80" s="14" t="s">
        <v>830</v>
      </c>
    </row>
    <row r="81" spans="1:1" x14ac:dyDescent="0.25">
      <c r="A81" s="14" t="s">
        <v>532</v>
      </c>
    </row>
    <row r="82" spans="1:1" x14ac:dyDescent="0.25">
      <c r="A82" s="14" t="s">
        <v>529</v>
      </c>
    </row>
    <row r="83" spans="1:1" x14ac:dyDescent="0.25">
      <c r="A83" s="14" t="s">
        <v>831</v>
      </c>
    </row>
    <row r="84" spans="1:1" x14ac:dyDescent="0.25">
      <c r="A84" s="14" t="s">
        <v>531</v>
      </c>
    </row>
    <row r="85" spans="1:1" x14ac:dyDescent="0.25">
      <c r="A85" s="14" t="s">
        <v>528</v>
      </c>
    </row>
    <row r="86" spans="1:1" x14ac:dyDescent="0.25">
      <c r="A86" s="14" t="s">
        <v>832</v>
      </c>
    </row>
    <row r="87" spans="1:1" x14ac:dyDescent="0.25">
      <c r="A87" s="14" t="s">
        <v>533</v>
      </c>
    </row>
    <row r="88" spans="1:1" x14ac:dyDescent="0.25">
      <c r="A88" s="14" t="s">
        <v>530</v>
      </c>
    </row>
    <row r="89" spans="1:1" x14ac:dyDescent="0.25">
      <c r="A89" s="14" t="s">
        <v>788</v>
      </c>
    </row>
    <row r="90" spans="1:1" x14ac:dyDescent="0.25">
      <c r="A90" s="14" t="s">
        <v>437</v>
      </c>
    </row>
    <row r="91" spans="1:1" x14ac:dyDescent="0.25">
      <c r="A91" s="14"/>
    </row>
    <row r="92" spans="1:1" x14ac:dyDescent="0.25">
      <c r="A92" s="14" t="s">
        <v>790</v>
      </c>
    </row>
    <row r="93" spans="1:1" x14ac:dyDescent="0.25">
      <c r="A93" s="14" t="s">
        <v>442</v>
      </c>
    </row>
    <row r="94" spans="1:1" x14ac:dyDescent="0.25">
      <c r="A94" s="14"/>
    </row>
    <row r="95" spans="1:1" x14ac:dyDescent="0.25">
      <c r="A95" s="14" t="s">
        <v>791</v>
      </c>
    </row>
    <row r="96" spans="1:1" x14ac:dyDescent="0.25">
      <c r="A96" s="14" t="s">
        <v>443</v>
      </c>
    </row>
    <row r="97" spans="1:1" x14ac:dyDescent="0.25">
      <c r="A97" s="14"/>
    </row>
    <row r="98" spans="1:1" x14ac:dyDescent="0.25">
      <c r="A98" s="14" t="s">
        <v>833</v>
      </c>
    </row>
    <row r="99" spans="1:1" x14ac:dyDescent="0.25">
      <c r="A99" s="14" t="s">
        <v>536</v>
      </c>
    </row>
    <row r="100" spans="1:1" x14ac:dyDescent="0.25">
      <c r="A100" s="14"/>
    </row>
    <row r="101" spans="1:1" x14ac:dyDescent="0.25">
      <c r="A101" s="14" t="s">
        <v>834</v>
      </c>
    </row>
    <row r="102" spans="1:1" x14ac:dyDescent="0.25">
      <c r="A102" s="14" t="s">
        <v>535</v>
      </c>
    </row>
    <row r="103" spans="1:1" x14ac:dyDescent="0.25">
      <c r="A103" s="14"/>
    </row>
    <row r="104" spans="1:1" x14ac:dyDescent="0.25">
      <c r="A104" s="14" t="s">
        <v>835</v>
      </c>
    </row>
    <row r="105" spans="1:1" x14ac:dyDescent="0.25">
      <c r="A105" s="14" t="s">
        <v>534</v>
      </c>
    </row>
    <row r="106" spans="1:1" x14ac:dyDescent="0.25">
      <c r="A106" s="14"/>
    </row>
    <row r="107" spans="1:1" x14ac:dyDescent="0.25">
      <c r="A107" s="14" t="s">
        <v>825</v>
      </c>
    </row>
    <row r="108" spans="1:1" x14ac:dyDescent="0.25">
      <c r="A108" s="14" t="s">
        <v>447</v>
      </c>
    </row>
    <row r="109" spans="1:1" x14ac:dyDescent="0.25">
      <c r="A109" s="14" t="s">
        <v>448</v>
      </c>
    </row>
    <row r="110" spans="1:1" x14ac:dyDescent="0.25">
      <c r="A110" s="14" t="s">
        <v>826</v>
      </c>
    </row>
    <row r="111" spans="1:1" x14ac:dyDescent="0.25">
      <c r="A111" s="14" t="s">
        <v>449</v>
      </c>
    </row>
    <row r="112" spans="1:1" x14ac:dyDescent="0.25">
      <c r="A112" s="14" t="s">
        <v>450</v>
      </c>
    </row>
    <row r="113" spans="1:1" x14ac:dyDescent="0.25">
      <c r="A113" s="14" t="s">
        <v>827</v>
      </c>
    </row>
    <row r="114" spans="1:1" x14ac:dyDescent="0.25">
      <c r="A114" s="14" t="s">
        <v>451</v>
      </c>
    </row>
    <row r="115" spans="1:1" x14ac:dyDescent="0.25">
      <c r="A115" s="14" t="s">
        <v>452</v>
      </c>
    </row>
    <row r="116" spans="1:1" x14ac:dyDescent="0.25">
      <c r="A116" s="14" t="s">
        <v>836</v>
      </c>
    </row>
    <row r="117" spans="1:1" x14ac:dyDescent="0.25">
      <c r="A117" s="14" t="s">
        <v>538</v>
      </c>
    </row>
    <row r="118" spans="1:1" x14ac:dyDescent="0.25">
      <c r="A118" s="14" t="s">
        <v>537</v>
      </c>
    </row>
    <row r="119" spans="1:1" x14ac:dyDescent="0.25">
      <c r="A119" s="14" t="s">
        <v>837</v>
      </c>
    </row>
    <row r="120" spans="1:1" x14ac:dyDescent="0.25">
      <c r="A120" s="14" t="s">
        <v>521</v>
      </c>
    </row>
    <row r="121" spans="1:1" x14ac:dyDescent="0.25">
      <c r="A121" s="14" t="s">
        <v>502</v>
      </c>
    </row>
    <row r="122" spans="1:1" x14ac:dyDescent="0.25">
      <c r="A122" s="14" t="s">
        <v>517</v>
      </c>
    </row>
    <row r="123" spans="1:1" x14ac:dyDescent="0.25">
      <c r="A123" s="14" t="s">
        <v>501</v>
      </c>
    </row>
    <row r="124" spans="1:1" x14ac:dyDescent="0.25">
      <c r="A124" s="14" t="s">
        <v>515</v>
      </c>
    </row>
    <row r="125" spans="1:1" x14ac:dyDescent="0.25">
      <c r="A125" s="14" t="s">
        <v>499</v>
      </c>
    </row>
    <row r="126" spans="1:1" x14ac:dyDescent="0.25">
      <c r="A126" s="14" t="s">
        <v>516</v>
      </c>
    </row>
    <row r="127" spans="1:1" x14ac:dyDescent="0.25">
      <c r="A127" s="14" t="s">
        <v>838</v>
      </c>
    </row>
    <row r="128" spans="1:1" x14ac:dyDescent="0.25">
      <c r="A128" s="14" t="s">
        <v>543</v>
      </c>
    </row>
    <row r="129" spans="1:1" x14ac:dyDescent="0.25">
      <c r="A129" s="14" t="s">
        <v>540</v>
      </c>
    </row>
    <row r="130" spans="1:1" x14ac:dyDescent="0.25">
      <c r="A130" s="14" t="s">
        <v>839</v>
      </c>
    </row>
    <row r="131" spans="1:1" x14ac:dyDescent="0.25">
      <c r="A131" s="14" t="s">
        <v>542</v>
      </c>
    </row>
    <row r="132" spans="1:1" x14ac:dyDescent="0.25">
      <c r="A132" s="14" t="s">
        <v>539</v>
      </c>
    </row>
    <row r="133" spans="1:1" x14ac:dyDescent="0.25">
      <c r="A133" s="14" t="s">
        <v>840</v>
      </c>
    </row>
    <row r="134" spans="1:1" x14ac:dyDescent="0.25">
      <c r="A134" s="14" t="s">
        <v>544</v>
      </c>
    </row>
    <row r="135" spans="1:1" x14ac:dyDescent="0.25">
      <c r="A135" s="14" t="s">
        <v>541</v>
      </c>
    </row>
    <row r="136" spans="1:1" x14ac:dyDescent="0.25">
      <c r="A136" s="14" t="s">
        <v>788</v>
      </c>
    </row>
    <row r="137" spans="1:1" x14ac:dyDescent="0.25">
      <c r="A137" s="14" t="s">
        <v>437</v>
      </c>
    </row>
    <row r="138" spans="1:1" x14ac:dyDescent="0.25">
      <c r="A138" s="14"/>
    </row>
    <row r="139" spans="1:1" x14ac:dyDescent="0.25">
      <c r="A139" s="14" t="s">
        <v>791</v>
      </c>
    </row>
    <row r="140" spans="1:1" x14ac:dyDescent="0.25">
      <c r="A140" s="14" t="s">
        <v>443</v>
      </c>
    </row>
    <row r="141" spans="1:1" x14ac:dyDescent="0.25">
      <c r="A141" s="14"/>
    </row>
    <row r="142" spans="1:1" x14ac:dyDescent="0.25">
      <c r="A142" s="14" t="s">
        <v>805</v>
      </c>
    </row>
    <row r="143" spans="1:1" x14ac:dyDescent="0.25">
      <c r="A143" s="14" t="s">
        <v>546</v>
      </c>
    </row>
    <row r="144" spans="1:1" x14ac:dyDescent="0.25">
      <c r="A144" s="14"/>
    </row>
    <row r="145" spans="1:1" x14ac:dyDescent="0.25">
      <c r="A145" s="14" t="s">
        <v>841</v>
      </c>
    </row>
    <row r="146" spans="1:1" x14ac:dyDescent="0.25">
      <c r="A146" s="14" t="s">
        <v>548</v>
      </c>
    </row>
    <row r="147" spans="1:1" x14ac:dyDescent="0.25">
      <c r="A147" s="14"/>
    </row>
    <row r="148" spans="1:1" x14ac:dyDescent="0.25">
      <c r="A148" s="14" t="s">
        <v>842</v>
      </c>
    </row>
    <row r="149" spans="1:1" x14ac:dyDescent="0.25">
      <c r="A149" s="14" t="s">
        <v>547</v>
      </c>
    </row>
    <row r="150" spans="1:1" x14ac:dyDescent="0.25">
      <c r="A150" s="14"/>
    </row>
    <row r="151" spans="1:1" x14ac:dyDescent="0.25">
      <c r="A151" s="14" t="s">
        <v>843</v>
      </c>
    </row>
    <row r="152" spans="1:1" x14ac:dyDescent="0.25">
      <c r="A152" s="14" t="s">
        <v>545</v>
      </c>
    </row>
    <row r="153" spans="1:1" x14ac:dyDescent="0.25">
      <c r="A153" s="14"/>
    </row>
    <row r="154" spans="1:1" x14ac:dyDescent="0.25">
      <c r="A154" s="14" t="s">
        <v>825</v>
      </c>
    </row>
    <row r="155" spans="1:1" x14ac:dyDescent="0.25">
      <c r="A155" s="14" t="s">
        <v>447</v>
      </c>
    </row>
    <row r="156" spans="1:1" x14ac:dyDescent="0.25">
      <c r="A156" s="14" t="s">
        <v>448</v>
      </c>
    </row>
    <row r="157" spans="1:1" x14ac:dyDescent="0.25">
      <c r="A157" s="14" t="s">
        <v>826</v>
      </c>
    </row>
    <row r="158" spans="1:1" x14ac:dyDescent="0.25">
      <c r="A158" s="14" t="s">
        <v>449</v>
      </c>
    </row>
    <row r="159" spans="1:1" x14ac:dyDescent="0.25">
      <c r="A159" s="14" t="s">
        <v>450</v>
      </c>
    </row>
    <row r="160" spans="1:1" x14ac:dyDescent="0.25">
      <c r="A160" s="14" t="s">
        <v>827</v>
      </c>
    </row>
    <row r="161" spans="1:1" x14ac:dyDescent="0.25">
      <c r="A161" s="14" t="s">
        <v>451</v>
      </c>
    </row>
    <row r="162" spans="1:1" x14ac:dyDescent="0.25">
      <c r="A162" s="14" t="s">
        <v>452</v>
      </c>
    </row>
    <row r="163" spans="1:1" x14ac:dyDescent="0.25">
      <c r="A163" s="14" t="s">
        <v>844</v>
      </c>
    </row>
    <row r="164" spans="1:1" x14ac:dyDescent="0.25">
      <c r="A164" s="14" t="s">
        <v>550</v>
      </c>
    </row>
    <row r="165" spans="1:1" x14ac:dyDescent="0.25">
      <c r="A165" s="14" t="s">
        <v>549</v>
      </c>
    </row>
    <row r="166" spans="1:1" x14ac:dyDescent="0.25">
      <c r="A166" s="14" t="s">
        <v>845</v>
      </c>
    </row>
    <row r="167" spans="1:1" x14ac:dyDescent="0.25">
      <c r="A167" s="14" t="s">
        <v>521</v>
      </c>
    </row>
    <row r="168" spans="1:1" x14ac:dyDescent="0.25">
      <c r="A168" s="14" t="s">
        <v>502</v>
      </c>
    </row>
    <row r="169" spans="1:1" x14ac:dyDescent="0.25">
      <c r="A169" s="14" t="s">
        <v>517</v>
      </c>
    </row>
    <row r="170" spans="1:1" x14ac:dyDescent="0.25">
      <c r="A170" s="14" t="s">
        <v>501</v>
      </c>
    </row>
    <row r="171" spans="1:1" x14ac:dyDescent="0.25">
      <c r="A171" s="14" t="s">
        <v>515</v>
      </c>
    </row>
    <row r="172" spans="1:1" x14ac:dyDescent="0.25">
      <c r="A172" s="14" t="s">
        <v>499</v>
      </c>
    </row>
    <row r="173" spans="1:1" x14ac:dyDescent="0.25">
      <c r="A173" s="14" t="s">
        <v>516</v>
      </c>
    </row>
    <row r="174" spans="1:1" x14ac:dyDescent="0.25">
      <c r="A174" s="14" t="s">
        <v>846</v>
      </c>
    </row>
    <row r="175" spans="1:1" x14ac:dyDescent="0.25">
      <c r="A175" s="14" t="s">
        <v>555</v>
      </c>
    </row>
    <row r="176" spans="1:1" x14ac:dyDescent="0.25">
      <c r="A176" s="14" t="s">
        <v>552</v>
      </c>
    </row>
    <row r="177" spans="1:1" x14ac:dyDescent="0.25">
      <c r="A177" s="14" t="s">
        <v>847</v>
      </c>
    </row>
    <row r="178" spans="1:1" x14ac:dyDescent="0.25">
      <c r="A178" s="14" t="s">
        <v>554</v>
      </c>
    </row>
    <row r="179" spans="1:1" x14ac:dyDescent="0.25">
      <c r="A179" s="14" t="s">
        <v>551</v>
      </c>
    </row>
    <row r="180" spans="1:1" x14ac:dyDescent="0.25">
      <c r="A180" s="14" t="s">
        <v>848</v>
      </c>
    </row>
    <row r="181" spans="1:1" x14ac:dyDescent="0.25">
      <c r="A181" s="14" t="s">
        <v>556</v>
      </c>
    </row>
    <row r="182" spans="1:1" x14ac:dyDescent="0.25">
      <c r="A182" s="14" t="s">
        <v>553</v>
      </c>
    </row>
    <row r="183" spans="1:1" x14ac:dyDescent="0.25">
      <c r="A183" s="14" t="s">
        <v>788</v>
      </c>
    </row>
    <row r="184" spans="1:1" x14ac:dyDescent="0.25">
      <c r="A184" s="14" t="s">
        <v>437</v>
      </c>
    </row>
    <row r="185" spans="1:1" x14ac:dyDescent="0.25">
      <c r="A185" s="14"/>
    </row>
    <row r="186" spans="1:1" x14ac:dyDescent="0.25">
      <c r="A186" s="14" t="s">
        <v>791</v>
      </c>
    </row>
    <row r="187" spans="1:1" x14ac:dyDescent="0.25">
      <c r="A187" s="14" t="s">
        <v>443</v>
      </c>
    </row>
    <row r="188" spans="1:1" x14ac:dyDescent="0.25">
      <c r="A188" s="14"/>
    </row>
    <row r="189" spans="1:1" x14ac:dyDescent="0.25">
      <c r="A189" s="14" t="s">
        <v>806</v>
      </c>
    </row>
    <row r="190" spans="1:1" x14ac:dyDescent="0.25">
      <c r="A190" s="14" t="s">
        <v>558</v>
      </c>
    </row>
    <row r="191" spans="1:1" x14ac:dyDescent="0.25">
      <c r="A191" s="14"/>
    </row>
    <row r="192" spans="1:1" x14ac:dyDescent="0.25">
      <c r="A192" s="14" t="s">
        <v>849</v>
      </c>
    </row>
    <row r="193" spans="1:1" x14ac:dyDescent="0.25">
      <c r="A193" s="14" t="s">
        <v>560</v>
      </c>
    </row>
    <row r="194" spans="1:1" x14ac:dyDescent="0.25">
      <c r="A194" s="14"/>
    </row>
    <row r="195" spans="1:1" x14ac:dyDescent="0.25">
      <c r="A195" s="14" t="s">
        <v>850</v>
      </c>
    </row>
    <row r="196" spans="1:1" x14ac:dyDescent="0.25">
      <c r="A196" s="14" t="s">
        <v>559</v>
      </c>
    </row>
    <row r="197" spans="1:1" x14ac:dyDescent="0.25">
      <c r="A197" s="14"/>
    </row>
    <row r="198" spans="1:1" x14ac:dyDescent="0.25">
      <c r="A198" s="14" t="s">
        <v>851</v>
      </c>
    </row>
    <row r="199" spans="1:1" x14ac:dyDescent="0.25">
      <c r="A199" s="14" t="s">
        <v>557</v>
      </c>
    </row>
    <row r="200" spans="1:1" x14ac:dyDescent="0.25">
      <c r="A200" s="14"/>
    </row>
    <row r="201" spans="1:1" x14ac:dyDescent="0.25">
      <c r="A201" s="14" t="s">
        <v>825</v>
      </c>
    </row>
    <row r="202" spans="1:1" x14ac:dyDescent="0.25">
      <c r="A202" s="14" t="s">
        <v>447</v>
      </c>
    </row>
    <row r="203" spans="1:1" x14ac:dyDescent="0.25">
      <c r="A203" s="14" t="s">
        <v>448</v>
      </c>
    </row>
    <row r="204" spans="1:1" x14ac:dyDescent="0.25">
      <c r="A204" s="14" t="s">
        <v>826</v>
      </c>
    </row>
    <row r="205" spans="1:1" x14ac:dyDescent="0.25">
      <c r="A205" s="14" t="s">
        <v>449</v>
      </c>
    </row>
    <row r="206" spans="1:1" x14ac:dyDescent="0.25">
      <c r="A206" s="14" t="s">
        <v>450</v>
      </c>
    </row>
    <row r="207" spans="1:1" x14ac:dyDescent="0.25">
      <c r="A207" s="14" t="s">
        <v>827</v>
      </c>
    </row>
    <row r="208" spans="1:1" x14ac:dyDescent="0.25">
      <c r="A208" s="14" t="s">
        <v>451</v>
      </c>
    </row>
    <row r="209" spans="1:1" x14ac:dyDescent="0.25">
      <c r="A209" s="14" t="s">
        <v>452</v>
      </c>
    </row>
    <row r="210" spans="1:1" x14ac:dyDescent="0.25">
      <c r="A210" s="14" t="s">
        <v>844</v>
      </c>
    </row>
    <row r="211" spans="1:1" x14ac:dyDescent="0.25">
      <c r="A211" s="14" t="s">
        <v>550</v>
      </c>
    </row>
    <row r="212" spans="1:1" x14ac:dyDescent="0.25">
      <c r="A212" s="14" t="s">
        <v>549</v>
      </c>
    </row>
    <row r="213" spans="1:1" x14ac:dyDescent="0.25">
      <c r="A213" s="14" t="s">
        <v>852</v>
      </c>
    </row>
    <row r="214" spans="1:1" x14ac:dyDescent="0.25">
      <c r="A214" s="14" t="s">
        <v>521</v>
      </c>
    </row>
    <row r="215" spans="1:1" x14ac:dyDescent="0.25">
      <c r="A215" s="14" t="s">
        <v>501</v>
      </c>
    </row>
    <row r="216" spans="1:1" x14ac:dyDescent="0.25">
      <c r="A216" s="14" t="s">
        <v>515</v>
      </c>
    </row>
    <row r="217" spans="1:1" x14ac:dyDescent="0.25">
      <c r="A217" s="14" t="s">
        <v>499</v>
      </c>
    </row>
    <row r="218" spans="1:1" x14ac:dyDescent="0.25">
      <c r="A218" s="14" t="s">
        <v>516</v>
      </c>
    </row>
    <row r="219" spans="1:1" x14ac:dyDescent="0.25">
      <c r="A219" s="14" t="s">
        <v>853</v>
      </c>
    </row>
    <row r="220" spans="1:1" x14ac:dyDescent="0.25">
      <c r="A220" s="14" t="s">
        <v>567</v>
      </c>
    </row>
    <row r="221" spans="1:1" x14ac:dyDescent="0.25">
      <c r="A221" s="14" t="s">
        <v>564</v>
      </c>
    </row>
    <row r="222" spans="1:1" x14ac:dyDescent="0.25">
      <c r="A222" s="14" t="s">
        <v>854</v>
      </c>
    </row>
    <row r="223" spans="1:1" x14ac:dyDescent="0.25">
      <c r="A223" s="14" t="s">
        <v>566</v>
      </c>
    </row>
    <row r="224" spans="1:1" x14ac:dyDescent="0.25">
      <c r="A224" s="14" t="s">
        <v>561</v>
      </c>
    </row>
    <row r="225" spans="1:1" x14ac:dyDescent="0.25">
      <c r="A225" s="14" t="s">
        <v>855</v>
      </c>
    </row>
    <row r="226" spans="1:1" x14ac:dyDescent="0.25">
      <c r="A226" s="14" t="s">
        <v>568</v>
      </c>
    </row>
    <row r="227" spans="1:1" x14ac:dyDescent="0.25">
      <c r="A227" s="14" t="s">
        <v>562</v>
      </c>
    </row>
    <row r="228" spans="1:1" x14ac:dyDescent="0.25">
      <c r="A228" s="14" t="s">
        <v>856</v>
      </c>
    </row>
    <row r="229" spans="1:1" x14ac:dyDescent="0.25">
      <c r="A229" s="14" t="s">
        <v>565</v>
      </c>
    </row>
    <row r="230" spans="1:1" x14ac:dyDescent="0.25">
      <c r="A230" s="14" t="s">
        <v>563</v>
      </c>
    </row>
    <row r="231" spans="1:1" x14ac:dyDescent="0.25">
      <c r="A231" s="14" t="s">
        <v>791</v>
      </c>
    </row>
    <row r="232" spans="1:1" x14ac:dyDescent="0.25">
      <c r="A232" s="14" t="s">
        <v>443</v>
      </c>
    </row>
    <row r="233" spans="1:1" x14ac:dyDescent="0.25">
      <c r="A233" s="14"/>
    </row>
    <row r="234" spans="1:1" x14ac:dyDescent="0.25">
      <c r="A234" s="14" t="s">
        <v>807</v>
      </c>
    </row>
    <row r="235" spans="1:1" x14ac:dyDescent="0.25">
      <c r="A235" s="14" t="s">
        <v>571</v>
      </c>
    </row>
    <row r="236" spans="1:1" x14ac:dyDescent="0.25">
      <c r="A236" s="14"/>
    </row>
    <row r="237" spans="1:1" x14ac:dyDescent="0.25">
      <c r="A237" s="14" t="s">
        <v>857</v>
      </c>
    </row>
    <row r="238" spans="1:1" x14ac:dyDescent="0.25">
      <c r="A238" s="14" t="s">
        <v>573</v>
      </c>
    </row>
    <row r="239" spans="1:1" x14ac:dyDescent="0.25">
      <c r="A239" s="14"/>
    </row>
    <row r="240" spans="1:1" x14ac:dyDescent="0.25">
      <c r="A240" s="14" t="s">
        <v>858</v>
      </c>
    </row>
    <row r="241" spans="1:1" x14ac:dyDescent="0.25">
      <c r="A241" s="14" t="s">
        <v>572</v>
      </c>
    </row>
    <row r="242" spans="1:1" x14ac:dyDescent="0.25">
      <c r="A242" s="14"/>
    </row>
    <row r="243" spans="1:1" x14ac:dyDescent="0.25">
      <c r="A243" s="14" t="s">
        <v>859</v>
      </c>
    </row>
    <row r="244" spans="1:1" x14ac:dyDescent="0.25">
      <c r="A244" s="14" t="s">
        <v>570</v>
      </c>
    </row>
    <row r="245" spans="1:1" x14ac:dyDescent="0.25">
      <c r="A245" s="14"/>
    </row>
    <row r="246" spans="1:1" x14ac:dyDescent="0.25">
      <c r="A246" s="14" t="s">
        <v>860</v>
      </c>
    </row>
    <row r="247" spans="1:1" x14ac:dyDescent="0.25">
      <c r="A247" s="14" t="s">
        <v>569</v>
      </c>
    </row>
    <row r="248" spans="1:1" x14ac:dyDescent="0.25">
      <c r="A248" s="14"/>
    </row>
    <row r="249" spans="1:1" x14ac:dyDescent="0.25">
      <c r="A249" s="14" t="s">
        <v>825</v>
      </c>
    </row>
    <row r="250" spans="1:1" x14ac:dyDescent="0.25">
      <c r="A250" s="14" t="s">
        <v>447</v>
      </c>
    </row>
    <row r="251" spans="1:1" x14ac:dyDescent="0.25">
      <c r="A251" s="14" t="s">
        <v>448</v>
      </c>
    </row>
    <row r="252" spans="1:1" x14ac:dyDescent="0.25">
      <c r="A252" s="14" t="s">
        <v>826</v>
      </c>
    </row>
    <row r="253" spans="1:1" x14ac:dyDescent="0.25">
      <c r="A253" s="14" t="s">
        <v>449</v>
      </c>
    </row>
    <row r="254" spans="1:1" x14ac:dyDescent="0.25">
      <c r="A254" s="14" t="s">
        <v>450</v>
      </c>
    </row>
    <row r="255" spans="1:1" x14ac:dyDescent="0.25">
      <c r="A255" s="14" t="s">
        <v>827</v>
      </c>
    </row>
    <row r="256" spans="1:1" x14ac:dyDescent="0.25">
      <c r="A256" s="14" t="s">
        <v>451</v>
      </c>
    </row>
    <row r="257" spans="1:1" x14ac:dyDescent="0.25">
      <c r="A257" s="14" t="s">
        <v>452</v>
      </c>
    </row>
    <row r="258" spans="1:1" x14ac:dyDescent="0.25">
      <c r="A258" s="14" t="s">
        <v>844</v>
      </c>
    </row>
    <row r="259" spans="1:1" x14ac:dyDescent="0.25">
      <c r="A259" s="14" t="s">
        <v>550</v>
      </c>
    </row>
    <row r="260" spans="1:1" x14ac:dyDescent="0.25">
      <c r="A260" s="14" t="s">
        <v>549</v>
      </c>
    </row>
    <row r="261" spans="1:1" x14ac:dyDescent="0.25">
      <c r="A261" s="14" t="s">
        <v>861</v>
      </c>
    </row>
    <row r="262" spans="1:1" x14ac:dyDescent="0.25">
      <c r="A262" s="14" t="s">
        <v>575</v>
      </c>
    </row>
    <row r="263" spans="1:1" x14ac:dyDescent="0.25">
      <c r="A263" s="14" t="s">
        <v>574</v>
      </c>
    </row>
    <row r="264" spans="1:1" x14ac:dyDescent="0.25">
      <c r="A264" s="14" t="s">
        <v>862</v>
      </c>
    </row>
    <row r="265" spans="1:1" x14ac:dyDescent="0.25">
      <c r="A265" s="14" t="s">
        <v>521</v>
      </c>
    </row>
    <row r="266" spans="1:1" x14ac:dyDescent="0.25">
      <c r="A266" s="14" t="s">
        <v>501</v>
      </c>
    </row>
    <row r="267" spans="1:1" x14ac:dyDescent="0.25">
      <c r="A267" s="14" t="s">
        <v>515</v>
      </c>
    </row>
    <row r="268" spans="1:1" x14ac:dyDescent="0.25">
      <c r="A268" s="14" t="s">
        <v>499</v>
      </c>
    </row>
    <row r="269" spans="1:1" x14ac:dyDescent="0.25">
      <c r="A269" s="14" t="s">
        <v>516</v>
      </c>
    </row>
    <row r="270" spans="1:1" x14ac:dyDescent="0.25">
      <c r="A270" s="14" t="s">
        <v>856</v>
      </c>
    </row>
    <row r="271" spans="1:1" x14ac:dyDescent="0.25">
      <c r="A271" s="14" t="s">
        <v>565</v>
      </c>
    </row>
    <row r="272" spans="1:1" x14ac:dyDescent="0.25">
      <c r="A272" s="14" t="s">
        <v>563</v>
      </c>
    </row>
    <row r="273" spans="1:1" x14ac:dyDescent="0.25">
      <c r="A273" s="14" t="s">
        <v>863</v>
      </c>
    </row>
    <row r="274" spans="1:1" x14ac:dyDescent="0.25">
      <c r="A274" s="14" t="s">
        <v>580</v>
      </c>
    </row>
    <row r="275" spans="1:1" x14ac:dyDescent="0.25">
      <c r="A275" s="14" t="s">
        <v>578</v>
      </c>
    </row>
    <row r="276" spans="1:1" x14ac:dyDescent="0.25">
      <c r="A276" s="14" t="s">
        <v>864</v>
      </c>
    </row>
    <row r="277" spans="1:1" x14ac:dyDescent="0.25">
      <c r="A277" s="14" t="s">
        <v>579</v>
      </c>
    </row>
    <row r="278" spans="1:1" x14ac:dyDescent="0.25">
      <c r="A278" s="14" t="s">
        <v>576</v>
      </c>
    </row>
    <row r="279" spans="1:1" x14ac:dyDescent="0.25">
      <c r="A279" s="14" t="s">
        <v>865</v>
      </c>
    </row>
    <row r="280" spans="1:1" x14ac:dyDescent="0.25">
      <c r="A280" s="14" t="s">
        <v>581</v>
      </c>
    </row>
    <row r="281" spans="1:1" x14ac:dyDescent="0.25">
      <c r="A281" s="14" t="s">
        <v>577</v>
      </c>
    </row>
    <row r="282" spans="1:1" x14ac:dyDescent="0.25">
      <c r="A282" s="14" t="s">
        <v>791</v>
      </c>
    </row>
    <row r="283" spans="1:1" x14ac:dyDescent="0.25">
      <c r="A283" s="14" t="s">
        <v>443</v>
      </c>
    </row>
    <row r="284" spans="1:1" x14ac:dyDescent="0.25">
      <c r="A284" s="14"/>
    </row>
    <row r="285" spans="1:1" x14ac:dyDescent="0.25">
      <c r="A285" s="14" t="s">
        <v>808</v>
      </c>
    </row>
    <row r="286" spans="1:1" x14ac:dyDescent="0.25">
      <c r="A286" s="14" t="s">
        <v>584</v>
      </c>
    </row>
    <row r="287" spans="1:1" x14ac:dyDescent="0.25">
      <c r="A287" s="14"/>
    </row>
    <row r="288" spans="1:1" x14ac:dyDescent="0.25">
      <c r="A288" s="14" t="s">
        <v>866</v>
      </c>
    </row>
    <row r="289" spans="1:1" x14ac:dyDescent="0.25">
      <c r="A289" s="14" t="s">
        <v>586</v>
      </c>
    </row>
    <row r="290" spans="1:1" x14ac:dyDescent="0.25">
      <c r="A290" s="14"/>
    </row>
    <row r="291" spans="1:1" x14ac:dyDescent="0.25">
      <c r="A291" s="14" t="s">
        <v>867</v>
      </c>
    </row>
    <row r="292" spans="1:1" x14ac:dyDescent="0.25">
      <c r="A292" s="14" t="s">
        <v>585</v>
      </c>
    </row>
    <row r="293" spans="1:1" x14ac:dyDescent="0.25">
      <c r="A293" s="14"/>
    </row>
    <row r="294" spans="1:1" x14ac:dyDescent="0.25">
      <c r="A294" s="14" t="s">
        <v>868</v>
      </c>
    </row>
    <row r="295" spans="1:1" x14ac:dyDescent="0.25">
      <c r="A295" s="14" t="s">
        <v>583</v>
      </c>
    </row>
    <row r="296" spans="1:1" x14ac:dyDescent="0.25">
      <c r="A296" s="14"/>
    </row>
    <row r="297" spans="1:1" x14ac:dyDescent="0.25">
      <c r="A297" s="14" t="s">
        <v>869</v>
      </c>
    </row>
    <row r="298" spans="1:1" x14ac:dyDescent="0.25">
      <c r="A298" s="14" t="s">
        <v>582</v>
      </c>
    </row>
    <row r="299" spans="1:1" x14ac:dyDescent="0.25">
      <c r="A299" s="14"/>
    </row>
    <row r="300" spans="1:1" x14ac:dyDescent="0.25">
      <c r="A300" s="14" t="s">
        <v>825</v>
      </c>
    </row>
    <row r="301" spans="1:1" x14ac:dyDescent="0.25">
      <c r="A301" s="14" t="s">
        <v>447</v>
      </c>
    </row>
    <row r="302" spans="1:1" x14ac:dyDescent="0.25">
      <c r="A302" s="14" t="s">
        <v>448</v>
      </c>
    </row>
    <row r="303" spans="1:1" x14ac:dyDescent="0.25">
      <c r="A303" s="14" t="s">
        <v>826</v>
      </c>
    </row>
    <row r="304" spans="1:1" x14ac:dyDescent="0.25">
      <c r="A304" s="14" t="s">
        <v>449</v>
      </c>
    </row>
    <row r="305" spans="1:1" x14ac:dyDescent="0.25">
      <c r="A305" s="14" t="s">
        <v>450</v>
      </c>
    </row>
    <row r="306" spans="1:1" x14ac:dyDescent="0.25">
      <c r="A306" s="14" t="s">
        <v>827</v>
      </c>
    </row>
    <row r="307" spans="1:1" x14ac:dyDescent="0.25">
      <c r="A307" s="14" t="s">
        <v>451</v>
      </c>
    </row>
    <row r="308" spans="1:1" x14ac:dyDescent="0.25">
      <c r="A308" s="14" t="s">
        <v>452</v>
      </c>
    </row>
    <row r="309" spans="1:1" x14ac:dyDescent="0.25">
      <c r="A309" s="14" t="s">
        <v>844</v>
      </c>
    </row>
    <row r="310" spans="1:1" x14ac:dyDescent="0.25">
      <c r="A310" s="14" t="s">
        <v>550</v>
      </c>
    </row>
    <row r="311" spans="1:1" x14ac:dyDescent="0.25">
      <c r="A311" s="14" t="s">
        <v>549</v>
      </c>
    </row>
    <row r="312" spans="1:1" x14ac:dyDescent="0.25">
      <c r="A312" s="14" t="s">
        <v>861</v>
      </c>
    </row>
    <row r="313" spans="1:1" x14ac:dyDescent="0.25">
      <c r="A313" s="14" t="s">
        <v>575</v>
      </c>
    </row>
    <row r="314" spans="1:1" x14ac:dyDescent="0.25">
      <c r="A314" s="14" t="s">
        <v>574</v>
      </c>
    </row>
    <row r="315" spans="1:1" x14ac:dyDescent="0.25">
      <c r="A315" s="14" t="s">
        <v>870</v>
      </c>
    </row>
    <row r="316" spans="1:1" x14ac:dyDescent="0.25">
      <c r="A316" s="14" t="s">
        <v>521</v>
      </c>
    </row>
    <row r="317" spans="1:1" x14ac:dyDescent="0.25">
      <c r="A317" s="14" t="s">
        <v>501</v>
      </c>
    </row>
    <row r="318" spans="1:1" x14ac:dyDescent="0.25">
      <c r="A318" s="14" t="s">
        <v>515</v>
      </c>
    </row>
    <row r="319" spans="1:1" x14ac:dyDescent="0.25">
      <c r="A319" s="14" t="s">
        <v>499</v>
      </c>
    </row>
    <row r="320" spans="1:1" x14ac:dyDescent="0.25">
      <c r="A320" s="14" t="s">
        <v>516</v>
      </c>
    </row>
    <row r="321" spans="1:1" x14ac:dyDescent="0.25">
      <c r="A321" s="14" t="s">
        <v>856</v>
      </c>
    </row>
    <row r="322" spans="1:1" x14ac:dyDescent="0.25">
      <c r="A322" s="14" t="s">
        <v>565</v>
      </c>
    </row>
    <row r="323" spans="1:1" x14ac:dyDescent="0.25">
      <c r="A323" s="14" t="s">
        <v>563</v>
      </c>
    </row>
    <row r="324" spans="1:1" x14ac:dyDescent="0.25">
      <c r="A324" s="14" t="s">
        <v>871</v>
      </c>
    </row>
    <row r="325" spans="1:1" x14ac:dyDescent="0.25">
      <c r="A325" s="14" t="s">
        <v>591</v>
      </c>
    </row>
    <row r="326" spans="1:1" x14ac:dyDescent="0.25">
      <c r="A326" s="14" t="s">
        <v>589</v>
      </c>
    </row>
    <row r="327" spans="1:1" x14ac:dyDescent="0.25">
      <c r="A327" s="14" t="s">
        <v>872</v>
      </c>
    </row>
    <row r="328" spans="1:1" x14ac:dyDescent="0.25">
      <c r="A328" s="14" t="s">
        <v>590</v>
      </c>
    </row>
    <row r="329" spans="1:1" x14ac:dyDescent="0.25">
      <c r="A329" s="14" t="s">
        <v>587</v>
      </c>
    </row>
    <row r="330" spans="1:1" x14ac:dyDescent="0.25">
      <c r="A330" s="14" t="s">
        <v>873</v>
      </c>
    </row>
    <row r="331" spans="1:1" x14ac:dyDescent="0.25">
      <c r="A331" s="14" t="s">
        <v>592</v>
      </c>
    </row>
    <row r="332" spans="1:1" x14ac:dyDescent="0.25">
      <c r="A332" s="14" t="s">
        <v>588</v>
      </c>
    </row>
    <row r="333" spans="1:1" x14ac:dyDescent="0.25">
      <c r="A333" s="14" t="s">
        <v>791</v>
      </c>
    </row>
    <row r="334" spans="1:1" x14ac:dyDescent="0.25">
      <c r="A334" s="14" t="s">
        <v>443</v>
      </c>
    </row>
    <row r="335" spans="1:1" x14ac:dyDescent="0.25">
      <c r="A335" s="14"/>
    </row>
    <row r="336" spans="1:1" x14ac:dyDescent="0.25">
      <c r="A336" s="14" t="s">
        <v>809</v>
      </c>
    </row>
    <row r="337" spans="1:1" x14ac:dyDescent="0.25">
      <c r="A337" s="14" t="s">
        <v>595</v>
      </c>
    </row>
    <row r="338" spans="1:1" x14ac:dyDescent="0.25">
      <c r="A338" s="14"/>
    </row>
    <row r="339" spans="1:1" x14ac:dyDescent="0.25">
      <c r="A339" s="14" t="s">
        <v>874</v>
      </c>
    </row>
    <row r="340" spans="1:1" x14ac:dyDescent="0.25">
      <c r="A340" s="14" t="s">
        <v>597</v>
      </c>
    </row>
    <row r="341" spans="1:1" x14ac:dyDescent="0.25">
      <c r="A341" s="14"/>
    </row>
    <row r="342" spans="1:1" x14ac:dyDescent="0.25">
      <c r="A342" s="14" t="s">
        <v>875</v>
      </c>
    </row>
    <row r="343" spans="1:1" x14ac:dyDescent="0.25">
      <c r="A343" s="14" t="s">
        <v>596</v>
      </c>
    </row>
    <row r="344" spans="1:1" x14ac:dyDescent="0.25">
      <c r="A344" s="14"/>
    </row>
    <row r="345" spans="1:1" x14ac:dyDescent="0.25">
      <c r="A345" s="14" t="s">
        <v>876</v>
      </c>
    </row>
    <row r="346" spans="1:1" x14ac:dyDescent="0.25">
      <c r="A346" s="14" t="s">
        <v>594</v>
      </c>
    </row>
    <row r="347" spans="1:1" x14ac:dyDescent="0.25">
      <c r="A347" s="14"/>
    </row>
    <row r="348" spans="1:1" x14ac:dyDescent="0.25">
      <c r="A348" s="14" t="s">
        <v>877</v>
      </c>
    </row>
    <row r="349" spans="1:1" x14ac:dyDescent="0.25">
      <c r="A349" s="14" t="s">
        <v>593</v>
      </c>
    </row>
    <row r="350" spans="1:1" x14ac:dyDescent="0.25">
      <c r="A350" s="14"/>
    </row>
    <row r="351" spans="1:1" x14ac:dyDescent="0.25">
      <c r="A351" s="14" t="s">
        <v>825</v>
      </c>
    </row>
    <row r="352" spans="1:1" x14ac:dyDescent="0.25">
      <c r="A352" s="14" t="s">
        <v>447</v>
      </c>
    </row>
    <row r="353" spans="1:1" x14ac:dyDescent="0.25">
      <c r="A353" s="14" t="s">
        <v>448</v>
      </c>
    </row>
    <row r="354" spans="1:1" x14ac:dyDescent="0.25">
      <c r="A354" s="14" t="s">
        <v>826</v>
      </c>
    </row>
    <row r="355" spans="1:1" x14ac:dyDescent="0.25">
      <c r="A355" s="14" t="s">
        <v>449</v>
      </c>
    </row>
    <row r="356" spans="1:1" x14ac:dyDescent="0.25">
      <c r="A356" s="14" t="s">
        <v>450</v>
      </c>
    </row>
    <row r="357" spans="1:1" x14ac:dyDescent="0.25">
      <c r="A357" s="14" t="s">
        <v>827</v>
      </c>
    </row>
    <row r="358" spans="1:1" x14ac:dyDescent="0.25">
      <c r="A358" s="14" t="s">
        <v>451</v>
      </c>
    </row>
    <row r="359" spans="1:1" x14ac:dyDescent="0.25">
      <c r="A359" s="14" t="s">
        <v>452</v>
      </c>
    </row>
    <row r="360" spans="1:1" x14ac:dyDescent="0.25">
      <c r="A360" s="14" t="s">
        <v>844</v>
      </c>
    </row>
    <row r="361" spans="1:1" x14ac:dyDescent="0.25">
      <c r="A361" s="14" t="s">
        <v>550</v>
      </c>
    </row>
    <row r="362" spans="1:1" x14ac:dyDescent="0.25">
      <c r="A362" s="14" t="s">
        <v>549</v>
      </c>
    </row>
    <row r="363" spans="1:1" x14ac:dyDescent="0.25">
      <c r="A363" s="14" t="s">
        <v>861</v>
      </c>
    </row>
    <row r="364" spans="1:1" x14ac:dyDescent="0.25">
      <c r="A364" s="14" t="s">
        <v>575</v>
      </c>
    </row>
    <row r="365" spans="1:1" x14ac:dyDescent="0.25">
      <c r="A365" s="14" t="s">
        <v>574</v>
      </c>
    </row>
    <row r="366" spans="1:1" x14ac:dyDescent="0.25">
      <c r="A366" s="14" t="s">
        <v>878</v>
      </c>
    </row>
    <row r="367" spans="1:1" x14ac:dyDescent="0.25">
      <c r="A367" s="14" t="s">
        <v>521</v>
      </c>
    </row>
    <row r="368" spans="1:1" x14ac:dyDescent="0.25">
      <c r="A368" s="14" t="s">
        <v>501</v>
      </c>
    </row>
    <row r="369" spans="1:1" x14ac:dyDescent="0.25">
      <c r="A369" s="14" t="s">
        <v>515</v>
      </c>
    </row>
    <row r="370" spans="1:1" x14ac:dyDescent="0.25">
      <c r="A370" s="14" t="s">
        <v>499</v>
      </c>
    </row>
    <row r="371" spans="1:1" x14ac:dyDescent="0.25">
      <c r="A371" s="14" t="s">
        <v>516</v>
      </c>
    </row>
    <row r="372" spans="1:1" x14ac:dyDescent="0.25">
      <c r="A372" s="14" t="s">
        <v>879</v>
      </c>
    </row>
    <row r="373" spans="1:1" x14ac:dyDescent="0.25">
      <c r="A373" s="14" t="s">
        <v>604</v>
      </c>
    </row>
    <row r="374" spans="1:1" x14ac:dyDescent="0.25">
      <c r="A374" s="14" t="s">
        <v>601</v>
      </c>
    </row>
    <row r="375" spans="1:1" x14ac:dyDescent="0.25">
      <c r="A375" s="14" t="s">
        <v>880</v>
      </c>
    </row>
    <row r="376" spans="1:1" x14ac:dyDescent="0.25">
      <c r="A376" s="14" t="s">
        <v>603</v>
      </c>
    </row>
    <row r="377" spans="1:1" x14ac:dyDescent="0.25">
      <c r="A377" s="14" t="s">
        <v>598</v>
      </c>
    </row>
    <row r="378" spans="1:1" x14ac:dyDescent="0.25">
      <c r="A378" s="14" t="s">
        <v>881</v>
      </c>
    </row>
    <row r="379" spans="1:1" x14ac:dyDescent="0.25">
      <c r="A379" s="14" t="s">
        <v>605</v>
      </c>
    </row>
    <row r="380" spans="1:1" x14ac:dyDescent="0.25">
      <c r="A380" s="14" t="s">
        <v>599</v>
      </c>
    </row>
    <row r="381" spans="1:1" x14ac:dyDescent="0.25">
      <c r="A381" s="14" t="s">
        <v>882</v>
      </c>
    </row>
    <row r="382" spans="1:1" x14ac:dyDescent="0.25">
      <c r="A382" s="14" t="s">
        <v>602</v>
      </c>
    </row>
    <row r="383" spans="1:1" x14ac:dyDescent="0.25">
      <c r="A383" s="14" t="s">
        <v>600</v>
      </c>
    </row>
    <row r="384" spans="1:1" x14ac:dyDescent="0.25">
      <c r="A384" s="14" t="s">
        <v>791</v>
      </c>
    </row>
    <row r="385" spans="1:1" x14ac:dyDescent="0.25">
      <c r="A385" s="14" t="s">
        <v>443</v>
      </c>
    </row>
    <row r="386" spans="1:1" x14ac:dyDescent="0.25">
      <c r="A386" s="14"/>
    </row>
    <row r="387" spans="1:1" x14ac:dyDescent="0.25">
      <c r="A387" s="14" t="s">
        <v>810</v>
      </c>
    </row>
    <row r="388" spans="1:1" x14ac:dyDescent="0.25">
      <c r="A388" s="14" t="s">
        <v>608</v>
      </c>
    </row>
    <row r="389" spans="1:1" x14ac:dyDescent="0.25">
      <c r="A389" s="14"/>
    </row>
    <row r="390" spans="1:1" x14ac:dyDescent="0.25">
      <c r="A390" s="14" t="s">
        <v>883</v>
      </c>
    </row>
    <row r="391" spans="1:1" x14ac:dyDescent="0.25">
      <c r="A391" s="14" t="s">
        <v>610</v>
      </c>
    </row>
    <row r="392" spans="1:1" x14ac:dyDescent="0.25">
      <c r="A392" s="14"/>
    </row>
    <row r="393" spans="1:1" x14ac:dyDescent="0.25">
      <c r="A393" s="14" t="s">
        <v>884</v>
      </c>
    </row>
    <row r="394" spans="1:1" x14ac:dyDescent="0.25">
      <c r="A394" s="14" t="s">
        <v>609</v>
      </c>
    </row>
    <row r="395" spans="1:1" x14ac:dyDescent="0.25">
      <c r="A395" s="14"/>
    </row>
    <row r="396" spans="1:1" x14ac:dyDescent="0.25">
      <c r="A396" s="14" t="s">
        <v>885</v>
      </c>
    </row>
    <row r="397" spans="1:1" x14ac:dyDescent="0.25">
      <c r="A397" s="14" t="s">
        <v>607</v>
      </c>
    </row>
    <row r="398" spans="1:1" x14ac:dyDescent="0.25">
      <c r="A398" s="14"/>
    </row>
    <row r="399" spans="1:1" x14ac:dyDescent="0.25">
      <c r="A399" s="14" t="s">
        <v>886</v>
      </c>
    </row>
    <row r="400" spans="1:1" x14ac:dyDescent="0.25">
      <c r="A400" s="14" t="s">
        <v>606</v>
      </c>
    </row>
    <row r="401" spans="1:1" x14ac:dyDescent="0.25">
      <c r="A401" s="14"/>
    </row>
    <row r="402" spans="1:1" x14ac:dyDescent="0.25">
      <c r="A402" s="14" t="s">
        <v>825</v>
      </c>
    </row>
    <row r="403" spans="1:1" x14ac:dyDescent="0.25">
      <c r="A403" s="14" t="s">
        <v>447</v>
      </c>
    </row>
    <row r="404" spans="1:1" x14ac:dyDescent="0.25">
      <c r="A404" s="14" t="s">
        <v>448</v>
      </c>
    </row>
    <row r="405" spans="1:1" x14ac:dyDescent="0.25">
      <c r="A405" s="14" t="s">
        <v>826</v>
      </c>
    </row>
    <row r="406" spans="1:1" x14ac:dyDescent="0.25">
      <c r="A406" s="14" t="s">
        <v>449</v>
      </c>
    </row>
    <row r="407" spans="1:1" x14ac:dyDescent="0.25">
      <c r="A407" s="14" t="s">
        <v>450</v>
      </c>
    </row>
    <row r="408" spans="1:1" x14ac:dyDescent="0.25">
      <c r="A408" s="14" t="s">
        <v>827</v>
      </c>
    </row>
    <row r="409" spans="1:1" x14ac:dyDescent="0.25">
      <c r="A409" s="14" t="s">
        <v>451</v>
      </c>
    </row>
    <row r="410" spans="1:1" x14ac:dyDescent="0.25">
      <c r="A410" s="14" t="s">
        <v>452</v>
      </c>
    </row>
    <row r="411" spans="1:1" x14ac:dyDescent="0.25">
      <c r="A411" s="14" t="s">
        <v>844</v>
      </c>
    </row>
    <row r="412" spans="1:1" x14ac:dyDescent="0.25">
      <c r="A412" s="14" t="s">
        <v>550</v>
      </c>
    </row>
    <row r="413" spans="1:1" x14ac:dyDescent="0.25">
      <c r="A413" s="14" t="s">
        <v>549</v>
      </c>
    </row>
    <row r="414" spans="1:1" x14ac:dyDescent="0.25">
      <c r="A414" s="14" t="s">
        <v>861</v>
      </c>
    </row>
    <row r="415" spans="1:1" x14ac:dyDescent="0.25">
      <c r="A415" s="14" t="s">
        <v>575</v>
      </c>
    </row>
    <row r="416" spans="1:1" x14ac:dyDescent="0.25">
      <c r="A416" s="14" t="s">
        <v>574</v>
      </c>
    </row>
    <row r="417" spans="1:1" x14ac:dyDescent="0.25">
      <c r="A417" s="14" t="s">
        <v>887</v>
      </c>
    </row>
    <row r="418" spans="1:1" x14ac:dyDescent="0.25">
      <c r="A418" s="14" t="s">
        <v>521</v>
      </c>
    </row>
    <row r="419" spans="1:1" x14ac:dyDescent="0.25">
      <c r="A419" s="14" t="s">
        <v>501</v>
      </c>
    </row>
    <row r="420" spans="1:1" x14ac:dyDescent="0.25">
      <c r="A420" s="14" t="s">
        <v>515</v>
      </c>
    </row>
    <row r="421" spans="1:1" x14ac:dyDescent="0.25">
      <c r="A421" s="14" t="s">
        <v>499</v>
      </c>
    </row>
    <row r="422" spans="1:1" x14ac:dyDescent="0.25">
      <c r="A422" s="14" t="s">
        <v>516</v>
      </c>
    </row>
    <row r="423" spans="1:1" x14ac:dyDescent="0.25">
      <c r="A423" s="14" t="s">
        <v>882</v>
      </c>
    </row>
    <row r="424" spans="1:1" x14ac:dyDescent="0.25">
      <c r="A424" s="14" t="s">
        <v>602</v>
      </c>
    </row>
    <row r="425" spans="1:1" x14ac:dyDescent="0.25">
      <c r="A425" s="14" t="s">
        <v>600</v>
      </c>
    </row>
    <row r="426" spans="1:1" x14ac:dyDescent="0.25">
      <c r="A426" s="14" t="s">
        <v>888</v>
      </c>
    </row>
    <row r="427" spans="1:1" x14ac:dyDescent="0.25">
      <c r="A427" s="14" t="s">
        <v>615</v>
      </c>
    </row>
    <row r="428" spans="1:1" x14ac:dyDescent="0.25">
      <c r="A428" s="14" t="s">
        <v>613</v>
      </c>
    </row>
    <row r="429" spans="1:1" x14ac:dyDescent="0.25">
      <c r="A429" s="14" t="s">
        <v>889</v>
      </c>
    </row>
    <row r="430" spans="1:1" x14ac:dyDescent="0.25">
      <c r="A430" s="14" t="s">
        <v>614</v>
      </c>
    </row>
    <row r="431" spans="1:1" x14ac:dyDescent="0.25">
      <c r="A431" s="14" t="s">
        <v>611</v>
      </c>
    </row>
    <row r="432" spans="1:1" x14ac:dyDescent="0.25">
      <c r="A432" s="14" t="s">
        <v>890</v>
      </c>
    </row>
    <row r="433" spans="1:1" x14ac:dyDescent="0.25">
      <c r="A433" s="14" t="s">
        <v>616</v>
      </c>
    </row>
    <row r="434" spans="1:1" x14ac:dyDescent="0.25">
      <c r="A434" s="14" t="s">
        <v>612</v>
      </c>
    </row>
    <row r="435" spans="1:1" x14ac:dyDescent="0.25">
      <c r="A435" s="14" t="s">
        <v>791</v>
      </c>
    </row>
    <row r="436" spans="1:1" x14ac:dyDescent="0.25">
      <c r="A436" s="14" t="s">
        <v>443</v>
      </c>
    </row>
    <row r="437" spans="1:1" x14ac:dyDescent="0.25">
      <c r="A437" s="14"/>
    </row>
    <row r="438" spans="1:1" x14ac:dyDescent="0.25">
      <c r="A438" s="14" t="s">
        <v>811</v>
      </c>
    </row>
    <row r="439" spans="1:1" x14ac:dyDescent="0.25">
      <c r="A439" s="14" t="s">
        <v>619</v>
      </c>
    </row>
    <row r="440" spans="1:1" x14ac:dyDescent="0.25">
      <c r="A440" s="14"/>
    </row>
    <row r="441" spans="1:1" x14ac:dyDescent="0.25">
      <c r="A441" s="14" t="s">
        <v>891</v>
      </c>
    </row>
    <row r="442" spans="1:1" x14ac:dyDescent="0.25">
      <c r="A442" s="14" t="s">
        <v>621</v>
      </c>
    </row>
    <row r="443" spans="1:1" x14ac:dyDescent="0.25">
      <c r="A443" s="14"/>
    </row>
    <row r="444" spans="1:1" x14ac:dyDescent="0.25">
      <c r="A444" s="14" t="s">
        <v>892</v>
      </c>
    </row>
    <row r="445" spans="1:1" x14ac:dyDescent="0.25">
      <c r="A445" s="14" t="s">
        <v>620</v>
      </c>
    </row>
    <row r="446" spans="1:1" x14ac:dyDescent="0.25">
      <c r="A446" s="14"/>
    </row>
    <row r="447" spans="1:1" x14ac:dyDescent="0.25">
      <c r="A447" s="14" t="s">
        <v>893</v>
      </c>
    </row>
    <row r="448" spans="1:1" x14ac:dyDescent="0.25">
      <c r="A448" s="14" t="s">
        <v>618</v>
      </c>
    </row>
    <row r="449" spans="1:1" x14ac:dyDescent="0.25">
      <c r="A449" s="14"/>
    </row>
    <row r="450" spans="1:1" x14ac:dyDescent="0.25">
      <c r="A450" s="14" t="s">
        <v>894</v>
      </c>
    </row>
    <row r="451" spans="1:1" x14ac:dyDescent="0.25">
      <c r="A451" s="14" t="s">
        <v>617</v>
      </c>
    </row>
    <row r="452" spans="1:1" x14ac:dyDescent="0.25">
      <c r="A452" s="14"/>
    </row>
    <row r="453" spans="1:1" x14ac:dyDescent="0.25">
      <c r="A453" s="14" t="s">
        <v>825</v>
      </c>
    </row>
    <row r="454" spans="1:1" x14ac:dyDescent="0.25">
      <c r="A454" s="14" t="s">
        <v>447</v>
      </c>
    </row>
    <row r="455" spans="1:1" x14ac:dyDescent="0.25">
      <c r="A455" s="14" t="s">
        <v>448</v>
      </c>
    </row>
    <row r="456" spans="1:1" x14ac:dyDescent="0.25">
      <c r="A456" s="14" t="s">
        <v>826</v>
      </c>
    </row>
    <row r="457" spans="1:1" x14ac:dyDescent="0.25">
      <c r="A457" s="14" t="s">
        <v>449</v>
      </c>
    </row>
    <row r="458" spans="1:1" x14ac:dyDescent="0.25">
      <c r="A458" s="14" t="s">
        <v>450</v>
      </c>
    </row>
    <row r="459" spans="1:1" x14ac:dyDescent="0.25">
      <c r="A459" s="14" t="s">
        <v>827</v>
      </c>
    </row>
    <row r="460" spans="1:1" x14ac:dyDescent="0.25">
      <c r="A460" s="14" t="s">
        <v>451</v>
      </c>
    </row>
    <row r="461" spans="1:1" x14ac:dyDescent="0.25">
      <c r="A461" s="14" t="s">
        <v>452</v>
      </c>
    </row>
    <row r="462" spans="1:1" x14ac:dyDescent="0.25">
      <c r="A462" s="14" t="s">
        <v>844</v>
      </c>
    </row>
    <row r="463" spans="1:1" x14ac:dyDescent="0.25">
      <c r="A463" s="14" t="s">
        <v>550</v>
      </c>
    </row>
    <row r="464" spans="1:1" x14ac:dyDescent="0.25">
      <c r="A464" s="14" t="s">
        <v>549</v>
      </c>
    </row>
    <row r="465" spans="1:1" x14ac:dyDescent="0.25">
      <c r="A465" s="14" t="s">
        <v>861</v>
      </c>
    </row>
    <row r="466" spans="1:1" x14ac:dyDescent="0.25">
      <c r="A466" s="14" t="s">
        <v>575</v>
      </c>
    </row>
    <row r="467" spans="1:1" x14ac:dyDescent="0.25">
      <c r="A467" s="14" t="s">
        <v>574</v>
      </c>
    </row>
    <row r="468" spans="1:1" x14ac:dyDescent="0.25">
      <c r="A468" s="14" t="s">
        <v>895</v>
      </c>
    </row>
    <row r="469" spans="1:1" x14ac:dyDescent="0.25">
      <c r="A469" s="14" t="s">
        <v>521</v>
      </c>
    </row>
    <row r="470" spans="1:1" x14ac:dyDescent="0.25">
      <c r="A470" s="14" t="s">
        <v>501</v>
      </c>
    </row>
    <row r="471" spans="1:1" x14ac:dyDescent="0.25">
      <c r="A471" s="14" t="s">
        <v>515</v>
      </c>
    </row>
    <row r="472" spans="1:1" x14ac:dyDescent="0.25">
      <c r="A472" s="14" t="s">
        <v>499</v>
      </c>
    </row>
    <row r="473" spans="1:1" x14ac:dyDescent="0.25">
      <c r="A473" s="14" t="s">
        <v>516</v>
      </c>
    </row>
    <row r="474" spans="1:1" x14ac:dyDescent="0.25">
      <c r="A474" s="14" t="s">
        <v>882</v>
      </c>
    </row>
    <row r="475" spans="1:1" x14ac:dyDescent="0.25">
      <c r="A475" s="14" t="s">
        <v>602</v>
      </c>
    </row>
    <row r="476" spans="1:1" x14ac:dyDescent="0.25">
      <c r="A476" s="14" t="s">
        <v>600</v>
      </c>
    </row>
    <row r="477" spans="1:1" x14ac:dyDescent="0.25">
      <c r="A477" s="14" t="s">
        <v>896</v>
      </c>
    </row>
    <row r="478" spans="1:1" x14ac:dyDescent="0.25">
      <c r="A478" s="14" t="s">
        <v>626</v>
      </c>
    </row>
    <row r="479" spans="1:1" x14ac:dyDescent="0.25">
      <c r="A479" s="14" t="s">
        <v>624</v>
      </c>
    </row>
    <row r="480" spans="1:1" x14ac:dyDescent="0.25">
      <c r="A480" s="14" t="s">
        <v>897</v>
      </c>
    </row>
    <row r="481" spans="1:1" x14ac:dyDescent="0.25">
      <c r="A481" s="14" t="s">
        <v>625</v>
      </c>
    </row>
    <row r="482" spans="1:1" x14ac:dyDescent="0.25">
      <c r="A482" s="14" t="s">
        <v>622</v>
      </c>
    </row>
    <row r="483" spans="1:1" x14ac:dyDescent="0.25">
      <c r="A483" s="14" t="s">
        <v>898</v>
      </c>
    </row>
    <row r="484" spans="1:1" x14ac:dyDescent="0.25">
      <c r="A484" s="14" t="s">
        <v>627</v>
      </c>
    </row>
    <row r="485" spans="1:1" x14ac:dyDescent="0.25">
      <c r="A485" s="14" t="s">
        <v>623</v>
      </c>
    </row>
    <row r="486" spans="1:1" x14ac:dyDescent="0.25">
      <c r="A486" s="14" t="s">
        <v>791</v>
      </c>
    </row>
    <row r="487" spans="1:1" x14ac:dyDescent="0.25">
      <c r="A487" s="14" t="s">
        <v>443</v>
      </c>
    </row>
    <row r="488" spans="1:1" x14ac:dyDescent="0.25">
      <c r="A488" s="14"/>
    </row>
    <row r="489" spans="1:1" x14ac:dyDescent="0.25">
      <c r="A489" s="14" t="s">
        <v>892</v>
      </c>
    </row>
    <row r="490" spans="1:1" x14ac:dyDescent="0.25">
      <c r="A490" s="14" t="s">
        <v>620</v>
      </c>
    </row>
    <row r="491" spans="1:1" x14ac:dyDescent="0.25">
      <c r="A491" s="14"/>
    </row>
    <row r="492" spans="1:1" x14ac:dyDescent="0.25">
      <c r="A492" s="14" t="s">
        <v>812</v>
      </c>
    </row>
    <row r="493" spans="1:1" x14ac:dyDescent="0.25">
      <c r="A493" s="14" t="s">
        <v>630</v>
      </c>
    </row>
    <row r="494" spans="1:1" x14ac:dyDescent="0.25">
      <c r="A494" s="14"/>
    </row>
    <row r="495" spans="1:1" x14ac:dyDescent="0.25">
      <c r="A495" s="14" t="s">
        <v>899</v>
      </c>
    </row>
    <row r="496" spans="1:1" x14ac:dyDescent="0.25">
      <c r="A496" s="14" t="s">
        <v>631</v>
      </c>
    </row>
    <row r="497" spans="1:1" x14ac:dyDescent="0.25">
      <c r="A497" s="14"/>
    </row>
    <row r="498" spans="1:1" x14ac:dyDescent="0.25">
      <c r="A498" s="14" t="s">
        <v>900</v>
      </c>
    </row>
    <row r="499" spans="1:1" x14ac:dyDescent="0.25">
      <c r="A499" s="14" t="s">
        <v>629</v>
      </c>
    </row>
    <row r="500" spans="1:1" x14ac:dyDescent="0.25">
      <c r="A500" s="14"/>
    </row>
    <row r="501" spans="1:1" x14ac:dyDescent="0.25">
      <c r="A501" s="14" t="s">
        <v>901</v>
      </c>
    </row>
    <row r="502" spans="1:1" x14ac:dyDescent="0.25">
      <c r="A502" s="14" t="s">
        <v>628</v>
      </c>
    </row>
    <row r="503" spans="1:1" x14ac:dyDescent="0.25">
      <c r="A503" s="14"/>
    </row>
    <row r="504" spans="1:1" x14ac:dyDescent="0.25">
      <c r="A504" s="14" t="s">
        <v>825</v>
      </c>
    </row>
    <row r="505" spans="1:1" x14ac:dyDescent="0.25">
      <c r="A505" s="14" t="s">
        <v>447</v>
      </c>
    </row>
    <row r="506" spans="1:1" x14ac:dyDescent="0.25">
      <c r="A506" s="14" t="s">
        <v>448</v>
      </c>
    </row>
    <row r="507" spans="1:1" x14ac:dyDescent="0.25">
      <c r="A507" s="14" t="s">
        <v>826</v>
      </c>
    </row>
    <row r="508" spans="1:1" x14ac:dyDescent="0.25">
      <c r="A508" s="14" t="s">
        <v>449</v>
      </c>
    </row>
    <row r="509" spans="1:1" x14ac:dyDescent="0.25">
      <c r="A509" s="14" t="s">
        <v>450</v>
      </c>
    </row>
    <row r="510" spans="1:1" x14ac:dyDescent="0.25">
      <c r="A510" s="14" t="s">
        <v>827</v>
      </c>
    </row>
    <row r="511" spans="1:1" x14ac:dyDescent="0.25">
      <c r="A511" s="14" t="s">
        <v>451</v>
      </c>
    </row>
    <row r="512" spans="1:1" x14ac:dyDescent="0.25">
      <c r="A512" s="14" t="s">
        <v>452</v>
      </c>
    </row>
    <row r="513" spans="1:1" x14ac:dyDescent="0.25">
      <c r="A513" s="14" t="s">
        <v>844</v>
      </c>
    </row>
    <row r="514" spans="1:1" x14ac:dyDescent="0.25">
      <c r="A514" s="14" t="s">
        <v>550</v>
      </c>
    </row>
    <row r="515" spans="1:1" x14ac:dyDescent="0.25">
      <c r="A515" s="14" t="s">
        <v>549</v>
      </c>
    </row>
    <row r="516" spans="1:1" x14ac:dyDescent="0.25">
      <c r="A516" s="14" t="s">
        <v>861</v>
      </c>
    </row>
    <row r="517" spans="1:1" x14ac:dyDescent="0.25">
      <c r="A517" s="14" t="s">
        <v>575</v>
      </c>
    </row>
    <row r="518" spans="1:1" x14ac:dyDescent="0.25">
      <c r="A518" s="14" t="s">
        <v>574</v>
      </c>
    </row>
    <row r="519" spans="1:1" x14ac:dyDescent="0.25">
      <c r="A519" s="14" t="s">
        <v>902</v>
      </c>
    </row>
    <row r="520" spans="1:1" x14ac:dyDescent="0.25">
      <c r="A520" s="14" t="s">
        <v>903</v>
      </c>
    </row>
    <row r="521" spans="1:1" x14ac:dyDescent="0.25">
      <c r="A521" s="14" t="s">
        <v>647</v>
      </c>
    </row>
    <row r="522" spans="1:1" x14ac:dyDescent="0.25">
      <c r="A522" s="14" t="s">
        <v>637</v>
      </c>
    </row>
    <row r="523" spans="1:1" x14ac:dyDescent="0.25">
      <c r="A523" s="14" t="s">
        <v>904</v>
      </c>
    </row>
    <row r="524" spans="1:1" x14ac:dyDescent="0.25">
      <c r="A524" s="14" t="s">
        <v>644</v>
      </c>
    </row>
    <row r="525" spans="1:1" x14ac:dyDescent="0.25">
      <c r="A525" s="14" t="s">
        <v>639</v>
      </c>
    </row>
    <row r="526" spans="1:1" x14ac:dyDescent="0.25">
      <c r="A526" s="14" t="s">
        <v>905</v>
      </c>
    </row>
    <row r="527" spans="1:1" x14ac:dyDescent="0.25">
      <c r="A527" s="14" t="s">
        <v>646</v>
      </c>
    </row>
    <row r="528" spans="1:1" x14ac:dyDescent="0.25">
      <c r="A528" s="14" t="s">
        <v>633</v>
      </c>
    </row>
    <row r="529" spans="1:1" x14ac:dyDescent="0.25">
      <c r="A529" s="14" t="s">
        <v>906</v>
      </c>
    </row>
    <row r="530" spans="1:1" x14ac:dyDescent="0.25">
      <c r="A530" s="14" t="s">
        <v>642</v>
      </c>
    </row>
    <row r="531" spans="1:1" x14ac:dyDescent="0.25">
      <c r="A531" s="14" t="s">
        <v>635</v>
      </c>
    </row>
    <row r="532" spans="1:1" x14ac:dyDescent="0.25">
      <c r="A532" s="14" t="s">
        <v>907</v>
      </c>
    </row>
    <row r="533" spans="1:1" x14ac:dyDescent="0.25">
      <c r="A533" s="14" t="s">
        <v>645</v>
      </c>
    </row>
    <row r="534" spans="1:1" x14ac:dyDescent="0.25">
      <c r="A534" s="14" t="s">
        <v>636</v>
      </c>
    </row>
    <row r="535" spans="1:1" x14ac:dyDescent="0.25">
      <c r="A535" s="14" t="s">
        <v>908</v>
      </c>
    </row>
    <row r="536" spans="1:1" x14ac:dyDescent="0.25">
      <c r="A536" s="14" t="s">
        <v>649</v>
      </c>
    </row>
    <row r="537" spans="1:1" x14ac:dyDescent="0.25">
      <c r="A537" s="14" t="s">
        <v>632</v>
      </c>
    </row>
    <row r="538" spans="1:1" x14ac:dyDescent="0.25">
      <c r="A538" s="14" t="s">
        <v>909</v>
      </c>
    </row>
    <row r="539" spans="1:1" x14ac:dyDescent="0.25">
      <c r="A539" s="14" t="s">
        <v>648</v>
      </c>
    </row>
    <row r="540" spans="1:1" x14ac:dyDescent="0.25">
      <c r="A540" s="14" t="s">
        <v>640</v>
      </c>
    </row>
    <row r="541" spans="1:1" x14ac:dyDescent="0.25">
      <c r="A541" s="14" t="s">
        <v>910</v>
      </c>
    </row>
    <row r="542" spans="1:1" x14ac:dyDescent="0.25">
      <c r="A542" s="14" t="s">
        <v>643</v>
      </c>
    </row>
    <row r="543" spans="1:1" x14ac:dyDescent="0.25">
      <c r="A543" s="14" t="s">
        <v>634</v>
      </c>
    </row>
    <row r="544" spans="1:1" x14ac:dyDescent="0.25">
      <c r="A544" s="14" t="s">
        <v>911</v>
      </c>
    </row>
    <row r="545" spans="1:1" x14ac:dyDescent="0.25">
      <c r="A545" s="14" t="s">
        <v>641</v>
      </c>
    </row>
    <row r="546" spans="1:1" x14ac:dyDescent="0.25">
      <c r="A546" s="14" t="s">
        <v>638</v>
      </c>
    </row>
    <row r="547" spans="1:1" x14ac:dyDescent="0.25">
      <c r="A547" s="14" t="s">
        <v>791</v>
      </c>
    </row>
    <row r="548" spans="1:1" x14ac:dyDescent="0.25">
      <c r="A548" s="14" t="s">
        <v>443</v>
      </c>
    </row>
    <row r="549" spans="1:1" x14ac:dyDescent="0.25">
      <c r="A549" s="14"/>
    </row>
    <row r="550" spans="1:1" x14ac:dyDescent="0.25">
      <c r="A550" s="14" t="s">
        <v>900</v>
      </c>
    </row>
    <row r="551" spans="1:1" x14ac:dyDescent="0.25">
      <c r="A551" s="14" t="s">
        <v>629</v>
      </c>
    </row>
    <row r="552" spans="1:1" x14ac:dyDescent="0.25">
      <c r="A552" s="14"/>
    </row>
    <row r="553" spans="1:1" x14ac:dyDescent="0.25">
      <c r="A553" s="14" t="s">
        <v>813</v>
      </c>
    </row>
    <row r="554" spans="1:1" x14ac:dyDescent="0.25">
      <c r="A554" s="14" t="s">
        <v>651</v>
      </c>
    </row>
    <row r="555" spans="1:1" x14ac:dyDescent="0.25">
      <c r="A555" s="14"/>
    </row>
    <row r="556" spans="1:1" x14ac:dyDescent="0.25">
      <c r="A556" s="14" t="s">
        <v>912</v>
      </c>
    </row>
    <row r="557" spans="1:1" x14ac:dyDescent="0.25">
      <c r="A557" s="14" t="s">
        <v>653</v>
      </c>
    </row>
    <row r="558" spans="1:1" x14ac:dyDescent="0.25">
      <c r="A558" s="14"/>
    </row>
    <row r="559" spans="1:1" x14ac:dyDescent="0.25">
      <c r="A559" s="14" t="s">
        <v>913</v>
      </c>
    </row>
    <row r="560" spans="1:1" x14ac:dyDescent="0.25">
      <c r="A560" s="14" t="s">
        <v>652</v>
      </c>
    </row>
    <row r="561" spans="1:1" x14ac:dyDescent="0.25">
      <c r="A561" s="14"/>
    </row>
    <row r="562" spans="1:1" x14ac:dyDescent="0.25">
      <c r="A562" s="14" t="s">
        <v>914</v>
      </c>
    </row>
    <row r="563" spans="1:1" x14ac:dyDescent="0.25">
      <c r="A563" s="14" t="s">
        <v>650</v>
      </c>
    </row>
    <row r="564" spans="1:1" x14ac:dyDescent="0.25">
      <c r="A564" s="14"/>
    </row>
    <row r="565" spans="1:1" x14ac:dyDescent="0.25">
      <c r="A565" s="14" t="s">
        <v>825</v>
      </c>
    </row>
    <row r="566" spans="1:1" x14ac:dyDescent="0.25">
      <c r="A566" s="14" t="s">
        <v>447</v>
      </c>
    </row>
    <row r="567" spans="1:1" x14ac:dyDescent="0.25">
      <c r="A567" s="14" t="s">
        <v>448</v>
      </c>
    </row>
    <row r="568" spans="1:1" x14ac:dyDescent="0.25">
      <c r="A568" s="14" t="s">
        <v>826</v>
      </c>
    </row>
    <row r="569" spans="1:1" x14ac:dyDescent="0.25">
      <c r="A569" s="14" t="s">
        <v>449</v>
      </c>
    </row>
    <row r="570" spans="1:1" x14ac:dyDescent="0.25">
      <c r="A570" s="14" t="s">
        <v>450</v>
      </c>
    </row>
    <row r="571" spans="1:1" x14ac:dyDescent="0.25">
      <c r="A571" s="14" t="s">
        <v>827</v>
      </c>
    </row>
    <row r="572" spans="1:1" x14ac:dyDescent="0.25">
      <c r="A572" s="14" t="s">
        <v>451</v>
      </c>
    </row>
    <row r="573" spans="1:1" x14ac:dyDescent="0.25">
      <c r="A573" s="14" t="s">
        <v>452</v>
      </c>
    </row>
    <row r="574" spans="1:1" x14ac:dyDescent="0.25">
      <c r="A574" s="14" t="s">
        <v>844</v>
      </c>
    </row>
    <row r="575" spans="1:1" x14ac:dyDescent="0.25">
      <c r="A575" s="14" t="s">
        <v>550</v>
      </c>
    </row>
    <row r="576" spans="1:1" x14ac:dyDescent="0.25">
      <c r="A576" s="14" t="s">
        <v>549</v>
      </c>
    </row>
    <row r="577" spans="1:1" x14ac:dyDescent="0.25">
      <c r="A577" s="14" t="s">
        <v>861</v>
      </c>
    </row>
    <row r="578" spans="1:1" x14ac:dyDescent="0.25">
      <c r="A578" s="14" t="s">
        <v>575</v>
      </c>
    </row>
    <row r="579" spans="1:1" x14ac:dyDescent="0.25">
      <c r="A579" s="14" t="s">
        <v>574</v>
      </c>
    </row>
    <row r="580" spans="1:1" x14ac:dyDescent="0.25">
      <c r="A580" s="14" t="s">
        <v>915</v>
      </c>
    </row>
    <row r="581" spans="1:1" x14ac:dyDescent="0.25">
      <c r="A581" s="14" t="s">
        <v>655</v>
      </c>
    </row>
    <row r="582" spans="1:1" x14ac:dyDescent="0.25">
      <c r="A582" s="14" t="s">
        <v>654</v>
      </c>
    </row>
    <row r="583" spans="1:1" x14ac:dyDescent="0.25">
      <c r="A583" s="14" t="s">
        <v>29</v>
      </c>
    </row>
    <row r="584" spans="1:1" x14ac:dyDescent="0.25">
      <c r="A584" s="14" t="s">
        <v>804</v>
      </c>
    </row>
    <row r="585" spans="1:1" x14ac:dyDescent="0.25">
      <c r="A585" s="14" t="s">
        <v>523</v>
      </c>
    </row>
    <row r="586" spans="1:1" x14ac:dyDescent="0.25">
      <c r="A586" s="14" t="s">
        <v>492</v>
      </c>
    </row>
    <row r="587" spans="1:1" x14ac:dyDescent="0.25">
      <c r="A587" s="14" t="s">
        <v>505</v>
      </c>
    </row>
    <row r="588" spans="1:1" x14ac:dyDescent="0.25">
      <c r="A588" s="14" t="s">
        <v>494</v>
      </c>
    </row>
    <row r="589" spans="1:1" x14ac:dyDescent="0.25">
      <c r="A589" s="14" t="s">
        <v>508</v>
      </c>
    </row>
    <row r="590" spans="1:1" x14ac:dyDescent="0.25">
      <c r="A590" s="14" t="s">
        <v>493</v>
      </c>
    </row>
    <row r="591" spans="1:1" x14ac:dyDescent="0.25">
      <c r="A591" s="14" t="s">
        <v>506</v>
      </c>
    </row>
    <row r="592" spans="1:1" x14ac:dyDescent="0.25">
      <c r="A592" s="14" t="s">
        <v>491</v>
      </c>
    </row>
    <row r="593" spans="1:1" x14ac:dyDescent="0.25">
      <c r="A593" s="14" t="s">
        <v>504</v>
      </c>
    </row>
    <row r="594" spans="1:1" x14ac:dyDescent="0.25">
      <c r="A594" s="14" t="s">
        <v>507</v>
      </c>
    </row>
    <row r="595" spans="1:1" x14ac:dyDescent="0.25">
      <c r="A595" s="14" t="s">
        <v>524</v>
      </c>
    </row>
    <row r="596" spans="1:1" x14ac:dyDescent="0.25">
      <c r="A596" s="14" t="s">
        <v>453</v>
      </c>
    </row>
    <row r="597" spans="1:1" x14ac:dyDescent="0.25">
      <c r="A597" s="14" t="s">
        <v>454</v>
      </c>
    </row>
    <row r="598" spans="1:1" x14ac:dyDescent="0.25">
      <c r="A598" s="14" t="s">
        <v>795</v>
      </c>
    </row>
    <row r="599" spans="1:1" x14ac:dyDescent="0.25">
      <c r="A599" s="14" t="s">
        <v>455</v>
      </c>
    </row>
    <row r="600" spans="1:1" x14ac:dyDescent="0.25">
      <c r="A600" s="14"/>
    </row>
    <row r="601" spans="1:1" x14ac:dyDescent="0.25">
      <c r="A601" s="14" t="s">
        <v>796</v>
      </c>
    </row>
    <row r="602" spans="1:1" x14ac:dyDescent="0.25">
      <c r="A602" s="14" t="s">
        <v>457</v>
      </c>
    </row>
    <row r="603" spans="1:1" x14ac:dyDescent="0.25">
      <c r="A603" s="14"/>
    </row>
    <row r="604" spans="1:1" x14ac:dyDescent="0.25">
      <c r="A604" s="14" t="s">
        <v>797</v>
      </c>
    </row>
    <row r="605" spans="1:1" x14ac:dyDescent="0.25">
      <c r="A605" s="14" t="s">
        <v>456</v>
      </c>
    </row>
    <row r="606" spans="1:1" x14ac:dyDescent="0.25">
      <c r="A606" s="14"/>
    </row>
    <row r="607" spans="1:1" x14ac:dyDescent="0.25">
      <c r="A607" s="14" t="s">
        <v>798</v>
      </c>
    </row>
    <row r="608" spans="1:1" x14ac:dyDescent="0.25">
      <c r="A608" s="14" t="s">
        <v>459</v>
      </c>
    </row>
    <row r="609" spans="1:1" x14ac:dyDescent="0.25">
      <c r="A609" s="14"/>
    </row>
    <row r="610" spans="1:1" x14ac:dyDescent="0.25">
      <c r="A610" s="14" t="s">
        <v>799</v>
      </c>
    </row>
    <row r="611" spans="1:1" x14ac:dyDescent="0.25">
      <c r="A611" s="14" t="s">
        <v>458</v>
      </c>
    </row>
    <row r="612" spans="1:1" x14ac:dyDescent="0.25">
      <c r="A612" s="14"/>
    </row>
    <row r="613" spans="1:1" x14ac:dyDescent="0.25">
      <c r="A613" s="14" t="s">
        <v>916</v>
      </c>
    </row>
    <row r="614" spans="1:1" x14ac:dyDescent="0.25">
      <c r="A614" s="14" t="s">
        <v>496</v>
      </c>
    </row>
    <row r="615" spans="1:1" x14ac:dyDescent="0.25">
      <c r="A615" s="14" t="s">
        <v>510</v>
      </c>
    </row>
    <row r="616" spans="1:1" x14ac:dyDescent="0.25">
      <c r="A616" s="14" t="s">
        <v>498</v>
      </c>
    </row>
    <row r="617" spans="1:1" x14ac:dyDescent="0.25">
      <c r="A617" s="14" t="s">
        <v>512</v>
      </c>
    </row>
    <row r="618" spans="1:1" x14ac:dyDescent="0.25">
      <c r="A618" s="14" t="s">
        <v>497</v>
      </c>
    </row>
    <row r="619" spans="1:1" x14ac:dyDescent="0.25">
      <c r="A619" s="14" t="s">
        <v>511</v>
      </c>
    </row>
    <row r="620" spans="1:1" x14ac:dyDescent="0.25">
      <c r="A620" s="14" t="s">
        <v>495</v>
      </c>
    </row>
    <row r="621" spans="1:1" x14ac:dyDescent="0.25">
      <c r="A621" s="14" t="s">
        <v>509</v>
      </c>
    </row>
    <row r="622" spans="1:1" x14ac:dyDescent="0.25">
      <c r="A622" s="14" t="s">
        <v>917</v>
      </c>
    </row>
    <row r="623" spans="1:1" x14ac:dyDescent="0.25">
      <c r="A623" s="14" t="s">
        <v>460</v>
      </c>
    </row>
    <row r="624" spans="1:1" x14ac:dyDescent="0.25">
      <c r="A624" s="14" t="s">
        <v>461</v>
      </c>
    </row>
    <row r="625" spans="1:1" x14ac:dyDescent="0.25">
      <c r="A625" s="14" t="s">
        <v>824</v>
      </c>
    </row>
    <row r="626" spans="1:1" x14ac:dyDescent="0.25">
      <c r="A626" s="14" t="s">
        <v>523</v>
      </c>
    </row>
    <row r="627" spans="1:1" x14ac:dyDescent="0.25">
      <c r="A627" s="14" t="s">
        <v>492</v>
      </c>
    </row>
    <row r="628" spans="1:1" x14ac:dyDescent="0.25">
      <c r="A628" s="14" t="s">
        <v>505</v>
      </c>
    </row>
    <row r="629" spans="1:1" x14ac:dyDescent="0.25">
      <c r="A629" s="14" t="s">
        <v>494</v>
      </c>
    </row>
    <row r="630" spans="1:1" x14ac:dyDescent="0.25">
      <c r="A630" s="14" t="s">
        <v>508</v>
      </c>
    </row>
    <row r="631" spans="1:1" x14ac:dyDescent="0.25">
      <c r="A631" s="14" t="s">
        <v>493</v>
      </c>
    </row>
    <row r="632" spans="1:1" x14ac:dyDescent="0.25">
      <c r="A632" s="14" t="s">
        <v>506</v>
      </c>
    </row>
    <row r="633" spans="1:1" x14ac:dyDescent="0.25">
      <c r="A633" s="14" t="s">
        <v>491</v>
      </c>
    </row>
    <row r="634" spans="1:1" x14ac:dyDescent="0.25">
      <c r="A634" s="14" t="s">
        <v>504</v>
      </c>
    </row>
    <row r="635" spans="1:1" x14ac:dyDescent="0.25">
      <c r="A635" s="14" t="s">
        <v>507</v>
      </c>
    </row>
    <row r="636" spans="1:1" x14ac:dyDescent="0.25">
      <c r="A636" s="14" t="s">
        <v>525</v>
      </c>
    </row>
    <row r="637" spans="1:1" x14ac:dyDescent="0.25">
      <c r="A637" s="14" t="s">
        <v>462</v>
      </c>
    </row>
    <row r="638" spans="1:1" x14ac:dyDescent="0.25">
      <c r="A638" s="14" t="s">
        <v>463</v>
      </c>
    </row>
    <row r="639" spans="1:1" x14ac:dyDescent="0.25">
      <c r="A639" s="14" t="s">
        <v>798</v>
      </c>
    </row>
    <row r="640" spans="1:1" x14ac:dyDescent="0.25">
      <c r="A640" s="14" t="s">
        <v>459</v>
      </c>
    </row>
    <row r="641" spans="1:1" x14ac:dyDescent="0.25">
      <c r="A641" s="14"/>
    </row>
    <row r="642" spans="1:1" x14ac:dyDescent="0.25">
      <c r="A642" s="14" t="s">
        <v>800</v>
      </c>
    </row>
    <row r="643" spans="1:1" x14ac:dyDescent="0.25">
      <c r="A643" s="14" t="s">
        <v>464</v>
      </c>
    </row>
    <row r="644" spans="1:1" x14ac:dyDescent="0.25">
      <c r="A644" s="14"/>
    </row>
    <row r="645" spans="1:1" x14ac:dyDescent="0.25">
      <c r="A645" s="14" t="s">
        <v>801</v>
      </c>
    </row>
    <row r="646" spans="1:1" x14ac:dyDescent="0.25">
      <c r="A646" s="14" t="s">
        <v>466</v>
      </c>
    </row>
    <row r="647" spans="1:1" x14ac:dyDescent="0.25">
      <c r="A647" s="14"/>
    </row>
    <row r="648" spans="1:1" x14ac:dyDescent="0.25">
      <c r="A648" s="14" t="s">
        <v>802</v>
      </c>
    </row>
    <row r="649" spans="1:1" x14ac:dyDescent="0.25">
      <c r="A649" s="14" t="s">
        <v>465</v>
      </c>
    </row>
    <row r="650" spans="1:1" x14ac:dyDescent="0.25">
      <c r="A650" s="14"/>
    </row>
    <row r="651" spans="1:1" x14ac:dyDescent="0.25">
      <c r="A651" s="14" t="s">
        <v>803</v>
      </c>
    </row>
    <row r="652" spans="1:1" x14ac:dyDescent="0.25">
      <c r="A652" s="14" t="s">
        <v>467</v>
      </c>
    </row>
    <row r="653" spans="1:1" x14ac:dyDescent="0.25">
      <c r="A653" s="14"/>
    </row>
    <row r="654" spans="1:1" x14ac:dyDescent="0.25">
      <c r="A654" s="14" t="s">
        <v>916</v>
      </c>
    </row>
    <row r="655" spans="1:1" x14ac:dyDescent="0.25">
      <c r="A655" s="14" t="s">
        <v>498</v>
      </c>
    </row>
    <row r="656" spans="1:1" x14ac:dyDescent="0.25">
      <c r="A656" s="14" t="s">
        <v>512</v>
      </c>
    </row>
    <row r="657" spans="1:1" x14ac:dyDescent="0.25">
      <c r="A657" s="14" t="s">
        <v>497</v>
      </c>
    </row>
    <row r="658" spans="1:1" x14ac:dyDescent="0.25">
      <c r="A658" s="14" t="s">
        <v>511</v>
      </c>
    </row>
    <row r="659" spans="1:1" x14ac:dyDescent="0.25">
      <c r="A659" s="14" t="s">
        <v>918</v>
      </c>
    </row>
    <row r="660" spans="1:1" x14ac:dyDescent="0.25">
      <c r="A660" s="14" t="s">
        <v>468</v>
      </c>
    </row>
    <row r="661" spans="1:1" x14ac:dyDescent="0.25">
      <c r="A661" s="14" t="s">
        <v>469</v>
      </c>
    </row>
    <row r="662" spans="1:1" x14ac:dyDescent="0.25">
      <c r="A662" s="14" t="s">
        <v>919</v>
      </c>
    </row>
    <row r="663" spans="1:1" x14ac:dyDescent="0.25">
      <c r="A663" s="14" t="s">
        <v>470</v>
      </c>
    </row>
    <row r="664" spans="1:1" x14ac:dyDescent="0.25">
      <c r="A664" s="14" t="s">
        <v>471</v>
      </c>
    </row>
    <row r="665" spans="1:1" x14ac:dyDescent="0.25">
      <c r="A665" s="14" t="s">
        <v>920</v>
      </c>
    </row>
    <row r="666" spans="1:1" x14ac:dyDescent="0.25">
      <c r="A666" s="14" t="s">
        <v>472</v>
      </c>
    </row>
    <row r="667" spans="1:1" x14ac:dyDescent="0.25">
      <c r="A667" s="14" t="s">
        <v>473</v>
      </c>
    </row>
    <row r="668" spans="1:1" x14ac:dyDescent="0.25">
      <c r="A668" s="14" t="s">
        <v>829</v>
      </c>
    </row>
    <row r="669" spans="1:1" x14ac:dyDescent="0.25">
      <c r="A669" s="14" t="s">
        <v>523</v>
      </c>
    </row>
    <row r="670" spans="1:1" x14ac:dyDescent="0.25">
      <c r="A670" s="14" t="s">
        <v>494</v>
      </c>
    </row>
    <row r="671" spans="1:1" x14ac:dyDescent="0.25">
      <c r="A671" s="14" t="s">
        <v>508</v>
      </c>
    </row>
    <row r="672" spans="1:1" x14ac:dyDescent="0.25">
      <c r="A672" s="14" t="s">
        <v>493</v>
      </c>
    </row>
    <row r="673" spans="1:1" x14ac:dyDescent="0.25">
      <c r="A673" s="14" t="s">
        <v>506</v>
      </c>
    </row>
    <row r="674" spans="1:1" x14ac:dyDescent="0.25">
      <c r="A674" s="14" t="s">
        <v>491</v>
      </c>
    </row>
    <row r="675" spans="1:1" x14ac:dyDescent="0.25">
      <c r="A675" s="14" t="s">
        <v>507</v>
      </c>
    </row>
    <row r="676" spans="1:1" x14ac:dyDescent="0.25">
      <c r="A676" s="14" t="s">
        <v>921</v>
      </c>
    </row>
    <row r="677" spans="1:1" x14ac:dyDescent="0.25">
      <c r="A677" s="14" t="s">
        <v>660</v>
      </c>
    </row>
    <row r="678" spans="1:1" x14ac:dyDescent="0.25">
      <c r="A678" s="14" t="s">
        <v>657</v>
      </c>
    </row>
    <row r="679" spans="1:1" x14ac:dyDescent="0.25">
      <c r="A679" s="14" t="s">
        <v>922</v>
      </c>
    </row>
    <row r="680" spans="1:1" x14ac:dyDescent="0.25">
      <c r="A680" s="14" t="s">
        <v>659</v>
      </c>
    </row>
    <row r="681" spans="1:1" x14ac:dyDescent="0.25">
      <c r="A681" s="14" t="s">
        <v>656</v>
      </c>
    </row>
    <row r="682" spans="1:1" x14ac:dyDescent="0.25">
      <c r="A682" s="14" t="s">
        <v>923</v>
      </c>
    </row>
    <row r="683" spans="1:1" x14ac:dyDescent="0.25">
      <c r="A683" s="14" t="s">
        <v>661</v>
      </c>
    </row>
    <row r="684" spans="1:1" x14ac:dyDescent="0.25">
      <c r="A684" s="14" t="s">
        <v>658</v>
      </c>
    </row>
    <row r="685" spans="1:1" x14ac:dyDescent="0.25">
      <c r="A685" s="14" t="s">
        <v>798</v>
      </c>
    </row>
    <row r="686" spans="1:1" x14ac:dyDescent="0.25">
      <c r="A686" s="14" t="s">
        <v>459</v>
      </c>
    </row>
    <row r="687" spans="1:1" x14ac:dyDescent="0.25">
      <c r="A687" s="14"/>
    </row>
    <row r="688" spans="1:1" x14ac:dyDescent="0.25">
      <c r="A688" s="14" t="s">
        <v>800</v>
      </c>
    </row>
    <row r="689" spans="1:1" x14ac:dyDescent="0.25">
      <c r="A689" s="14" t="s">
        <v>464</v>
      </c>
    </row>
    <row r="690" spans="1:1" x14ac:dyDescent="0.25">
      <c r="A690" s="14"/>
    </row>
    <row r="691" spans="1:1" x14ac:dyDescent="0.25">
      <c r="A691" s="14" t="s">
        <v>924</v>
      </c>
    </row>
    <row r="692" spans="1:1" x14ac:dyDescent="0.25">
      <c r="A692" s="14" t="s">
        <v>664</v>
      </c>
    </row>
    <row r="693" spans="1:1" x14ac:dyDescent="0.25">
      <c r="A693" s="14"/>
    </row>
    <row r="694" spans="1:1" x14ac:dyDescent="0.25">
      <c r="A694" s="14" t="s">
        <v>925</v>
      </c>
    </row>
    <row r="695" spans="1:1" x14ac:dyDescent="0.25">
      <c r="A695" s="14" t="s">
        <v>663</v>
      </c>
    </row>
    <row r="696" spans="1:1" x14ac:dyDescent="0.25">
      <c r="A696" s="14"/>
    </row>
    <row r="697" spans="1:1" x14ac:dyDescent="0.25">
      <c r="A697" s="14" t="s">
        <v>926</v>
      </c>
    </row>
    <row r="698" spans="1:1" x14ac:dyDescent="0.25">
      <c r="A698" s="14" t="s">
        <v>662</v>
      </c>
    </row>
    <row r="699" spans="1:1" x14ac:dyDescent="0.25">
      <c r="A699" s="14"/>
    </row>
    <row r="700" spans="1:1" x14ac:dyDescent="0.25">
      <c r="A700" s="14" t="s">
        <v>916</v>
      </c>
    </row>
    <row r="701" spans="1:1" x14ac:dyDescent="0.25">
      <c r="A701" s="14" t="s">
        <v>497</v>
      </c>
    </row>
    <row r="702" spans="1:1" x14ac:dyDescent="0.25">
      <c r="A702" s="14" t="s">
        <v>511</v>
      </c>
    </row>
    <row r="703" spans="1:1" x14ac:dyDescent="0.25">
      <c r="A703" s="14" t="s">
        <v>918</v>
      </c>
    </row>
    <row r="704" spans="1:1" x14ac:dyDescent="0.25">
      <c r="A704" s="14" t="s">
        <v>468</v>
      </c>
    </row>
    <row r="705" spans="1:1" x14ac:dyDescent="0.25">
      <c r="A705" s="14" t="s">
        <v>469</v>
      </c>
    </row>
    <row r="706" spans="1:1" x14ac:dyDescent="0.25">
      <c r="A706" s="14" t="s">
        <v>919</v>
      </c>
    </row>
    <row r="707" spans="1:1" x14ac:dyDescent="0.25">
      <c r="A707" s="14" t="s">
        <v>470</v>
      </c>
    </row>
    <row r="708" spans="1:1" x14ac:dyDescent="0.25">
      <c r="A708" s="14" t="s">
        <v>471</v>
      </c>
    </row>
    <row r="709" spans="1:1" x14ac:dyDescent="0.25">
      <c r="A709" s="14" t="s">
        <v>920</v>
      </c>
    </row>
    <row r="710" spans="1:1" x14ac:dyDescent="0.25">
      <c r="A710" s="14" t="s">
        <v>472</v>
      </c>
    </row>
    <row r="711" spans="1:1" x14ac:dyDescent="0.25">
      <c r="A711" s="14" t="s">
        <v>473</v>
      </c>
    </row>
    <row r="712" spans="1:1" x14ac:dyDescent="0.25">
      <c r="A712" s="14" t="s">
        <v>927</v>
      </c>
    </row>
    <row r="713" spans="1:1" x14ac:dyDescent="0.25">
      <c r="A713" s="14" t="s">
        <v>666</v>
      </c>
    </row>
    <row r="714" spans="1:1" x14ac:dyDescent="0.25">
      <c r="A714" s="14" t="s">
        <v>665</v>
      </c>
    </row>
    <row r="715" spans="1:1" x14ac:dyDescent="0.25">
      <c r="A715" s="14" t="s">
        <v>837</v>
      </c>
    </row>
    <row r="716" spans="1:1" x14ac:dyDescent="0.25">
      <c r="A716" s="14" t="s">
        <v>523</v>
      </c>
    </row>
    <row r="717" spans="1:1" x14ac:dyDescent="0.25">
      <c r="A717" s="14" t="s">
        <v>494</v>
      </c>
    </row>
    <row r="718" spans="1:1" x14ac:dyDescent="0.25">
      <c r="A718" s="14" t="s">
        <v>508</v>
      </c>
    </row>
    <row r="719" spans="1:1" x14ac:dyDescent="0.25">
      <c r="A719" s="14" t="s">
        <v>493</v>
      </c>
    </row>
    <row r="720" spans="1:1" x14ac:dyDescent="0.25">
      <c r="A720" s="14" t="s">
        <v>506</v>
      </c>
    </row>
    <row r="721" spans="1:1" x14ac:dyDescent="0.25">
      <c r="A721" s="14" t="s">
        <v>491</v>
      </c>
    </row>
    <row r="722" spans="1:1" x14ac:dyDescent="0.25">
      <c r="A722" s="14" t="s">
        <v>507</v>
      </c>
    </row>
    <row r="723" spans="1:1" x14ac:dyDescent="0.25">
      <c r="A723" s="14" t="s">
        <v>928</v>
      </c>
    </row>
    <row r="724" spans="1:1" x14ac:dyDescent="0.25">
      <c r="A724" s="14" t="s">
        <v>671</v>
      </c>
    </row>
    <row r="725" spans="1:1" x14ac:dyDescent="0.25">
      <c r="A725" s="14" t="s">
        <v>668</v>
      </c>
    </row>
    <row r="726" spans="1:1" x14ac:dyDescent="0.25">
      <c r="A726" s="14" t="s">
        <v>929</v>
      </c>
    </row>
    <row r="727" spans="1:1" x14ac:dyDescent="0.25">
      <c r="A727" s="14" t="s">
        <v>670</v>
      </c>
    </row>
    <row r="728" spans="1:1" x14ac:dyDescent="0.25">
      <c r="A728" s="14" t="s">
        <v>667</v>
      </c>
    </row>
    <row r="729" spans="1:1" x14ac:dyDescent="0.25">
      <c r="A729" s="14" t="s">
        <v>930</v>
      </c>
    </row>
    <row r="730" spans="1:1" x14ac:dyDescent="0.25">
      <c r="A730" s="14" t="s">
        <v>672</v>
      </c>
    </row>
    <row r="731" spans="1:1" x14ac:dyDescent="0.25">
      <c r="A731" s="14" t="s">
        <v>669</v>
      </c>
    </row>
    <row r="732" spans="1:1" x14ac:dyDescent="0.25">
      <c r="A732" s="14" t="s">
        <v>798</v>
      </c>
    </row>
    <row r="733" spans="1:1" x14ac:dyDescent="0.25">
      <c r="A733" s="14" t="s">
        <v>459</v>
      </c>
    </row>
    <row r="734" spans="1:1" x14ac:dyDescent="0.25">
      <c r="A734" s="14"/>
    </row>
    <row r="735" spans="1:1" x14ac:dyDescent="0.25">
      <c r="A735" s="14" t="s">
        <v>814</v>
      </c>
    </row>
    <row r="736" spans="1:1" x14ac:dyDescent="0.25">
      <c r="A736" s="14" t="s">
        <v>674</v>
      </c>
    </row>
    <row r="737" spans="1:1" x14ac:dyDescent="0.25">
      <c r="A737" s="14"/>
    </row>
    <row r="738" spans="1:1" x14ac:dyDescent="0.25">
      <c r="A738" s="14" t="s">
        <v>931</v>
      </c>
    </row>
    <row r="739" spans="1:1" x14ac:dyDescent="0.25">
      <c r="A739" s="14" t="s">
        <v>676</v>
      </c>
    </row>
    <row r="740" spans="1:1" x14ac:dyDescent="0.25">
      <c r="A740" s="14"/>
    </row>
    <row r="741" spans="1:1" x14ac:dyDescent="0.25">
      <c r="A741" s="14" t="s">
        <v>932</v>
      </c>
    </row>
    <row r="742" spans="1:1" x14ac:dyDescent="0.25">
      <c r="A742" s="14" t="s">
        <v>675</v>
      </c>
    </row>
    <row r="743" spans="1:1" x14ac:dyDescent="0.25">
      <c r="A743" s="14"/>
    </row>
    <row r="744" spans="1:1" x14ac:dyDescent="0.25">
      <c r="A744" s="14" t="s">
        <v>933</v>
      </c>
    </row>
    <row r="745" spans="1:1" x14ac:dyDescent="0.25">
      <c r="A745" s="14" t="s">
        <v>673</v>
      </c>
    </row>
    <row r="746" spans="1:1" x14ac:dyDescent="0.25">
      <c r="A746" s="14"/>
    </row>
    <row r="747" spans="1:1" x14ac:dyDescent="0.25">
      <c r="A747" s="14" t="s">
        <v>916</v>
      </c>
    </row>
    <row r="748" spans="1:1" x14ac:dyDescent="0.25">
      <c r="A748" s="14" t="s">
        <v>497</v>
      </c>
    </row>
    <row r="749" spans="1:1" x14ac:dyDescent="0.25">
      <c r="A749" s="14" t="s">
        <v>511</v>
      </c>
    </row>
    <row r="750" spans="1:1" x14ac:dyDescent="0.25">
      <c r="A750" s="14" t="s">
        <v>918</v>
      </c>
    </row>
    <row r="751" spans="1:1" x14ac:dyDescent="0.25">
      <c r="A751" s="14" t="s">
        <v>468</v>
      </c>
    </row>
    <row r="752" spans="1:1" x14ac:dyDescent="0.25">
      <c r="A752" s="14" t="s">
        <v>469</v>
      </c>
    </row>
    <row r="753" spans="1:1" x14ac:dyDescent="0.25">
      <c r="A753" s="14" t="s">
        <v>919</v>
      </c>
    </row>
    <row r="754" spans="1:1" x14ac:dyDescent="0.25">
      <c r="A754" s="14" t="s">
        <v>470</v>
      </c>
    </row>
    <row r="755" spans="1:1" x14ac:dyDescent="0.25">
      <c r="A755" s="14" t="s">
        <v>471</v>
      </c>
    </row>
    <row r="756" spans="1:1" x14ac:dyDescent="0.25">
      <c r="A756" s="14" t="s">
        <v>920</v>
      </c>
    </row>
    <row r="757" spans="1:1" x14ac:dyDescent="0.25">
      <c r="A757" s="14" t="s">
        <v>472</v>
      </c>
    </row>
    <row r="758" spans="1:1" x14ac:dyDescent="0.25">
      <c r="A758" s="14" t="s">
        <v>473</v>
      </c>
    </row>
    <row r="759" spans="1:1" x14ac:dyDescent="0.25">
      <c r="A759" s="14" t="s">
        <v>934</v>
      </c>
    </row>
    <row r="760" spans="1:1" x14ac:dyDescent="0.25">
      <c r="A760" s="14" t="s">
        <v>678</v>
      </c>
    </row>
    <row r="761" spans="1:1" x14ac:dyDescent="0.25">
      <c r="A761" s="14" t="s">
        <v>677</v>
      </c>
    </row>
    <row r="762" spans="1:1" x14ac:dyDescent="0.25">
      <c r="A762" s="14" t="s">
        <v>845</v>
      </c>
    </row>
    <row r="763" spans="1:1" x14ac:dyDescent="0.25">
      <c r="A763" s="14" t="s">
        <v>523</v>
      </c>
    </row>
    <row r="764" spans="1:1" x14ac:dyDescent="0.25">
      <c r="A764" s="14" t="s">
        <v>494</v>
      </c>
    </row>
    <row r="765" spans="1:1" x14ac:dyDescent="0.25">
      <c r="A765" s="14" t="s">
        <v>508</v>
      </c>
    </row>
    <row r="766" spans="1:1" x14ac:dyDescent="0.25">
      <c r="A766" s="14" t="s">
        <v>493</v>
      </c>
    </row>
    <row r="767" spans="1:1" x14ac:dyDescent="0.25">
      <c r="A767" s="14" t="s">
        <v>506</v>
      </c>
    </row>
    <row r="768" spans="1:1" x14ac:dyDescent="0.25">
      <c r="A768" s="14" t="s">
        <v>491</v>
      </c>
    </row>
    <row r="769" spans="1:1" x14ac:dyDescent="0.25">
      <c r="A769" s="14" t="s">
        <v>507</v>
      </c>
    </row>
    <row r="770" spans="1:1" x14ac:dyDescent="0.25">
      <c r="A770" s="14" t="s">
        <v>935</v>
      </c>
    </row>
    <row r="771" spans="1:1" x14ac:dyDescent="0.25">
      <c r="A771" s="14" t="s">
        <v>683</v>
      </c>
    </row>
    <row r="772" spans="1:1" x14ac:dyDescent="0.25">
      <c r="A772" s="14" t="s">
        <v>680</v>
      </c>
    </row>
    <row r="773" spans="1:1" x14ac:dyDescent="0.25">
      <c r="A773" s="14" t="s">
        <v>936</v>
      </c>
    </row>
    <row r="774" spans="1:1" x14ac:dyDescent="0.25">
      <c r="A774" s="14" t="s">
        <v>682</v>
      </c>
    </row>
    <row r="775" spans="1:1" x14ac:dyDescent="0.25">
      <c r="A775" s="14" t="s">
        <v>679</v>
      </c>
    </row>
    <row r="776" spans="1:1" x14ac:dyDescent="0.25">
      <c r="A776" s="14" t="s">
        <v>937</v>
      </c>
    </row>
    <row r="777" spans="1:1" x14ac:dyDescent="0.25">
      <c r="A777" s="14" t="s">
        <v>684</v>
      </c>
    </row>
    <row r="778" spans="1:1" x14ac:dyDescent="0.25">
      <c r="A778" s="14" t="s">
        <v>681</v>
      </c>
    </row>
    <row r="779" spans="1:1" x14ac:dyDescent="0.25">
      <c r="A779" s="14" t="s">
        <v>798</v>
      </c>
    </row>
    <row r="780" spans="1:1" x14ac:dyDescent="0.25">
      <c r="A780" s="14" t="s">
        <v>459</v>
      </c>
    </row>
    <row r="781" spans="1:1" x14ac:dyDescent="0.25">
      <c r="A781" s="14"/>
    </row>
    <row r="782" spans="1:1" x14ac:dyDescent="0.25">
      <c r="A782" s="14" t="s">
        <v>815</v>
      </c>
    </row>
    <row r="783" spans="1:1" x14ac:dyDescent="0.25">
      <c r="A783" s="14" t="s">
        <v>686</v>
      </c>
    </row>
    <row r="784" spans="1:1" x14ac:dyDescent="0.25">
      <c r="A784" s="14"/>
    </row>
    <row r="785" spans="1:1" x14ac:dyDescent="0.25">
      <c r="A785" s="14" t="s">
        <v>938</v>
      </c>
    </row>
    <row r="786" spans="1:1" x14ac:dyDescent="0.25">
      <c r="A786" s="14" t="s">
        <v>688</v>
      </c>
    </row>
    <row r="787" spans="1:1" x14ac:dyDescent="0.25">
      <c r="A787" s="14"/>
    </row>
    <row r="788" spans="1:1" x14ac:dyDescent="0.25">
      <c r="A788" s="14" t="s">
        <v>939</v>
      </c>
    </row>
    <row r="789" spans="1:1" x14ac:dyDescent="0.25">
      <c r="A789" s="14" t="s">
        <v>687</v>
      </c>
    </row>
    <row r="790" spans="1:1" x14ac:dyDescent="0.25">
      <c r="A790" s="14"/>
    </row>
    <row r="791" spans="1:1" x14ac:dyDescent="0.25">
      <c r="A791" s="14" t="s">
        <v>940</v>
      </c>
    </row>
    <row r="792" spans="1:1" x14ac:dyDescent="0.25">
      <c r="A792" s="14" t="s">
        <v>685</v>
      </c>
    </row>
    <row r="793" spans="1:1" x14ac:dyDescent="0.25">
      <c r="A793" s="14"/>
    </row>
    <row r="794" spans="1:1" x14ac:dyDescent="0.25">
      <c r="A794" s="14" t="s">
        <v>916</v>
      </c>
    </row>
    <row r="795" spans="1:1" x14ac:dyDescent="0.25">
      <c r="A795" s="14" t="s">
        <v>497</v>
      </c>
    </row>
    <row r="796" spans="1:1" x14ac:dyDescent="0.25">
      <c r="A796" s="14" t="s">
        <v>511</v>
      </c>
    </row>
    <row r="797" spans="1:1" x14ac:dyDescent="0.25">
      <c r="A797" s="14" t="s">
        <v>918</v>
      </c>
    </row>
    <row r="798" spans="1:1" x14ac:dyDescent="0.25">
      <c r="A798" s="14" t="s">
        <v>468</v>
      </c>
    </row>
    <row r="799" spans="1:1" x14ac:dyDescent="0.25">
      <c r="A799" s="14" t="s">
        <v>469</v>
      </c>
    </row>
    <row r="800" spans="1:1" x14ac:dyDescent="0.25">
      <c r="A800" s="14" t="s">
        <v>919</v>
      </c>
    </row>
    <row r="801" spans="1:1" x14ac:dyDescent="0.25">
      <c r="A801" s="14" t="s">
        <v>470</v>
      </c>
    </row>
    <row r="802" spans="1:1" x14ac:dyDescent="0.25">
      <c r="A802" s="14" t="s">
        <v>471</v>
      </c>
    </row>
    <row r="803" spans="1:1" x14ac:dyDescent="0.25">
      <c r="A803" s="14" t="s">
        <v>920</v>
      </c>
    </row>
    <row r="804" spans="1:1" x14ac:dyDescent="0.25">
      <c r="A804" s="14" t="s">
        <v>472</v>
      </c>
    </row>
    <row r="805" spans="1:1" x14ac:dyDescent="0.25">
      <c r="A805" s="14" t="s">
        <v>473</v>
      </c>
    </row>
    <row r="806" spans="1:1" x14ac:dyDescent="0.25">
      <c r="A806" s="14" t="s">
        <v>934</v>
      </c>
    </row>
    <row r="807" spans="1:1" x14ac:dyDescent="0.25">
      <c r="A807" s="14" t="s">
        <v>678</v>
      </c>
    </row>
    <row r="808" spans="1:1" x14ac:dyDescent="0.25">
      <c r="A808" s="14" t="s">
        <v>677</v>
      </c>
    </row>
    <row r="809" spans="1:1" x14ac:dyDescent="0.25">
      <c r="A809" s="14" t="s">
        <v>852</v>
      </c>
    </row>
    <row r="810" spans="1:1" x14ac:dyDescent="0.25">
      <c r="A810" s="14" t="s">
        <v>523</v>
      </c>
    </row>
    <row r="811" spans="1:1" x14ac:dyDescent="0.25">
      <c r="A811" s="14" t="s">
        <v>493</v>
      </c>
    </row>
    <row r="812" spans="1:1" x14ac:dyDescent="0.25">
      <c r="A812" s="14" t="s">
        <v>506</v>
      </c>
    </row>
    <row r="813" spans="1:1" x14ac:dyDescent="0.25">
      <c r="A813" s="14" t="s">
        <v>491</v>
      </c>
    </row>
    <row r="814" spans="1:1" x14ac:dyDescent="0.25">
      <c r="A814" s="14" t="s">
        <v>507</v>
      </c>
    </row>
    <row r="815" spans="1:1" x14ac:dyDescent="0.25">
      <c r="A815" s="14" t="s">
        <v>941</v>
      </c>
    </row>
    <row r="816" spans="1:1" x14ac:dyDescent="0.25">
      <c r="A816" s="14" t="s">
        <v>695</v>
      </c>
    </row>
    <row r="817" spans="1:1" x14ac:dyDescent="0.25">
      <c r="A817" s="14" t="s">
        <v>692</v>
      </c>
    </row>
    <row r="818" spans="1:1" x14ac:dyDescent="0.25">
      <c r="A818" s="14" t="s">
        <v>942</v>
      </c>
    </row>
    <row r="819" spans="1:1" x14ac:dyDescent="0.25">
      <c r="A819" s="14" t="s">
        <v>694</v>
      </c>
    </row>
    <row r="820" spans="1:1" x14ac:dyDescent="0.25">
      <c r="A820" s="14" t="s">
        <v>689</v>
      </c>
    </row>
    <row r="821" spans="1:1" x14ac:dyDescent="0.25">
      <c r="A821" s="14" t="s">
        <v>943</v>
      </c>
    </row>
    <row r="822" spans="1:1" x14ac:dyDescent="0.25">
      <c r="A822" s="14" t="s">
        <v>696</v>
      </c>
    </row>
    <row r="823" spans="1:1" x14ac:dyDescent="0.25">
      <c r="A823" s="14" t="s">
        <v>690</v>
      </c>
    </row>
    <row r="824" spans="1:1" x14ac:dyDescent="0.25">
      <c r="A824" s="14" t="s">
        <v>944</v>
      </c>
    </row>
    <row r="825" spans="1:1" x14ac:dyDescent="0.25">
      <c r="A825" s="14" t="s">
        <v>693</v>
      </c>
    </row>
    <row r="826" spans="1:1" x14ac:dyDescent="0.25">
      <c r="A826" s="14" t="s">
        <v>691</v>
      </c>
    </row>
    <row r="827" spans="1:1" x14ac:dyDescent="0.25">
      <c r="A827" s="14" t="s">
        <v>816</v>
      </c>
    </row>
    <row r="828" spans="1:1" x14ac:dyDescent="0.25">
      <c r="A828" s="14" t="s">
        <v>699</v>
      </c>
    </row>
    <row r="829" spans="1:1" x14ac:dyDescent="0.25">
      <c r="A829" s="14"/>
    </row>
    <row r="830" spans="1:1" x14ac:dyDescent="0.25">
      <c r="A830" s="14" t="s">
        <v>945</v>
      </c>
    </row>
    <row r="831" spans="1:1" x14ac:dyDescent="0.25">
      <c r="A831" s="14" t="s">
        <v>701</v>
      </c>
    </row>
    <row r="832" spans="1:1" x14ac:dyDescent="0.25">
      <c r="A832" s="14"/>
    </row>
    <row r="833" spans="1:1" x14ac:dyDescent="0.25">
      <c r="A833" s="14" t="s">
        <v>946</v>
      </c>
    </row>
    <row r="834" spans="1:1" x14ac:dyDescent="0.25">
      <c r="A834" s="14" t="s">
        <v>700</v>
      </c>
    </row>
    <row r="835" spans="1:1" x14ac:dyDescent="0.25">
      <c r="A835" s="14"/>
    </row>
    <row r="836" spans="1:1" x14ac:dyDescent="0.25">
      <c r="A836" s="14" t="s">
        <v>947</v>
      </c>
    </row>
    <row r="837" spans="1:1" x14ac:dyDescent="0.25">
      <c r="A837" s="14" t="s">
        <v>698</v>
      </c>
    </row>
    <row r="838" spans="1:1" x14ac:dyDescent="0.25">
      <c r="A838" s="14"/>
    </row>
    <row r="839" spans="1:1" x14ac:dyDescent="0.25">
      <c r="A839" s="14" t="s">
        <v>948</v>
      </c>
    </row>
    <row r="840" spans="1:1" x14ac:dyDescent="0.25">
      <c r="A840" s="14" t="s">
        <v>697</v>
      </c>
    </row>
    <row r="841" spans="1:1" x14ac:dyDescent="0.25">
      <c r="A841" s="14"/>
    </row>
    <row r="842" spans="1:1" x14ac:dyDescent="0.25">
      <c r="A842" s="14" t="s">
        <v>916</v>
      </c>
    </row>
    <row r="843" spans="1:1" x14ac:dyDescent="0.25">
      <c r="A843" s="14" t="s">
        <v>497</v>
      </c>
    </row>
    <row r="844" spans="1:1" x14ac:dyDescent="0.25">
      <c r="A844" s="14" t="s">
        <v>511</v>
      </c>
    </row>
    <row r="845" spans="1:1" x14ac:dyDescent="0.25">
      <c r="A845" s="14" t="s">
        <v>918</v>
      </c>
    </row>
    <row r="846" spans="1:1" x14ac:dyDescent="0.25">
      <c r="A846" s="14" t="s">
        <v>468</v>
      </c>
    </row>
    <row r="847" spans="1:1" x14ac:dyDescent="0.25">
      <c r="A847" s="14" t="s">
        <v>469</v>
      </c>
    </row>
    <row r="848" spans="1:1" x14ac:dyDescent="0.25">
      <c r="A848" s="14" t="s">
        <v>919</v>
      </c>
    </row>
    <row r="849" spans="1:1" x14ac:dyDescent="0.25">
      <c r="A849" s="14" t="s">
        <v>470</v>
      </c>
    </row>
    <row r="850" spans="1:1" x14ac:dyDescent="0.25">
      <c r="A850" s="14" t="s">
        <v>471</v>
      </c>
    </row>
    <row r="851" spans="1:1" x14ac:dyDescent="0.25">
      <c r="A851" s="14" t="s">
        <v>920</v>
      </c>
    </row>
    <row r="852" spans="1:1" x14ac:dyDescent="0.25">
      <c r="A852" s="14" t="s">
        <v>472</v>
      </c>
    </row>
    <row r="853" spans="1:1" x14ac:dyDescent="0.25">
      <c r="A853" s="14" t="s">
        <v>473</v>
      </c>
    </row>
    <row r="854" spans="1:1" x14ac:dyDescent="0.25">
      <c r="A854" s="14" t="s">
        <v>934</v>
      </c>
    </row>
    <row r="855" spans="1:1" x14ac:dyDescent="0.25">
      <c r="A855" s="14" t="s">
        <v>678</v>
      </c>
    </row>
    <row r="856" spans="1:1" x14ac:dyDescent="0.25">
      <c r="A856" s="14" t="s">
        <v>677</v>
      </c>
    </row>
    <row r="857" spans="1:1" x14ac:dyDescent="0.25">
      <c r="A857" s="14" t="s">
        <v>949</v>
      </c>
    </row>
    <row r="858" spans="1:1" x14ac:dyDescent="0.25">
      <c r="A858" s="14" t="s">
        <v>703</v>
      </c>
    </row>
    <row r="859" spans="1:1" x14ac:dyDescent="0.25">
      <c r="A859" s="14" t="s">
        <v>702</v>
      </c>
    </row>
    <row r="860" spans="1:1" x14ac:dyDescent="0.25">
      <c r="A860" s="14" t="s">
        <v>862</v>
      </c>
    </row>
    <row r="861" spans="1:1" x14ac:dyDescent="0.25">
      <c r="A861" s="14" t="s">
        <v>523</v>
      </c>
    </row>
    <row r="862" spans="1:1" x14ac:dyDescent="0.25">
      <c r="A862" s="14" t="s">
        <v>493</v>
      </c>
    </row>
    <row r="863" spans="1:1" x14ac:dyDescent="0.25">
      <c r="A863" s="14" t="s">
        <v>506</v>
      </c>
    </row>
    <row r="864" spans="1:1" x14ac:dyDescent="0.25">
      <c r="A864" s="14" t="s">
        <v>491</v>
      </c>
    </row>
    <row r="865" spans="1:1" x14ac:dyDescent="0.25">
      <c r="A865" s="14" t="s">
        <v>507</v>
      </c>
    </row>
    <row r="866" spans="1:1" x14ac:dyDescent="0.25">
      <c r="A866" s="14" t="s">
        <v>944</v>
      </c>
    </row>
    <row r="867" spans="1:1" x14ac:dyDescent="0.25">
      <c r="A867" s="14" t="s">
        <v>693</v>
      </c>
    </row>
    <row r="868" spans="1:1" x14ac:dyDescent="0.25">
      <c r="A868" s="14" t="s">
        <v>691</v>
      </c>
    </row>
    <row r="869" spans="1:1" x14ac:dyDescent="0.25">
      <c r="A869" s="14" t="s">
        <v>950</v>
      </c>
    </row>
    <row r="870" spans="1:1" x14ac:dyDescent="0.25">
      <c r="A870" s="14" t="s">
        <v>708</v>
      </c>
    </row>
    <row r="871" spans="1:1" x14ac:dyDescent="0.25">
      <c r="A871" s="14" t="s">
        <v>706</v>
      </c>
    </row>
    <row r="872" spans="1:1" x14ac:dyDescent="0.25">
      <c r="A872" s="14" t="s">
        <v>951</v>
      </c>
    </row>
    <row r="873" spans="1:1" x14ac:dyDescent="0.25">
      <c r="A873" s="14" t="s">
        <v>707</v>
      </c>
    </row>
    <row r="874" spans="1:1" x14ac:dyDescent="0.25">
      <c r="A874" s="14" t="s">
        <v>704</v>
      </c>
    </row>
    <row r="875" spans="1:1" x14ac:dyDescent="0.25">
      <c r="A875" s="14" t="s">
        <v>952</v>
      </c>
    </row>
    <row r="876" spans="1:1" x14ac:dyDescent="0.25">
      <c r="A876" s="14" t="s">
        <v>709</v>
      </c>
    </row>
    <row r="877" spans="1:1" x14ac:dyDescent="0.25">
      <c r="A877" s="14" t="s">
        <v>705</v>
      </c>
    </row>
    <row r="878" spans="1:1" x14ac:dyDescent="0.25">
      <c r="A878" s="14" t="s">
        <v>817</v>
      </c>
    </row>
    <row r="879" spans="1:1" x14ac:dyDescent="0.25">
      <c r="A879" s="14" t="s">
        <v>712</v>
      </c>
    </row>
    <row r="880" spans="1:1" x14ac:dyDescent="0.25">
      <c r="A880" s="14"/>
    </row>
    <row r="881" spans="1:1" x14ac:dyDescent="0.25">
      <c r="A881" s="14" t="s">
        <v>953</v>
      </c>
    </row>
    <row r="882" spans="1:1" x14ac:dyDescent="0.25">
      <c r="A882" s="14" t="s">
        <v>714</v>
      </c>
    </row>
    <row r="883" spans="1:1" x14ac:dyDescent="0.25">
      <c r="A883" s="14"/>
    </row>
    <row r="884" spans="1:1" x14ac:dyDescent="0.25">
      <c r="A884" s="14" t="s">
        <v>954</v>
      </c>
    </row>
    <row r="885" spans="1:1" x14ac:dyDescent="0.25">
      <c r="A885" s="14" t="s">
        <v>713</v>
      </c>
    </row>
    <row r="886" spans="1:1" x14ac:dyDescent="0.25">
      <c r="A886" s="14"/>
    </row>
    <row r="887" spans="1:1" x14ac:dyDescent="0.25">
      <c r="A887" s="14" t="s">
        <v>955</v>
      </c>
    </row>
    <row r="888" spans="1:1" x14ac:dyDescent="0.25">
      <c r="A888" s="14" t="s">
        <v>711</v>
      </c>
    </row>
    <row r="889" spans="1:1" x14ac:dyDescent="0.25">
      <c r="A889" s="14"/>
    </row>
    <row r="890" spans="1:1" x14ac:dyDescent="0.25">
      <c r="A890" s="14" t="s">
        <v>956</v>
      </c>
    </row>
    <row r="891" spans="1:1" x14ac:dyDescent="0.25">
      <c r="A891" s="14" t="s">
        <v>710</v>
      </c>
    </row>
    <row r="892" spans="1:1" x14ac:dyDescent="0.25">
      <c r="A892" s="14"/>
    </row>
    <row r="893" spans="1:1" x14ac:dyDescent="0.25">
      <c r="A893" s="14" t="s">
        <v>916</v>
      </c>
    </row>
    <row r="894" spans="1:1" x14ac:dyDescent="0.25">
      <c r="A894" s="14" t="s">
        <v>497</v>
      </c>
    </row>
    <row r="895" spans="1:1" x14ac:dyDescent="0.25">
      <c r="A895" s="14" t="s">
        <v>511</v>
      </c>
    </row>
    <row r="896" spans="1:1" x14ac:dyDescent="0.25">
      <c r="A896" s="14" t="s">
        <v>918</v>
      </c>
    </row>
    <row r="897" spans="1:1" x14ac:dyDescent="0.25">
      <c r="A897" s="14" t="s">
        <v>468</v>
      </c>
    </row>
    <row r="898" spans="1:1" x14ac:dyDescent="0.25">
      <c r="A898" s="14" t="s">
        <v>469</v>
      </c>
    </row>
    <row r="899" spans="1:1" x14ac:dyDescent="0.25">
      <c r="A899" s="14" t="s">
        <v>919</v>
      </c>
    </row>
    <row r="900" spans="1:1" x14ac:dyDescent="0.25">
      <c r="A900" s="14" t="s">
        <v>470</v>
      </c>
    </row>
    <row r="901" spans="1:1" x14ac:dyDescent="0.25">
      <c r="A901" s="14" t="s">
        <v>471</v>
      </c>
    </row>
    <row r="902" spans="1:1" x14ac:dyDescent="0.25">
      <c r="A902" s="14" t="s">
        <v>920</v>
      </c>
    </row>
    <row r="903" spans="1:1" x14ac:dyDescent="0.25">
      <c r="A903" s="14" t="s">
        <v>472</v>
      </c>
    </row>
    <row r="904" spans="1:1" x14ac:dyDescent="0.25">
      <c r="A904" s="14" t="s">
        <v>473</v>
      </c>
    </row>
    <row r="905" spans="1:1" x14ac:dyDescent="0.25">
      <c r="A905" s="14" t="s">
        <v>934</v>
      </c>
    </row>
    <row r="906" spans="1:1" x14ac:dyDescent="0.25">
      <c r="A906" s="14" t="s">
        <v>678</v>
      </c>
    </row>
    <row r="907" spans="1:1" x14ac:dyDescent="0.25">
      <c r="A907" s="14" t="s">
        <v>677</v>
      </c>
    </row>
    <row r="908" spans="1:1" x14ac:dyDescent="0.25">
      <c r="A908" s="14" t="s">
        <v>949</v>
      </c>
    </row>
    <row r="909" spans="1:1" x14ac:dyDescent="0.25">
      <c r="A909" s="14" t="s">
        <v>703</v>
      </c>
    </row>
    <row r="910" spans="1:1" x14ac:dyDescent="0.25">
      <c r="A910" s="14" t="s">
        <v>702</v>
      </c>
    </row>
    <row r="911" spans="1:1" x14ac:dyDescent="0.25">
      <c r="A911" s="14" t="s">
        <v>870</v>
      </c>
    </row>
    <row r="912" spans="1:1" x14ac:dyDescent="0.25">
      <c r="A912" s="14" t="s">
        <v>523</v>
      </c>
    </row>
    <row r="913" spans="1:1" x14ac:dyDescent="0.25">
      <c r="A913" s="14" t="s">
        <v>493</v>
      </c>
    </row>
    <row r="914" spans="1:1" x14ac:dyDescent="0.25">
      <c r="A914" s="14" t="s">
        <v>506</v>
      </c>
    </row>
    <row r="915" spans="1:1" x14ac:dyDescent="0.25">
      <c r="A915" s="14" t="s">
        <v>491</v>
      </c>
    </row>
    <row r="916" spans="1:1" x14ac:dyDescent="0.25">
      <c r="A916" s="14" t="s">
        <v>507</v>
      </c>
    </row>
    <row r="917" spans="1:1" x14ac:dyDescent="0.25">
      <c r="A917" s="14" t="s">
        <v>944</v>
      </c>
    </row>
    <row r="918" spans="1:1" x14ac:dyDescent="0.25">
      <c r="A918" s="14" t="s">
        <v>693</v>
      </c>
    </row>
    <row r="919" spans="1:1" x14ac:dyDescent="0.25">
      <c r="A919" s="14" t="s">
        <v>691</v>
      </c>
    </row>
    <row r="920" spans="1:1" x14ac:dyDescent="0.25">
      <c r="A920" s="14" t="s">
        <v>957</v>
      </c>
    </row>
    <row r="921" spans="1:1" x14ac:dyDescent="0.25">
      <c r="A921" s="14" t="s">
        <v>719</v>
      </c>
    </row>
    <row r="922" spans="1:1" x14ac:dyDescent="0.25">
      <c r="A922" s="14" t="s">
        <v>717</v>
      </c>
    </row>
    <row r="923" spans="1:1" x14ac:dyDescent="0.25">
      <c r="A923" s="14" t="s">
        <v>958</v>
      </c>
    </row>
    <row r="924" spans="1:1" x14ac:dyDescent="0.25">
      <c r="A924" s="14" t="s">
        <v>718</v>
      </c>
    </row>
    <row r="925" spans="1:1" x14ac:dyDescent="0.25">
      <c r="A925" s="14" t="s">
        <v>715</v>
      </c>
    </row>
    <row r="926" spans="1:1" x14ac:dyDescent="0.25">
      <c r="A926" s="14" t="s">
        <v>959</v>
      </c>
    </row>
    <row r="927" spans="1:1" x14ac:dyDescent="0.25">
      <c r="A927" s="14" t="s">
        <v>720</v>
      </c>
    </row>
    <row r="928" spans="1:1" x14ac:dyDescent="0.25">
      <c r="A928" s="14" t="s">
        <v>716</v>
      </c>
    </row>
    <row r="929" spans="1:1" x14ac:dyDescent="0.25">
      <c r="A929" s="14" t="s">
        <v>818</v>
      </c>
    </row>
    <row r="930" spans="1:1" x14ac:dyDescent="0.25">
      <c r="A930" s="14" t="s">
        <v>723</v>
      </c>
    </row>
    <row r="931" spans="1:1" x14ac:dyDescent="0.25">
      <c r="A931" s="14"/>
    </row>
    <row r="932" spans="1:1" x14ac:dyDescent="0.25">
      <c r="A932" s="14" t="s">
        <v>960</v>
      </c>
    </row>
    <row r="933" spans="1:1" x14ac:dyDescent="0.25">
      <c r="A933" s="14" t="s">
        <v>725</v>
      </c>
    </row>
    <row r="934" spans="1:1" x14ac:dyDescent="0.25">
      <c r="A934" s="14"/>
    </row>
    <row r="935" spans="1:1" x14ac:dyDescent="0.25">
      <c r="A935" s="14" t="s">
        <v>961</v>
      </c>
    </row>
    <row r="936" spans="1:1" x14ac:dyDescent="0.25">
      <c r="A936" s="14" t="s">
        <v>724</v>
      </c>
    </row>
    <row r="937" spans="1:1" x14ac:dyDescent="0.25">
      <c r="A937" s="14"/>
    </row>
    <row r="938" spans="1:1" x14ac:dyDescent="0.25">
      <c r="A938" s="14" t="s">
        <v>962</v>
      </c>
    </row>
    <row r="939" spans="1:1" x14ac:dyDescent="0.25">
      <c r="A939" s="14" t="s">
        <v>722</v>
      </c>
    </row>
    <row r="940" spans="1:1" x14ac:dyDescent="0.25">
      <c r="A940" s="14"/>
    </row>
    <row r="941" spans="1:1" x14ac:dyDescent="0.25">
      <c r="A941" s="14" t="s">
        <v>963</v>
      </c>
    </row>
    <row r="942" spans="1:1" x14ac:dyDescent="0.25">
      <c r="A942" s="14" t="s">
        <v>721</v>
      </c>
    </row>
    <row r="943" spans="1:1" x14ac:dyDescent="0.25">
      <c r="A943" s="14"/>
    </row>
    <row r="944" spans="1:1" x14ac:dyDescent="0.25">
      <c r="A944" s="14" t="s">
        <v>916</v>
      </c>
    </row>
    <row r="945" spans="1:1" x14ac:dyDescent="0.25">
      <c r="A945" s="14" t="s">
        <v>497</v>
      </c>
    </row>
    <row r="946" spans="1:1" x14ac:dyDescent="0.25">
      <c r="A946" s="14" t="s">
        <v>511</v>
      </c>
    </row>
    <row r="947" spans="1:1" x14ac:dyDescent="0.25">
      <c r="A947" s="14" t="s">
        <v>918</v>
      </c>
    </row>
    <row r="948" spans="1:1" x14ac:dyDescent="0.25">
      <c r="A948" s="14" t="s">
        <v>468</v>
      </c>
    </row>
    <row r="949" spans="1:1" x14ac:dyDescent="0.25">
      <c r="A949" s="14" t="s">
        <v>469</v>
      </c>
    </row>
    <row r="950" spans="1:1" x14ac:dyDescent="0.25">
      <c r="A950" s="14" t="s">
        <v>919</v>
      </c>
    </row>
    <row r="951" spans="1:1" x14ac:dyDescent="0.25">
      <c r="A951" s="14" t="s">
        <v>470</v>
      </c>
    </row>
    <row r="952" spans="1:1" x14ac:dyDescent="0.25">
      <c r="A952" s="14" t="s">
        <v>471</v>
      </c>
    </row>
    <row r="953" spans="1:1" x14ac:dyDescent="0.25">
      <c r="A953" s="14" t="s">
        <v>920</v>
      </c>
    </row>
    <row r="954" spans="1:1" x14ac:dyDescent="0.25">
      <c r="A954" s="14" t="s">
        <v>472</v>
      </c>
    </row>
    <row r="955" spans="1:1" x14ac:dyDescent="0.25">
      <c r="A955" s="14" t="s">
        <v>473</v>
      </c>
    </row>
    <row r="956" spans="1:1" x14ac:dyDescent="0.25">
      <c r="A956" s="14" t="s">
        <v>934</v>
      </c>
    </row>
    <row r="957" spans="1:1" x14ac:dyDescent="0.25">
      <c r="A957" s="14" t="s">
        <v>678</v>
      </c>
    </row>
    <row r="958" spans="1:1" x14ac:dyDescent="0.25">
      <c r="A958" s="14" t="s">
        <v>677</v>
      </c>
    </row>
    <row r="959" spans="1:1" x14ac:dyDescent="0.25">
      <c r="A959" s="14" t="s">
        <v>949</v>
      </c>
    </row>
    <row r="960" spans="1:1" x14ac:dyDescent="0.25">
      <c r="A960" s="14" t="s">
        <v>703</v>
      </c>
    </row>
    <row r="961" spans="1:1" x14ac:dyDescent="0.25">
      <c r="A961" s="14" t="s">
        <v>702</v>
      </c>
    </row>
    <row r="962" spans="1:1" x14ac:dyDescent="0.25">
      <c r="A962" s="14" t="s">
        <v>878</v>
      </c>
    </row>
    <row r="963" spans="1:1" x14ac:dyDescent="0.25">
      <c r="A963" s="14" t="s">
        <v>523</v>
      </c>
    </row>
    <row r="964" spans="1:1" x14ac:dyDescent="0.25">
      <c r="A964" s="14" t="s">
        <v>493</v>
      </c>
    </row>
    <row r="965" spans="1:1" x14ac:dyDescent="0.25">
      <c r="A965" s="14" t="s">
        <v>506</v>
      </c>
    </row>
    <row r="966" spans="1:1" x14ac:dyDescent="0.25">
      <c r="A966" s="14" t="s">
        <v>491</v>
      </c>
    </row>
    <row r="967" spans="1:1" x14ac:dyDescent="0.25">
      <c r="A967" s="14" t="s">
        <v>507</v>
      </c>
    </row>
    <row r="968" spans="1:1" x14ac:dyDescent="0.25">
      <c r="A968" s="14" t="s">
        <v>964</v>
      </c>
    </row>
    <row r="969" spans="1:1" x14ac:dyDescent="0.25">
      <c r="A969" s="14" t="s">
        <v>732</v>
      </c>
    </row>
    <row r="970" spans="1:1" x14ac:dyDescent="0.25">
      <c r="A970" s="14" t="s">
        <v>729</v>
      </c>
    </row>
    <row r="971" spans="1:1" x14ac:dyDescent="0.25">
      <c r="A971" s="14" t="s">
        <v>965</v>
      </c>
    </row>
    <row r="972" spans="1:1" x14ac:dyDescent="0.25">
      <c r="A972" s="14" t="s">
        <v>731</v>
      </c>
    </row>
    <row r="973" spans="1:1" x14ac:dyDescent="0.25">
      <c r="A973" s="14" t="s">
        <v>726</v>
      </c>
    </row>
    <row r="974" spans="1:1" x14ac:dyDescent="0.25">
      <c r="A974" s="14" t="s">
        <v>966</v>
      </c>
    </row>
    <row r="975" spans="1:1" x14ac:dyDescent="0.25">
      <c r="A975" s="14" t="s">
        <v>733</v>
      </c>
    </row>
    <row r="976" spans="1:1" x14ac:dyDescent="0.25">
      <c r="A976" s="14" t="s">
        <v>727</v>
      </c>
    </row>
    <row r="977" spans="1:1" x14ac:dyDescent="0.25">
      <c r="A977" s="14" t="s">
        <v>967</v>
      </c>
    </row>
    <row r="978" spans="1:1" x14ac:dyDescent="0.25">
      <c r="A978" s="14" t="s">
        <v>730</v>
      </c>
    </row>
    <row r="979" spans="1:1" x14ac:dyDescent="0.25">
      <c r="A979" s="14" t="s">
        <v>728</v>
      </c>
    </row>
    <row r="980" spans="1:1" x14ac:dyDescent="0.25">
      <c r="A980" s="14" t="s">
        <v>819</v>
      </c>
    </row>
    <row r="981" spans="1:1" x14ac:dyDescent="0.25">
      <c r="A981" s="14" t="s">
        <v>736</v>
      </c>
    </row>
    <row r="982" spans="1:1" x14ac:dyDescent="0.25">
      <c r="A982" s="14"/>
    </row>
    <row r="983" spans="1:1" x14ac:dyDescent="0.25">
      <c r="A983" s="14" t="s">
        <v>968</v>
      </c>
    </row>
    <row r="984" spans="1:1" x14ac:dyDescent="0.25">
      <c r="A984" s="14" t="s">
        <v>738</v>
      </c>
    </row>
    <row r="985" spans="1:1" x14ac:dyDescent="0.25">
      <c r="A985" s="14"/>
    </row>
    <row r="986" spans="1:1" x14ac:dyDescent="0.25">
      <c r="A986" s="14" t="s">
        <v>969</v>
      </c>
    </row>
    <row r="987" spans="1:1" x14ac:dyDescent="0.25">
      <c r="A987" s="14" t="s">
        <v>737</v>
      </c>
    </row>
    <row r="988" spans="1:1" x14ac:dyDescent="0.25">
      <c r="A988" s="14"/>
    </row>
    <row r="989" spans="1:1" x14ac:dyDescent="0.25">
      <c r="A989" s="14" t="s">
        <v>970</v>
      </c>
    </row>
    <row r="990" spans="1:1" x14ac:dyDescent="0.25">
      <c r="A990" s="14" t="s">
        <v>735</v>
      </c>
    </row>
    <row r="991" spans="1:1" x14ac:dyDescent="0.25">
      <c r="A991" s="14"/>
    </row>
    <row r="992" spans="1:1" x14ac:dyDescent="0.25">
      <c r="A992" s="14" t="s">
        <v>971</v>
      </c>
    </row>
    <row r="993" spans="1:1" x14ac:dyDescent="0.25">
      <c r="A993" s="14" t="s">
        <v>734</v>
      </c>
    </row>
    <row r="994" spans="1:1" x14ac:dyDescent="0.25">
      <c r="A994" s="14"/>
    </row>
    <row r="995" spans="1:1" x14ac:dyDescent="0.25">
      <c r="A995" s="14" t="s">
        <v>916</v>
      </c>
    </row>
    <row r="996" spans="1:1" x14ac:dyDescent="0.25">
      <c r="A996" s="14" t="s">
        <v>497</v>
      </c>
    </row>
    <row r="997" spans="1:1" x14ac:dyDescent="0.25">
      <c r="A997" s="14" t="s">
        <v>511</v>
      </c>
    </row>
    <row r="998" spans="1:1" x14ac:dyDescent="0.25">
      <c r="A998" s="14" t="s">
        <v>918</v>
      </c>
    </row>
    <row r="999" spans="1:1" x14ac:dyDescent="0.25">
      <c r="A999" s="14" t="s">
        <v>468</v>
      </c>
    </row>
    <row r="1000" spans="1:1" x14ac:dyDescent="0.25">
      <c r="A1000" s="14" t="s">
        <v>469</v>
      </c>
    </row>
    <row r="1001" spans="1:1" x14ac:dyDescent="0.25">
      <c r="A1001" s="14" t="s">
        <v>919</v>
      </c>
    </row>
    <row r="1002" spans="1:1" x14ac:dyDescent="0.25">
      <c r="A1002" s="14" t="s">
        <v>470</v>
      </c>
    </row>
    <row r="1003" spans="1:1" x14ac:dyDescent="0.25">
      <c r="A1003" s="14" t="s">
        <v>471</v>
      </c>
    </row>
    <row r="1004" spans="1:1" x14ac:dyDescent="0.25">
      <c r="A1004" s="14" t="s">
        <v>920</v>
      </c>
    </row>
    <row r="1005" spans="1:1" x14ac:dyDescent="0.25">
      <c r="A1005" s="14" t="s">
        <v>472</v>
      </c>
    </row>
    <row r="1006" spans="1:1" x14ac:dyDescent="0.25">
      <c r="A1006" s="14" t="s">
        <v>473</v>
      </c>
    </row>
    <row r="1007" spans="1:1" x14ac:dyDescent="0.25">
      <c r="A1007" s="14" t="s">
        <v>934</v>
      </c>
    </row>
    <row r="1008" spans="1:1" x14ac:dyDescent="0.25">
      <c r="A1008" s="14" t="s">
        <v>678</v>
      </c>
    </row>
    <row r="1009" spans="1:1" x14ac:dyDescent="0.25">
      <c r="A1009" s="14" t="s">
        <v>677</v>
      </c>
    </row>
    <row r="1010" spans="1:1" x14ac:dyDescent="0.25">
      <c r="A1010" s="14" t="s">
        <v>949</v>
      </c>
    </row>
    <row r="1011" spans="1:1" x14ac:dyDescent="0.25">
      <c r="A1011" s="14" t="s">
        <v>703</v>
      </c>
    </row>
    <row r="1012" spans="1:1" x14ac:dyDescent="0.25">
      <c r="A1012" s="14" t="s">
        <v>702</v>
      </c>
    </row>
    <row r="1013" spans="1:1" x14ac:dyDescent="0.25">
      <c r="A1013" s="14" t="s">
        <v>887</v>
      </c>
    </row>
    <row r="1014" spans="1:1" x14ac:dyDescent="0.25">
      <c r="A1014" s="14" t="s">
        <v>523</v>
      </c>
    </row>
    <row r="1015" spans="1:1" x14ac:dyDescent="0.25">
      <c r="A1015" s="14" t="s">
        <v>493</v>
      </c>
    </row>
    <row r="1016" spans="1:1" x14ac:dyDescent="0.25">
      <c r="A1016" s="14" t="s">
        <v>506</v>
      </c>
    </row>
    <row r="1017" spans="1:1" x14ac:dyDescent="0.25">
      <c r="A1017" s="14" t="s">
        <v>491</v>
      </c>
    </row>
    <row r="1018" spans="1:1" x14ac:dyDescent="0.25">
      <c r="A1018" s="14" t="s">
        <v>507</v>
      </c>
    </row>
    <row r="1019" spans="1:1" x14ac:dyDescent="0.25">
      <c r="A1019" s="14" t="s">
        <v>967</v>
      </c>
    </row>
    <row r="1020" spans="1:1" x14ac:dyDescent="0.25">
      <c r="A1020" s="14" t="s">
        <v>730</v>
      </c>
    </row>
    <row r="1021" spans="1:1" x14ac:dyDescent="0.25">
      <c r="A1021" s="14" t="s">
        <v>728</v>
      </c>
    </row>
    <row r="1022" spans="1:1" x14ac:dyDescent="0.25">
      <c r="A1022" s="14" t="s">
        <v>972</v>
      </c>
    </row>
    <row r="1023" spans="1:1" x14ac:dyDescent="0.25">
      <c r="A1023" s="14" t="s">
        <v>743</v>
      </c>
    </row>
    <row r="1024" spans="1:1" x14ac:dyDescent="0.25">
      <c r="A1024" s="14" t="s">
        <v>741</v>
      </c>
    </row>
    <row r="1025" spans="1:1" x14ac:dyDescent="0.25">
      <c r="A1025" s="14" t="s">
        <v>973</v>
      </c>
    </row>
    <row r="1026" spans="1:1" x14ac:dyDescent="0.25">
      <c r="A1026" s="14" t="s">
        <v>742</v>
      </c>
    </row>
    <row r="1027" spans="1:1" x14ac:dyDescent="0.25">
      <c r="A1027" s="14" t="s">
        <v>739</v>
      </c>
    </row>
    <row r="1028" spans="1:1" x14ac:dyDescent="0.25">
      <c r="A1028" s="14" t="s">
        <v>974</v>
      </c>
    </row>
    <row r="1029" spans="1:1" x14ac:dyDescent="0.25">
      <c r="A1029" s="14" t="s">
        <v>744</v>
      </c>
    </row>
    <row r="1030" spans="1:1" x14ac:dyDescent="0.25">
      <c r="A1030" s="14" t="s">
        <v>740</v>
      </c>
    </row>
    <row r="1031" spans="1:1" x14ac:dyDescent="0.25">
      <c r="A1031" s="14" t="s">
        <v>820</v>
      </c>
    </row>
    <row r="1032" spans="1:1" x14ac:dyDescent="0.25">
      <c r="A1032" s="14" t="s">
        <v>747</v>
      </c>
    </row>
    <row r="1033" spans="1:1" x14ac:dyDescent="0.25">
      <c r="A1033" s="14"/>
    </row>
    <row r="1034" spans="1:1" x14ac:dyDescent="0.25">
      <c r="A1034" s="14" t="s">
        <v>975</v>
      </c>
    </row>
    <row r="1035" spans="1:1" x14ac:dyDescent="0.25">
      <c r="A1035" s="14" t="s">
        <v>749</v>
      </c>
    </row>
    <row r="1036" spans="1:1" x14ac:dyDescent="0.25">
      <c r="A1036" s="14"/>
    </row>
    <row r="1037" spans="1:1" x14ac:dyDescent="0.25">
      <c r="A1037" s="14" t="s">
        <v>976</v>
      </c>
    </row>
    <row r="1038" spans="1:1" x14ac:dyDescent="0.25">
      <c r="A1038" s="14" t="s">
        <v>748</v>
      </c>
    </row>
    <row r="1039" spans="1:1" x14ac:dyDescent="0.25">
      <c r="A1039" s="14"/>
    </row>
    <row r="1040" spans="1:1" x14ac:dyDescent="0.25">
      <c r="A1040" s="14" t="s">
        <v>977</v>
      </c>
    </row>
    <row r="1041" spans="1:1" x14ac:dyDescent="0.25">
      <c r="A1041" s="14" t="s">
        <v>746</v>
      </c>
    </row>
    <row r="1042" spans="1:1" x14ac:dyDescent="0.25">
      <c r="A1042" s="14"/>
    </row>
    <row r="1043" spans="1:1" x14ac:dyDescent="0.25">
      <c r="A1043" s="14" t="s">
        <v>978</v>
      </c>
    </row>
    <row r="1044" spans="1:1" x14ac:dyDescent="0.25">
      <c r="A1044" s="14" t="s">
        <v>745</v>
      </c>
    </row>
    <row r="1045" spans="1:1" x14ac:dyDescent="0.25">
      <c r="A1045" s="14"/>
    </row>
    <row r="1046" spans="1:1" x14ac:dyDescent="0.25">
      <c r="A1046" s="14" t="s">
        <v>916</v>
      </c>
    </row>
    <row r="1047" spans="1:1" x14ac:dyDescent="0.25">
      <c r="A1047" s="14" t="s">
        <v>497</v>
      </c>
    </row>
    <row r="1048" spans="1:1" x14ac:dyDescent="0.25">
      <c r="A1048" s="14" t="s">
        <v>511</v>
      </c>
    </row>
    <row r="1049" spans="1:1" x14ac:dyDescent="0.25">
      <c r="A1049" s="14" t="s">
        <v>918</v>
      </c>
    </row>
    <row r="1050" spans="1:1" x14ac:dyDescent="0.25">
      <c r="A1050" s="14" t="s">
        <v>468</v>
      </c>
    </row>
    <row r="1051" spans="1:1" x14ac:dyDescent="0.25">
      <c r="A1051" s="14" t="s">
        <v>469</v>
      </c>
    </row>
    <row r="1052" spans="1:1" x14ac:dyDescent="0.25">
      <c r="A1052" s="14" t="s">
        <v>919</v>
      </c>
    </row>
    <row r="1053" spans="1:1" x14ac:dyDescent="0.25">
      <c r="A1053" s="14" t="s">
        <v>470</v>
      </c>
    </row>
    <row r="1054" spans="1:1" x14ac:dyDescent="0.25">
      <c r="A1054" s="14" t="s">
        <v>471</v>
      </c>
    </row>
    <row r="1055" spans="1:1" x14ac:dyDescent="0.25">
      <c r="A1055" s="14" t="s">
        <v>920</v>
      </c>
    </row>
    <row r="1056" spans="1:1" x14ac:dyDescent="0.25">
      <c r="A1056" s="14" t="s">
        <v>472</v>
      </c>
    </row>
    <row r="1057" spans="1:1" x14ac:dyDescent="0.25">
      <c r="A1057" s="14" t="s">
        <v>473</v>
      </c>
    </row>
    <row r="1058" spans="1:1" x14ac:dyDescent="0.25">
      <c r="A1058" s="14" t="s">
        <v>934</v>
      </c>
    </row>
    <row r="1059" spans="1:1" x14ac:dyDescent="0.25">
      <c r="A1059" s="14" t="s">
        <v>678</v>
      </c>
    </row>
    <row r="1060" spans="1:1" x14ac:dyDescent="0.25">
      <c r="A1060" s="14" t="s">
        <v>677</v>
      </c>
    </row>
    <row r="1061" spans="1:1" x14ac:dyDescent="0.25">
      <c r="A1061" s="14" t="s">
        <v>949</v>
      </c>
    </row>
    <row r="1062" spans="1:1" x14ac:dyDescent="0.25">
      <c r="A1062" s="14" t="s">
        <v>703</v>
      </c>
    </row>
    <row r="1063" spans="1:1" x14ac:dyDescent="0.25">
      <c r="A1063" s="14" t="s">
        <v>702</v>
      </c>
    </row>
    <row r="1064" spans="1:1" x14ac:dyDescent="0.25">
      <c r="A1064" s="14" t="s">
        <v>895</v>
      </c>
    </row>
    <row r="1065" spans="1:1" x14ac:dyDescent="0.25">
      <c r="A1065" s="14" t="s">
        <v>523</v>
      </c>
    </row>
    <row r="1066" spans="1:1" x14ac:dyDescent="0.25">
      <c r="A1066" s="14" t="s">
        <v>493</v>
      </c>
    </row>
    <row r="1067" spans="1:1" x14ac:dyDescent="0.25">
      <c r="A1067" s="14" t="s">
        <v>506</v>
      </c>
    </row>
    <row r="1068" spans="1:1" x14ac:dyDescent="0.25">
      <c r="A1068" s="14" t="s">
        <v>491</v>
      </c>
    </row>
    <row r="1069" spans="1:1" x14ac:dyDescent="0.25">
      <c r="A1069" s="14" t="s">
        <v>507</v>
      </c>
    </row>
    <row r="1070" spans="1:1" x14ac:dyDescent="0.25">
      <c r="A1070" s="14" t="s">
        <v>967</v>
      </c>
    </row>
    <row r="1071" spans="1:1" x14ac:dyDescent="0.25">
      <c r="A1071" s="14" t="s">
        <v>730</v>
      </c>
    </row>
    <row r="1072" spans="1:1" x14ac:dyDescent="0.25">
      <c r="A1072" s="14" t="s">
        <v>728</v>
      </c>
    </row>
    <row r="1073" spans="1:1" x14ac:dyDescent="0.25">
      <c r="A1073" s="14" t="s">
        <v>979</v>
      </c>
    </row>
    <row r="1074" spans="1:1" x14ac:dyDescent="0.25">
      <c r="A1074" s="14" t="s">
        <v>754</v>
      </c>
    </row>
    <row r="1075" spans="1:1" x14ac:dyDescent="0.25">
      <c r="A1075" s="14" t="s">
        <v>752</v>
      </c>
    </row>
    <row r="1076" spans="1:1" x14ac:dyDescent="0.25">
      <c r="A1076" s="14" t="s">
        <v>980</v>
      </c>
    </row>
    <row r="1077" spans="1:1" x14ac:dyDescent="0.25">
      <c r="A1077" s="14" t="s">
        <v>753</v>
      </c>
    </row>
    <row r="1078" spans="1:1" x14ac:dyDescent="0.25">
      <c r="A1078" s="14" t="s">
        <v>750</v>
      </c>
    </row>
    <row r="1079" spans="1:1" x14ac:dyDescent="0.25">
      <c r="A1079" s="14" t="s">
        <v>981</v>
      </c>
    </row>
    <row r="1080" spans="1:1" x14ac:dyDescent="0.25">
      <c r="A1080" s="14" t="s">
        <v>755</v>
      </c>
    </row>
    <row r="1081" spans="1:1" x14ac:dyDescent="0.25">
      <c r="A1081" s="14" t="s">
        <v>751</v>
      </c>
    </row>
    <row r="1082" spans="1:1" x14ac:dyDescent="0.25">
      <c r="A1082" s="14" t="s">
        <v>976</v>
      </c>
    </row>
    <row r="1083" spans="1:1" x14ac:dyDescent="0.25">
      <c r="A1083" s="14" t="s">
        <v>748</v>
      </c>
    </row>
    <row r="1084" spans="1:1" x14ac:dyDescent="0.25">
      <c r="A1084" s="14"/>
    </row>
    <row r="1085" spans="1:1" x14ac:dyDescent="0.25">
      <c r="A1085" s="14" t="s">
        <v>821</v>
      </c>
    </row>
    <row r="1086" spans="1:1" x14ac:dyDescent="0.25">
      <c r="A1086" s="14" t="s">
        <v>758</v>
      </c>
    </row>
    <row r="1087" spans="1:1" x14ac:dyDescent="0.25">
      <c r="A1087" s="14"/>
    </row>
    <row r="1088" spans="1:1" x14ac:dyDescent="0.25">
      <c r="A1088" s="14" t="s">
        <v>982</v>
      </c>
    </row>
    <row r="1089" spans="1:1" x14ac:dyDescent="0.25">
      <c r="A1089" s="14" t="s">
        <v>759</v>
      </c>
    </row>
    <row r="1090" spans="1:1" x14ac:dyDescent="0.25">
      <c r="A1090" s="14"/>
    </row>
    <row r="1091" spans="1:1" x14ac:dyDescent="0.25">
      <c r="A1091" s="14" t="s">
        <v>983</v>
      </c>
    </row>
    <row r="1092" spans="1:1" x14ac:dyDescent="0.25">
      <c r="A1092" s="14" t="s">
        <v>757</v>
      </c>
    </row>
    <row r="1093" spans="1:1" x14ac:dyDescent="0.25">
      <c r="A1093" s="14"/>
    </row>
    <row r="1094" spans="1:1" x14ac:dyDescent="0.25">
      <c r="A1094" s="14" t="s">
        <v>984</v>
      </c>
    </row>
    <row r="1095" spans="1:1" x14ac:dyDescent="0.25">
      <c r="A1095" s="14" t="s">
        <v>756</v>
      </c>
    </row>
    <row r="1096" spans="1:1" x14ac:dyDescent="0.25">
      <c r="A1096" s="14"/>
    </row>
    <row r="1097" spans="1:1" x14ac:dyDescent="0.25">
      <c r="A1097" s="14" t="s">
        <v>916</v>
      </c>
    </row>
    <row r="1098" spans="1:1" x14ac:dyDescent="0.25">
      <c r="A1098" s="14" t="s">
        <v>497</v>
      </c>
    </row>
    <row r="1099" spans="1:1" x14ac:dyDescent="0.25">
      <c r="A1099" s="14" t="s">
        <v>511</v>
      </c>
    </row>
    <row r="1100" spans="1:1" x14ac:dyDescent="0.25">
      <c r="A1100" s="14" t="s">
        <v>918</v>
      </c>
    </row>
    <row r="1101" spans="1:1" x14ac:dyDescent="0.25">
      <c r="A1101" s="14" t="s">
        <v>468</v>
      </c>
    </row>
    <row r="1102" spans="1:1" x14ac:dyDescent="0.25">
      <c r="A1102" s="14" t="s">
        <v>469</v>
      </c>
    </row>
    <row r="1103" spans="1:1" x14ac:dyDescent="0.25">
      <c r="A1103" s="14" t="s">
        <v>919</v>
      </c>
    </row>
    <row r="1104" spans="1:1" x14ac:dyDescent="0.25">
      <c r="A1104" s="14" t="s">
        <v>470</v>
      </c>
    </row>
    <row r="1105" spans="1:1" x14ac:dyDescent="0.25">
      <c r="A1105" s="14" t="s">
        <v>471</v>
      </c>
    </row>
    <row r="1106" spans="1:1" x14ac:dyDescent="0.25">
      <c r="A1106" s="14" t="s">
        <v>920</v>
      </c>
    </row>
    <row r="1107" spans="1:1" x14ac:dyDescent="0.25">
      <c r="A1107" s="14" t="s">
        <v>472</v>
      </c>
    </row>
    <row r="1108" spans="1:1" x14ac:dyDescent="0.25">
      <c r="A1108" s="14" t="s">
        <v>473</v>
      </c>
    </row>
    <row r="1109" spans="1:1" x14ac:dyDescent="0.25">
      <c r="A1109" s="14" t="s">
        <v>934</v>
      </c>
    </row>
    <row r="1110" spans="1:1" x14ac:dyDescent="0.25">
      <c r="A1110" s="14" t="s">
        <v>678</v>
      </c>
    </row>
    <row r="1111" spans="1:1" x14ac:dyDescent="0.25">
      <c r="A1111" s="14" t="s">
        <v>677</v>
      </c>
    </row>
    <row r="1112" spans="1:1" x14ac:dyDescent="0.25">
      <c r="A1112" s="14" t="s">
        <v>949</v>
      </c>
    </row>
    <row r="1113" spans="1:1" x14ac:dyDescent="0.25">
      <c r="A1113" s="14" t="s">
        <v>703</v>
      </c>
    </row>
    <row r="1114" spans="1:1" x14ac:dyDescent="0.25">
      <c r="A1114" s="14" t="s">
        <v>702</v>
      </c>
    </row>
    <row r="1115" spans="1:1" x14ac:dyDescent="0.25">
      <c r="A1115" s="14" t="s">
        <v>902</v>
      </c>
    </row>
    <row r="1116" spans="1:1" x14ac:dyDescent="0.25">
      <c r="A1116" s="14" t="s">
        <v>985</v>
      </c>
    </row>
    <row r="1117" spans="1:1" x14ac:dyDescent="0.25">
      <c r="A1117" s="14" t="s">
        <v>775</v>
      </c>
    </row>
    <row r="1118" spans="1:1" x14ac:dyDescent="0.25">
      <c r="A1118" s="14" t="s">
        <v>765</v>
      </c>
    </row>
    <row r="1119" spans="1:1" x14ac:dyDescent="0.25">
      <c r="A1119" s="14" t="s">
        <v>986</v>
      </c>
    </row>
    <row r="1120" spans="1:1" x14ac:dyDescent="0.25">
      <c r="A1120" s="14" t="s">
        <v>772</v>
      </c>
    </row>
    <row r="1121" spans="1:1" x14ac:dyDescent="0.25">
      <c r="A1121" s="14" t="s">
        <v>767</v>
      </c>
    </row>
    <row r="1122" spans="1:1" x14ac:dyDescent="0.25">
      <c r="A1122" s="14" t="s">
        <v>987</v>
      </c>
    </row>
    <row r="1123" spans="1:1" x14ac:dyDescent="0.25">
      <c r="A1123" s="14" t="s">
        <v>774</v>
      </c>
    </row>
    <row r="1124" spans="1:1" x14ac:dyDescent="0.25">
      <c r="A1124" s="14" t="s">
        <v>761</v>
      </c>
    </row>
    <row r="1125" spans="1:1" x14ac:dyDescent="0.25">
      <c r="A1125" s="14" t="s">
        <v>988</v>
      </c>
    </row>
    <row r="1126" spans="1:1" x14ac:dyDescent="0.25">
      <c r="A1126" s="14" t="s">
        <v>770</v>
      </c>
    </row>
    <row r="1127" spans="1:1" x14ac:dyDescent="0.25">
      <c r="A1127" s="14" t="s">
        <v>763</v>
      </c>
    </row>
    <row r="1128" spans="1:1" x14ac:dyDescent="0.25">
      <c r="A1128" s="14" t="s">
        <v>989</v>
      </c>
    </row>
    <row r="1129" spans="1:1" x14ac:dyDescent="0.25">
      <c r="A1129" s="14" t="s">
        <v>773</v>
      </c>
    </row>
    <row r="1130" spans="1:1" x14ac:dyDescent="0.25">
      <c r="A1130" s="14" t="s">
        <v>764</v>
      </c>
    </row>
    <row r="1131" spans="1:1" x14ac:dyDescent="0.25">
      <c r="A1131" s="14" t="s">
        <v>990</v>
      </c>
    </row>
    <row r="1132" spans="1:1" x14ac:dyDescent="0.25">
      <c r="A1132" s="14" t="s">
        <v>777</v>
      </c>
    </row>
    <row r="1133" spans="1:1" x14ac:dyDescent="0.25">
      <c r="A1133" s="14" t="s">
        <v>760</v>
      </c>
    </row>
    <row r="1134" spans="1:1" x14ac:dyDescent="0.25">
      <c r="A1134" s="14" t="s">
        <v>991</v>
      </c>
    </row>
    <row r="1135" spans="1:1" x14ac:dyDescent="0.25">
      <c r="A1135" s="14" t="s">
        <v>776</v>
      </c>
    </row>
    <row r="1136" spans="1:1" x14ac:dyDescent="0.25">
      <c r="A1136" s="14" t="s">
        <v>768</v>
      </c>
    </row>
    <row r="1137" spans="1:1" x14ac:dyDescent="0.25">
      <c r="A1137" s="14" t="s">
        <v>992</v>
      </c>
    </row>
    <row r="1138" spans="1:1" x14ac:dyDescent="0.25">
      <c r="A1138" s="14" t="s">
        <v>771</v>
      </c>
    </row>
    <row r="1139" spans="1:1" x14ac:dyDescent="0.25">
      <c r="A1139" s="14" t="s">
        <v>762</v>
      </c>
    </row>
    <row r="1140" spans="1:1" x14ac:dyDescent="0.25">
      <c r="A1140" s="14" t="s">
        <v>993</v>
      </c>
    </row>
    <row r="1141" spans="1:1" x14ac:dyDescent="0.25">
      <c r="A1141" s="14" t="s">
        <v>769</v>
      </c>
    </row>
    <row r="1142" spans="1:1" x14ac:dyDescent="0.25">
      <c r="A1142" s="14" t="s">
        <v>766</v>
      </c>
    </row>
    <row r="1143" spans="1:1" x14ac:dyDescent="0.25">
      <c r="A1143" s="14" t="s">
        <v>983</v>
      </c>
    </row>
    <row r="1144" spans="1:1" x14ac:dyDescent="0.25">
      <c r="A1144" s="14" t="s">
        <v>757</v>
      </c>
    </row>
    <row r="1145" spans="1:1" x14ac:dyDescent="0.25">
      <c r="A1145" s="14"/>
    </row>
    <row r="1146" spans="1:1" x14ac:dyDescent="0.25">
      <c r="A1146" s="14" t="s">
        <v>822</v>
      </c>
    </row>
    <row r="1147" spans="1:1" x14ac:dyDescent="0.25">
      <c r="A1147" s="14" t="s">
        <v>779</v>
      </c>
    </row>
    <row r="1148" spans="1:1" x14ac:dyDescent="0.25">
      <c r="A1148" s="14"/>
    </row>
    <row r="1149" spans="1:1" x14ac:dyDescent="0.25">
      <c r="A1149" s="14" t="s">
        <v>994</v>
      </c>
    </row>
    <row r="1150" spans="1:1" x14ac:dyDescent="0.25">
      <c r="A1150" s="14" t="s">
        <v>781</v>
      </c>
    </row>
    <row r="1151" spans="1:1" x14ac:dyDescent="0.25">
      <c r="A1151" s="14"/>
    </row>
    <row r="1152" spans="1:1" x14ac:dyDescent="0.25">
      <c r="A1152" s="14" t="s">
        <v>995</v>
      </c>
    </row>
    <row r="1153" spans="1:1" x14ac:dyDescent="0.25">
      <c r="A1153" s="14" t="s">
        <v>780</v>
      </c>
    </row>
    <row r="1154" spans="1:1" x14ac:dyDescent="0.25">
      <c r="A1154" s="14"/>
    </row>
    <row r="1155" spans="1:1" x14ac:dyDescent="0.25">
      <c r="A1155" s="14" t="s">
        <v>996</v>
      </c>
    </row>
    <row r="1156" spans="1:1" x14ac:dyDescent="0.25">
      <c r="A1156" s="14" t="s">
        <v>778</v>
      </c>
    </row>
    <row r="1157" spans="1:1" x14ac:dyDescent="0.25">
      <c r="A1157" s="14"/>
    </row>
    <row r="1158" spans="1:1" x14ac:dyDescent="0.25">
      <c r="A1158" s="14" t="s">
        <v>918</v>
      </c>
    </row>
    <row r="1159" spans="1:1" x14ac:dyDescent="0.25">
      <c r="A1159" s="14" t="s">
        <v>468</v>
      </c>
    </row>
    <row r="1160" spans="1:1" x14ac:dyDescent="0.25">
      <c r="A1160" s="14" t="s">
        <v>469</v>
      </c>
    </row>
    <row r="1161" spans="1:1" x14ac:dyDescent="0.25">
      <c r="A1161" s="14" t="s">
        <v>919</v>
      </c>
    </row>
    <row r="1162" spans="1:1" x14ac:dyDescent="0.25">
      <c r="A1162" s="14" t="s">
        <v>470</v>
      </c>
    </row>
    <row r="1163" spans="1:1" x14ac:dyDescent="0.25">
      <c r="A1163" s="14" t="s">
        <v>471</v>
      </c>
    </row>
    <row r="1164" spans="1:1" x14ac:dyDescent="0.25">
      <c r="A1164" s="14" t="s">
        <v>920</v>
      </c>
    </row>
    <row r="1165" spans="1:1" x14ac:dyDescent="0.25">
      <c r="A1165" s="14" t="s">
        <v>472</v>
      </c>
    </row>
    <row r="1166" spans="1:1" x14ac:dyDescent="0.25">
      <c r="A1166" s="14" t="s">
        <v>473</v>
      </c>
    </row>
    <row r="1167" spans="1:1" x14ac:dyDescent="0.25">
      <c r="A1167" s="14" t="s">
        <v>934</v>
      </c>
    </row>
    <row r="1168" spans="1:1" x14ac:dyDescent="0.25">
      <c r="A1168" s="14" t="s">
        <v>678</v>
      </c>
    </row>
    <row r="1169" spans="1:1" x14ac:dyDescent="0.25">
      <c r="A1169" s="14" t="s">
        <v>677</v>
      </c>
    </row>
    <row r="1170" spans="1:1" x14ac:dyDescent="0.25">
      <c r="A1170" s="14" t="s">
        <v>949</v>
      </c>
    </row>
    <row r="1171" spans="1:1" x14ac:dyDescent="0.25">
      <c r="A1171" s="14" t="s">
        <v>703</v>
      </c>
    </row>
    <row r="1172" spans="1:1" x14ac:dyDescent="0.25">
      <c r="A1172" s="14" t="s">
        <v>702</v>
      </c>
    </row>
    <row r="1173" spans="1:1" x14ac:dyDescent="0.25">
      <c r="A1173" s="14" t="s">
        <v>997</v>
      </c>
    </row>
    <row r="1174" spans="1:1" x14ac:dyDescent="0.25">
      <c r="A1174" s="14" t="s">
        <v>783</v>
      </c>
    </row>
    <row r="1175" spans="1:1" x14ac:dyDescent="0.25">
      <c r="A1175" s="14" t="s">
        <v>782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DC73-3C12-4E1B-8B3E-27A323BB75D9}">
  <sheetPr codeName="Planilha4">
    <tabColor theme="2" tint="-0.499984740745262"/>
  </sheetPr>
  <dimension ref="A1:D2"/>
  <sheetViews>
    <sheetView showGridLines="0" workbookViewId="0"/>
  </sheetViews>
  <sheetFormatPr defaultRowHeight="15" x14ac:dyDescent="0.25"/>
  <cols>
    <col min="1" max="1" width="11.140625" customWidth="1"/>
    <col min="2" max="2" width="10.28515625" customWidth="1"/>
    <col min="3" max="3" width="9.42578125" customWidth="1"/>
    <col min="4" max="4" width="15.140625" customWidth="1"/>
  </cols>
  <sheetData>
    <row r="1" spans="1:4" x14ac:dyDescent="0.25">
      <c r="A1" t="s">
        <v>424</v>
      </c>
      <c r="B1" t="s">
        <v>2</v>
      </c>
      <c r="C1" t="s">
        <v>5</v>
      </c>
      <c r="D1" t="s">
        <v>423</v>
      </c>
    </row>
    <row r="2" spans="1:4" x14ac:dyDescent="0.25">
      <c r="A2" s="13">
        <v>45292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D4195-6963-4028-9754-96BB1D09D668}">
  <sheetPr codeName="Planilha6">
    <tabColor rgb="FF00B0F0"/>
  </sheetPr>
  <dimension ref="A1:B4953"/>
  <sheetViews>
    <sheetView showGridLines="0" tabSelected="1" zoomScaleNormal="100" workbookViewId="0">
      <selection activeCell="B2" sqref="B2"/>
    </sheetView>
  </sheetViews>
  <sheetFormatPr defaultRowHeight="15" x14ac:dyDescent="0.25"/>
  <cols>
    <col min="1" max="1" width="120.7109375" customWidth="1"/>
    <col min="2" max="2" width="42.85546875" style="15" bestFit="1" customWidth="1"/>
  </cols>
  <sheetData>
    <row r="1" spans="1:2" x14ac:dyDescent="0.25">
      <c r="A1" t="s">
        <v>35</v>
      </c>
      <c r="B1" s="15" t="s">
        <v>1387</v>
      </c>
    </row>
    <row r="2" spans="1:2" x14ac:dyDescent="0.25">
      <c r="A2" t="s">
        <v>37</v>
      </c>
    </row>
    <row r="3" spans="1:2" x14ac:dyDescent="0.25">
      <c r="A3" t="s">
        <v>38</v>
      </c>
    </row>
    <row r="4" spans="1:2" x14ac:dyDescent="0.25">
      <c r="A4" t="s">
        <v>39</v>
      </c>
    </row>
    <row r="5" spans="1:2" x14ac:dyDescent="0.25">
      <c r="A5" t="s">
        <v>31</v>
      </c>
      <c r="B5" s="15" t="s">
        <v>430</v>
      </c>
    </row>
    <row r="6" spans="1:2" x14ac:dyDescent="0.25">
      <c r="A6" t="s">
        <v>40</v>
      </c>
      <c r="B6" s="15" t="s">
        <v>1012</v>
      </c>
    </row>
    <row r="7" spans="1:2" x14ac:dyDescent="0.25">
      <c r="A7" t="s">
        <v>23</v>
      </c>
      <c r="B7" s="15" t="s">
        <v>527</v>
      </c>
    </row>
    <row r="8" spans="1:2" x14ac:dyDescent="0.25">
      <c r="A8" t="s">
        <v>41</v>
      </c>
    </row>
    <row r="9" spans="1:2" x14ac:dyDescent="0.25">
      <c r="A9" t="s">
        <v>42</v>
      </c>
    </row>
    <row r="10" spans="1:2" x14ac:dyDescent="0.25">
      <c r="A10" t="s">
        <v>43</v>
      </c>
    </row>
    <row r="11" spans="1:2" x14ac:dyDescent="0.25">
      <c r="A11" t="s">
        <v>44</v>
      </c>
      <c r="B11" s="15" t="s">
        <v>1095</v>
      </c>
    </row>
    <row r="12" spans="1:2" x14ac:dyDescent="0.25">
      <c r="A12" t="s">
        <v>45</v>
      </c>
    </row>
    <row r="13" spans="1:2" x14ac:dyDescent="0.25">
      <c r="A13" t="s">
        <v>46</v>
      </c>
    </row>
    <row r="14" spans="1:2" x14ac:dyDescent="0.25">
      <c r="A14" t="s">
        <v>47</v>
      </c>
    </row>
    <row r="15" spans="1:2" x14ac:dyDescent="0.25">
      <c r="A15" t="s">
        <v>48</v>
      </c>
    </row>
    <row r="16" spans="1:2" x14ac:dyDescent="0.25">
      <c r="A16" t="s">
        <v>49</v>
      </c>
    </row>
    <row r="17" spans="1:2" x14ac:dyDescent="0.25">
      <c r="A17" t="s">
        <v>50</v>
      </c>
    </row>
    <row r="18" spans="1:2" x14ac:dyDescent="0.25">
      <c r="A18" t="s">
        <v>51</v>
      </c>
    </row>
    <row r="19" spans="1:2" x14ac:dyDescent="0.25">
      <c r="A19" t="s">
        <v>52</v>
      </c>
    </row>
    <row r="20" spans="1:2" x14ac:dyDescent="0.25">
      <c r="A20" t="s">
        <v>53</v>
      </c>
    </row>
    <row r="21" spans="1:2" x14ac:dyDescent="0.25">
      <c r="A21" t="s">
        <v>54</v>
      </c>
    </row>
    <row r="22" spans="1:2" x14ac:dyDescent="0.25">
      <c r="A22" t="s">
        <v>55</v>
      </c>
    </row>
    <row r="23" spans="1:2" x14ac:dyDescent="0.25">
      <c r="A23" t="s">
        <v>56</v>
      </c>
      <c r="B23" s="15" t="s">
        <v>1022</v>
      </c>
    </row>
    <row r="24" spans="1:2" x14ac:dyDescent="0.25">
      <c r="A24" t="s">
        <v>25</v>
      </c>
      <c r="B24" s="15" t="s">
        <v>784</v>
      </c>
    </row>
    <row r="25" spans="1:2" x14ac:dyDescent="0.25">
      <c r="A25" t="s">
        <v>57</v>
      </c>
    </row>
    <row r="26" spans="1:2" x14ac:dyDescent="0.25">
      <c r="A26" t="s">
        <v>27</v>
      </c>
      <c r="B26" s="15" t="s">
        <v>526</v>
      </c>
    </row>
    <row r="27" spans="1:2" x14ac:dyDescent="0.25">
      <c r="A27" t="s">
        <v>58</v>
      </c>
    </row>
    <row r="28" spans="1:2" x14ac:dyDescent="0.25">
      <c r="A28" t="s">
        <v>59</v>
      </c>
    </row>
    <row r="29" spans="1:2" x14ac:dyDescent="0.25">
      <c r="A29" t="s">
        <v>60</v>
      </c>
    </row>
    <row r="30" spans="1:2" x14ac:dyDescent="0.25">
      <c r="A30" t="s">
        <v>61</v>
      </c>
    </row>
    <row r="31" spans="1:2" x14ac:dyDescent="0.25">
      <c r="A31" t="s">
        <v>62</v>
      </c>
    </row>
    <row r="32" spans="1:2" x14ac:dyDescent="0.25">
      <c r="A32" t="s">
        <v>63</v>
      </c>
    </row>
    <row r="33" spans="1:2" x14ac:dyDescent="0.25">
      <c r="A33" t="s">
        <v>64</v>
      </c>
    </row>
    <row r="34" spans="1:2" x14ac:dyDescent="0.25">
      <c r="A34" t="s">
        <v>65</v>
      </c>
    </row>
    <row r="35" spans="1:2" x14ac:dyDescent="0.25">
      <c r="A35" t="s">
        <v>66</v>
      </c>
    </row>
    <row r="36" spans="1:2" x14ac:dyDescent="0.25">
      <c r="A36" t="s">
        <v>67</v>
      </c>
    </row>
    <row r="37" spans="1:2" x14ac:dyDescent="0.25">
      <c r="A37" t="s">
        <v>68</v>
      </c>
    </row>
    <row r="38" spans="1:2" x14ac:dyDescent="0.25">
      <c r="A38" t="s">
        <v>69</v>
      </c>
    </row>
    <row r="39" spans="1:2" x14ac:dyDescent="0.25">
      <c r="A39" t="s">
        <v>70</v>
      </c>
    </row>
    <row r="40" spans="1:2" x14ac:dyDescent="0.25">
      <c r="A40" t="s">
        <v>71</v>
      </c>
    </row>
    <row r="41" spans="1:2" x14ac:dyDescent="0.25">
      <c r="A41" t="s">
        <v>72</v>
      </c>
    </row>
    <row r="42" spans="1:2" x14ac:dyDescent="0.25">
      <c r="A42" t="s">
        <v>73</v>
      </c>
    </row>
    <row r="43" spans="1:2" x14ac:dyDescent="0.25">
      <c r="A43" t="s">
        <v>74</v>
      </c>
    </row>
    <row r="44" spans="1:2" x14ac:dyDescent="0.25">
      <c r="A44" t="s">
        <v>75</v>
      </c>
    </row>
    <row r="45" spans="1:2" x14ac:dyDescent="0.25">
      <c r="A45" t="s">
        <v>76</v>
      </c>
    </row>
    <row r="46" spans="1:2" x14ac:dyDescent="0.25">
      <c r="A46" t="s">
        <v>77</v>
      </c>
      <c r="B46" s="15" t="s">
        <v>1031</v>
      </c>
    </row>
    <row r="47" spans="1:2" x14ac:dyDescent="0.25">
      <c r="A47" t="s">
        <v>78</v>
      </c>
    </row>
    <row r="48" spans="1:2" x14ac:dyDescent="0.25">
      <c r="A48" t="s">
        <v>79</v>
      </c>
    </row>
    <row r="49" spans="1:2" x14ac:dyDescent="0.25">
      <c r="A49" t="s">
        <v>80</v>
      </c>
      <c r="B49" s="15" t="s">
        <v>1002</v>
      </c>
    </row>
    <row r="50" spans="1:2" x14ac:dyDescent="0.25">
      <c r="A50" t="s">
        <v>81</v>
      </c>
      <c r="B50" s="15" t="s">
        <v>1038</v>
      </c>
    </row>
    <row r="51" spans="1:2" x14ac:dyDescent="0.25">
      <c r="A51" t="s">
        <v>82</v>
      </c>
    </row>
    <row r="52" spans="1:2" x14ac:dyDescent="0.25">
      <c r="A52" t="s">
        <v>83</v>
      </c>
    </row>
    <row r="53" spans="1:2" x14ac:dyDescent="0.25">
      <c r="A53" t="s">
        <v>84</v>
      </c>
    </row>
    <row r="54" spans="1:2" x14ac:dyDescent="0.25">
      <c r="A54" t="s">
        <v>85</v>
      </c>
    </row>
    <row r="55" spans="1:2" x14ac:dyDescent="0.25">
      <c r="A55" t="s">
        <v>86</v>
      </c>
    </row>
    <row r="56" spans="1:2" x14ac:dyDescent="0.25">
      <c r="A56" t="s">
        <v>87</v>
      </c>
    </row>
    <row r="57" spans="1:2" x14ac:dyDescent="0.25">
      <c r="A57" t="s">
        <v>88</v>
      </c>
    </row>
    <row r="58" spans="1:2" x14ac:dyDescent="0.25">
      <c r="A58" t="s">
        <v>89</v>
      </c>
    </row>
    <row r="59" spans="1:2" x14ac:dyDescent="0.25">
      <c r="A59" t="s">
        <v>90</v>
      </c>
    </row>
    <row r="60" spans="1:2" x14ac:dyDescent="0.25">
      <c r="A60" t="s">
        <v>91</v>
      </c>
    </row>
    <row r="61" spans="1:2" x14ac:dyDescent="0.25">
      <c r="A61" t="s">
        <v>92</v>
      </c>
    </row>
    <row r="62" spans="1:2" x14ac:dyDescent="0.25">
      <c r="A62" t="s">
        <v>93</v>
      </c>
    </row>
    <row r="63" spans="1:2" x14ac:dyDescent="0.25">
      <c r="A63" t="s">
        <v>94</v>
      </c>
    </row>
    <row r="64" spans="1:2" x14ac:dyDescent="0.25">
      <c r="A64" t="s">
        <v>95</v>
      </c>
    </row>
    <row r="65" spans="1:1" x14ac:dyDescent="0.25">
      <c r="A65" t="s">
        <v>96</v>
      </c>
    </row>
    <row r="66" spans="1:1" x14ac:dyDescent="0.25">
      <c r="A66" t="s">
        <v>97</v>
      </c>
    </row>
    <row r="67" spans="1:1" x14ac:dyDescent="0.25">
      <c r="A67" t="s">
        <v>98</v>
      </c>
    </row>
    <row r="68" spans="1:1" x14ac:dyDescent="0.25">
      <c r="A68" t="s">
        <v>99</v>
      </c>
    </row>
    <row r="69" spans="1:1" x14ac:dyDescent="0.25">
      <c r="A69" t="s">
        <v>100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103</v>
      </c>
    </row>
    <row r="73" spans="1:1" x14ac:dyDescent="0.25">
      <c r="A73" t="s">
        <v>104</v>
      </c>
    </row>
    <row r="74" spans="1:1" x14ac:dyDescent="0.25">
      <c r="A74" t="s">
        <v>105</v>
      </c>
    </row>
    <row r="75" spans="1:1" x14ac:dyDescent="0.25">
      <c r="A75" t="s">
        <v>106</v>
      </c>
    </row>
    <row r="76" spans="1:1" x14ac:dyDescent="0.25">
      <c r="A76" t="s">
        <v>107</v>
      </c>
    </row>
    <row r="77" spans="1:1" x14ac:dyDescent="0.25">
      <c r="A77" t="s">
        <v>108</v>
      </c>
    </row>
    <row r="78" spans="1:1" x14ac:dyDescent="0.25">
      <c r="A78" t="s">
        <v>109</v>
      </c>
    </row>
    <row r="79" spans="1:1" x14ac:dyDescent="0.25">
      <c r="A79" t="s">
        <v>110</v>
      </c>
    </row>
    <row r="80" spans="1:1" x14ac:dyDescent="0.25">
      <c r="A80" t="s">
        <v>111</v>
      </c>
    </row>
    <row r="81" spans="1:1" x14ac:dyDescent="0.25">
      <c r="A81" t="s">
        <v>112</v>
      </c>
    </row>
    <row r="82" spans="1:1" x14ac:dyDescent="0.25">
      <c r="A82" t="s">
        <v>113</v>
      </c>
    </row>
    <row r="83" spans="1:1" x14ac:dyDescent="0.25">
      <c r="A83" t="s">
        <v>114</v>
      </c>
    </row>
    <row r="84" spans="1:1" x14ac:dyDescent="0.25">
      <c r="A84" t="s">
        <v>115</v>
      </c>
    </row>
    <row r="85" spans="1:1" x14ac:dyDescent="0.25">
      <c r="A85" t="s">
        <v>116</v>
      </c>
    </row>
    <row r="86" spans="1:1" x14ac:dyDescent="0.25">
      <c r="A86" t="s">
        <v>117</v>
      </c>
    </row>
    <row r="87" spans="1:1" x14ac:dyDescent="0.25">
      <c r="A87" t="s">
        <v>118</v>
      </c>
    </row>
    <row r="88" spans="1:1" x14ac:dyDescent="0.25">
      <c r="A88" t="s">
        <v>119</v>
      </c>
    </row>
    <row r="89" spans="1:1" x14ac:dyDescent="0.25">
      <c r="A89" t="s">
        <v>120</v>
      </c>
    </row>
    <row r="90" spans="1:1" x14ac:dyDescent="0.25">
      <c r="A90" t="s">
        <v>121</v>
      </c>
    </row>
    <row r="91" spans="1:1" x14ac:dyDescent="0.25">
      <c r="A91" t="s">
        <v>122</v>
      </c>
    </row>
    <row r="92" spans="1:1" x14ac:dyDescent="0.25">
      <c r="A92" t="s">
        <v>123</v>
      </c>
    </row>
    <row r="93" spans="1:1" x14ac:dyDescent="0.25">
      <c r="A93" t="s">
        <v>124</v>
      </c>
    </row>
    <row r="94" spans="1:1" x14ac:dyDescent="0.25">
      <c r="A94" t="s">
        <v>125</v>
      </c>
    </row>
    <row r="95" spans="1:1" x14ac:dyDescent="0.25">
      <c r="A95" t="s">
        <v>126</v>
      </c>
    </row>
    <row r="96" spans="1:1" x14ac:dyDescent="0.25">
      <c r="A96" t="s">
        <v>127</v>
      </c>
    </row>
    <row r="97" spans="1:1" x14ac:dyDescent="0.25">
      <c r="A97" t="s">
        <v>128</v>
      </c>
    </row>
    <row r="98" spans="1:1" x14ac:dyDescent="0.25">
      <c r="A98" t="s">
        <v>129</v>
      </c>
    </row>
    <row r="99" spans="1:1" x14ac:dyDescent="0.25">
      <c r="A99" t="s">
        <v>130</v>
      </c>
    </row>
    <row r="100" spans="1:1" x14ac:dyDescent="0.25">
      <c r="A100" t="s">
        <v>131</v>
      </c>
    </row>
    <row r="101" spans="1:1" x14ac:dyDescent="0.25">
      <c r="A101" t="s">
        <v>132</v>
      </c>
    </row>
    <row r="102" spans="1:1" x14ac:dyDescent="0.25">
      <c r="A102" t="s">
        <v>133</v>
      </c>
    </row>
    <row r="103" spans="1:1" x14ac:dyDescent="0.25">
      <c r="A103" t="s">
        <v>134</v>
      </c>
    </row>
    <row r="104" spans="1:1" x14ac:dyDescent="0.25">
      <c r="A104" t="s">
        <v>135</v>
      </c>
    </row>
    <row r="105" spans="1:1" x14ac:dyDescent="0.25">
      <c r="A105" t="s">
        <v>136</v>
      </c>
    </row>
    <row r="106" spans="1:1" x14ac:dyDescent="0.25">
      <c r="A106" t="s">
        <v>137</v>
      </c>
    </row>
    <row r="107" spans="1:1" x14ac:dyDescent="0.25">
      <c r="A107" t="s">
        <v>138</v>
      </c>
    </row>
    <row r="108" spans="1:1" x14ac:dyDescent="0.25">
      <c r="A108" t="s">
        <v>139</v>
      </c>
    </row>
    <row r="109" spans="1:1" x14ac:dyDescent="0.25">
      <c r="A109" t="s">
        <v>140</v>
      </c>
    </row>
    <row r="110" spans="1:1" x14ac:dyDescent="0.25">
      <c r="A110" t="s">
        <v>141</v>
      </c>
    </row>
    <row r="111" spans="1:1" x14ac:dyDescent="0.25">
      <c r="A111" t="s">
        <v>142</v>
      </c>
    </row>
    <row r="112" spans="1:1" x14ac:dyDescent="0.25">
      <c r="A112" t="s">
        <v>143</v>
      </c>
    </row>
    <row r="113" spans="1:1" x14ac:dyDescent="0.25">
      <c r="A113" t="s">
        <v>144</v>
      </c>
    </row>
    <row r="114" spans="1:1" x14ac:dyDescent="0.25">
      <c r="A114" t="s">
        <v>145</v>
      </c>
    </row>
    <row r="115" spans="1:1" x14ac:dyDescent="0.25">
      <c r="A115" t="s">
        <v>146</v>
      </c>
    </row>
    <row r="116" spans="1:1" x14ac:dyDescent="0.25">
      <c r="A116" t="s">
        <v>147</v>
      </c>
    </row>
    <row r="117" spans="1:1" x14ac:dyDescent="0.25">
      <c r="A117" t="s">
        <v>148</v>
      </c>
    </row>
    <row r="118" spans="1:1" x14ac:dyDescent="0.25">
      <c r="A118" t="s">
        <v>149</v>
      </c>
    </row>
    <row r="119" spans="1:1" x14ac:dyDescent="0.25">
      <c r="A119" t="s">
        <v>150</v>
      </c>
    </row>
    <row r="120" spans="1:1" x14ac:dyDescent="0.25">
      <c r="A120" t="s">
        <v>151</v>
      </c>
    </row>
    <row r="121" spans="1:1" x14ac:dyDescent="0.25">
      <c r="A121" t="s">
        <v>152</v>
      </c>
    </row>
    <row r="122" spans="1:1" x14ac:dyDescent="0.25">
      <c r="A122" t="s">
        <v>153</v>
      </c>
    </row>
    <row r="123" spans="1:1" x14ac:dyDescent="0.25">
      <c r="A123" t="s">
        <v>154</v>
      </c>
    </row>
    <row r="124" spans="1:1" x14ac:dyDescent="0.25">
      <c r="A124" t="s">
        <v>155</v>
      </c>
    </row>
    <row r="125" spans="1:1" x14ac:dyDescent="0.25">
      <c r="A125" t="s">
        <v>156</v>
      </c>
    </row>
    <row r="126" spans="1:1" x14ac:dyDescent="0.25">
      <c r="A126" t="s">
        <v>157</v>
      </c>
    </row>
    <row r="127" spans="1:1" x14ac:dyDescent="0.25">
      <c r="A127" t="s">
        <v>158</v>
      </c>
    </row>
    <row r="128" spans="1:1" x14ac:dyDescent="0.25">
      <c r="A128" t="s">
        <v>159</v>
      </c>
    </row>
    <row r="129" spans="1:2" x14ac:dyDescent="0.25">
      <c r="A129" t="s">
        <v>160</v>
      </c>
    </row>
    <row r="130" spans="1:2" x14ac:dyDescent="0.25">
      <c r="A130" t="s">
        <v>161</v>
      </c>
    </row>
    <row r="131" spans="1:2" x14ac:dyDescent="0.25">
      <c r="A131" t="s">
        <v>162</v>
      </c>
    </row>
    <row r="132" spans="1:2" x14ac:dyDescent="0.25">
      <c r="A132" t="s">
        <v>163</v>
      </c>
    </row>
    <row r="133" spans="1:2" x14ac:dyDescent="0.25">
      <c r="A133" t="s">
        <v>164</v>
      </c>
    </row>
    <row r="134" spans="1:2" x14ac:dyDescent="0.25">
      <c r="A134" t="s">
        <v>165</v>
      </c>
    </row>
    <row r="135" spans="1:2" x14ac:dyDescent="0.25">
      <c r="A135" t="s">
        <v>166</v>
      </c>
    </row>
    <row r="136" spans="1:2" x14ac:dyDescent="0.25">
      <c r="A136" t="s">
        <v>167</v>
      </c>
    </row>
    <row r="137" spans="1:2" x14ac:dyDescent="0.25">
      <c r="A137" t="s">
        <v>168</v>
      </c>
    </row>
    <row r="138" spans="1:2" x14ac:dyDescent="0.25">
      <c r="A138" t="s">
        <v>169</v>
      </c>
      <c r="B138" s="15" t="s">
        <v>999</v>
      </c>
    </row>
    <row r="139" spans="1:2" x14ac:dyDescent="0.25">
      <c r="A139" t="s">
        <v>170</v>
      </c>
    </row>
    <row r="140" spans="1:2" x14ac:dyDescent="0.25">
      <c r="A140" t="s">
        <v>171</v>
      </c>
    </row>
    <row r="141" spans="1:2" x14ac:dyDescent="0.25">
      <c r="A141" t="s">
        <v>172</v>
      </c>
    </row>
    <row r="142" spans="1:2" x14ac:dyDescent="0.25">
      <c r="A142" t="s">
        <v>173</v>
      </c>
    </row>
    <row r="143" spans="1:2" x14ac:dyDescent="0.25">
      <c r="A143" t="s">
        <v>174</v>
      </c>
    </row>
    <row r="144" spans="1:2" x14ac:dyDescent="0.25">
      <c r="A144" t="s">
        <v>175</v>
      </c>
    </row>
    <row r="145" spans="1:2" x14ac:dyDescent="0.25">
      <c r="A145" t="s">
        <v>176</v>
      </c>
    </row>
    <row r="146" spans="1:2" x14ac:dyDescent="0.25">
      <c r="A146" t="s">
        <v>177</v>
      </c>
      <c r="B146" s="15" t="s">
        <v>1000</v>
      </c>
    </row>
    <row r="147" spans="1:2" x14ac:dyDescent="0.25">
      <c r="A147" t="s">
        <v>178</v>
      </c>
    </row>
    <row r="148" spans="1:2" x14ac:dyDescent="0.25">
      <c r="A148" t="s">
        <v>179</v>
      </c>
    </row>
    <row r="149" spans="1:2" x14ac:dyDescent="0.25">
      <c r="A149" t="s">
        <v>180</v>
      </c>
    </row>
    <row r="150" spans="1:2" x14ac:dyDescent="0.25">
      <c r="A150" t="s">
        <v>181</v>
      </c>
    </row>
    <row r="151" spans="1:2" x14ac:dyDescent="0.25">
      <c r="A151" t="s">
        <v>182</v>
      </c>
    </row>
    <row r="152" spans="1:2" x14ac:dyDescent="0.25">
      <c r="A152" t="s">
        <v>183</v>
      </c>
    </row>
    <row r="153" spans="1:2" x14ac:dyDescent="0.25">
      <c r="A153" t="s">
        <v>184</v>
      </c>
    </row>
    <row r="154" spans="1:2" x14ac:dyDescent="0.25">
      <c r="A154" t="s">
        <v>185</v>
      </c>
    </row>
    <row r="155" spans="1:2" x14ac:dyDescent="0.25">
      <c r="A155" t="s">
        <v>186</v>
      </c>
    </row>
    <row r="156" spans="1:2" x14ac:dyDescent="0.25">
      <c r="A156" t="s">
        <v>187</v>
      </c>
    </row>
    <row r="157" spans="1:2" x14ac:dyDescent="0.25">
      <c r="A157" t="s">
        <v>188</v>
      </c>
    </row>
    <row r="158" spans="1:2" x14ac:dyDescent="0.25">
      <c r="A158" t="s">
        <v>189</v>
      </c>
    </row>
    <row r="159" spans="1:2" x14ac:dyDescent="0.25">
      <c r="A159" t="s">
        <v>190</v>
      </c>
    </row>
    <row r="160" spans="1:2" x14ac:dyDescent="0.25">
      <c r="A160" t="s">
        <v>191</v>
      </c>
    </row>
    <row r="161" spans="1:1" x14ac:dyDescent="0.25">
      <c r="A161" t="s">
        <v>192</v>
      </c>
    </row>
    <row r="162" spans="1:1" x14ac:dyDescent="0.25">
      <c r="A162" t="s">
        <v>193</v>
      </c>
    </row>
    <row r="163" spans="1:1" x14ac:dyDescent="0.25">
      <c r="A163" t="s">
        <v>194</v>
      </c>
    </row>
    <row r="164" spans="1:1" x14ac:dyDescent="0.25">
      <c r="A164" t="s">
        <v>195</v>
      </c>
    </row>
    <row r="165" spans="1:1" x14ac:dyDescent="0.25">
      <c r="A165" t="s">
        <v>196</v>
      </c>
    </row>
    <row r="166" spans="1:1" x14ac:dyDescent="0.25">
      <c r="A166" t="s">
        <v>197</v>
      </c>
    </row>
    <row r="167" spans="1:1" x14ac:dyDescent="0.25">
      <c r="A167" t="s">
        <v>198</v>
      </c>
    </row>
    <row r="168" spans="1:1" x14ac:dyDescent="0.25">
      <c r="A168" t="s">
        <v>199</v>
      </c>
    </row>
    <row r="169" spans="1:1" x14ac:dyDescent="0.25">
      <c r="A169" t="s">
        <v>200</v>
      </c>
    </row>
    <row r="170" spans="1:1" x14ac:dyDescent="0.25">
      <c r="A170" t="s">
        <v>201</v>
      </c>
    </row>
    <row r="171" spans="1:1" x14ac:dyDescent="0.25">
      <c r="A171" t="s">
        <v>202</v>
      </c>
    </row>
    <row r="172" spans="1:1" x14ac:dyDescent="0.25">
      <c r="A172" t="s">
        <v>203</v>
      </c>
    </row>
    <row r="173" spans="1:1" x14ac:dyDescent="0.25">
      <c r="A173" t="s">
        <v>204</v>
      </c>
    </row>
    <row r="174" spans="1:1" x14ac:dyDescent="0.25">
      <c r="A174" t="s">
        <v>205</v>
      </c>
    </row>
    <row r="175" spans="1:1" x14ac:dyDescent="0.25">
      <c r="A175" t="s">
        <v>206</v>
      </c>
    </row>
    <row r="176" spans="1:1" x14ac:dyDescent="0.25">
      <c r="A176" t="s">
        <v>207</v>
      </c>
    </row>
    <row r="177" spans="1:1" x14ac:dyDescent="0.25">
      <c r="A177" t="s">
        <v>208</v>
      </c>
    </row>
    <row r="178" spans="1:1" x14ac:dyDescent="0.25">
      <c r="A178" t="s">
        <v>209</v>
      </c>
    </row>
    <row r="179" spans="1:1" x14ac:dyDescent="0.25">
      <c r="A179" t="s">
        <v>210</v>
      </c>
    </row>
    <row r="180" spans="1:1" x14ac:dyDescent="0.25">
      <c r="A180" t="s">
        <v>211</v>
      </c>
    </row>
    <row r="181" spans="1:1" x14ac:dyDescent="0.25">
      <c r="A181" t="s">
        <v>212</v>
      </c>
    </row>
    <row r="182" spans="1:1" x14ac:dyDescent="0.25">
      <c r="A182" t="s">
        <v>213</v>
      </c>
    </row>
    <row r="183" spans="1:1" x14ac:dyDescent="0.25">
      <c r="A183" t="s">
        <v>214</v>
      </c>
    </row>
    <row r="184" spans="1:1" x14ac:dyDescent="0.25">
      <c r="A184" t="s">
        <v>215</v>
      </c>
    </row>
    <row r="185" spans="1:1" x14ac:dyDescent="0.25">
      <c r="A185" t="s">
        <v>216</v>
      </c>
    </row>
    <row r="186" spans="1:1" x14ac:dyDescent="0.25">
      <c r="A186" t="s">
        <v>217</v>
      </c>
    </row>
    <row r="187" spans="1:1" x14ac:dyDescent="0.25">
      <c r="A187" t="s">
        <v>218</v>
      </c>
    </row>
    <row r="188" spans="1:1" x14ac:dyDescent="0.25">
      <c r="A188" t="s">
        <v>219</v>
      </c>
    </row>
    <row r="189" spans="1:1" x14ac:dyDescent="0.25">
      <c r="A189" t="s">
        <v>220</v>
      </c>
    </row>
    <row r="190" spans="1:1" x14ac:dyDescent="0.25">
      <c r="A190" t="s">
        <v>221</v>
      </c>
    </row>
    <row r="191" spans="1:1" x14ac:dyDescent="0.25">
      <c r="A191" t="s">
        <v>222</v>
      </c>
    </row>
    <row r="192" spans="1:1" x14ac:dyDescent="0.25">
      <c r="A192" t="s">
        <v>223</v>
      </c>
    </row>
    <row r="193" spans="1:2" x14ac:dyDescent="0.25">
      <c r="A193" t="s">
        <v>224</v>
      </c>
      <c r="B193" s="15" t="s">
        <v>1067</v>
      </c>
    </row>
    <row r="194" spans="1:2" x14ac:dyDescent="0.25">
      <c r="A194" t="s">
        <v>225</v>
      </c>
    </row>
    <row r="195" spans="1:2" x14ac:dyDescent="0.25">
      <c r="A195" t="s">
        <v>226</v>
      </c>
    </row>
    <row r="196" spans="1:2" x14ac:dyDescent="0.25">
      <c r="A196" t="s">
        <v>227</v>
      </c>
    </row>
    <row r="197" spans="1:2" x14ac:dyDescent="0.25">
      <c r="A197" t="s">
        <v>228</v>
      </c>
    </row>
    <row r="198" spans="1:2" x14ac:dyDescent="0.25">
      <c r="A198" t="s">
        <v>229</v>
      </c>
    </row>
    <row r="199" spans="1:2" x14ac:dyDescent="0.25">
      <c r="A199" t="s">
        <v>230</v>
      </c>
    </row>
    <row r="200" spans="1:2" x14ac:dyDescent="0.25">
      <c r="A200" t="s">
        <v>231</v>
      </c>
    </row>
    <row r="201" spans="1:2" x14ac:dyDescent="0.25">
      <c r="A201" t="s">
        <v>232</v>
      </c>
    </row>
    <row r="202" spans="1:2" x14ac:dyDescent="0.25">
      <c r="A202" t="s">
        <v>233</v>
      </c>
    </row>
    <row r="203" spans="1:2" x14ac:dyDescent="0.25">
      <c r="A203" t="s">
        <v>234</v>
      </c>
    </row>
    <row r="204" spans="1:2" x14ac:dyDescent="0.25">
      <c r="A204" t="s">
        <v>235</v>
      </c>
    </row>
    <row r="205" spans="1:2" x14ac:dyDescent="0.25">
      <c r="A205" t="s">
        <v>236</v>
      </c>
    </row>
    <row r="206" spans="1:2" x14ac:dyDescent="0.25">
      <c r="A206" t="s">
        <v>237</v>
      </c>
    </row>
    <row r="207" spans="1:2" x14ac:dyDescent="0.25">
      <c r="A207" t="s">
        <v>238</v>
      </c>
    </row>
    <row r="208" spans="1:2" x14ac:dyDescent="0.25">
      <c r="A208" t="s">
        <v>239</v>
      </c>
    </row>
    <row r="209" spans="1:2" x14ac:dyDescent="0.25">
      <c r="A209" t="s">
        <v>240</v>
      </c>
    </row>
    <row r="210" spans="1:2" x14ac:dyDescent="0.25">
      <c r="A210" t="s">
        <v>241</v>
      </c>
    </row>
    <row r="211" spans="1:2" x14ac:dyDescent="0.25">
      <c r="A211" t="s">
        <v>242</v>
      </c>
    </row>
    <row r="212" spans="1:2" x14ac:dyDescent="0.25">
      <c r="A212" t="s">
        <v>243</v>
      </c>
    </row>
    <row r="213" spans="1:2" x14ac:dyDescent="0.25">
      <c r="A213" t="s">
        <v>244</v>
      </c>
    </row>
    <row r="214" spans="1:2" x14ac:dyDescent="0.25">
      <c r="A214" t="s">
        <v>245</v>
      </c>
    </row>
    <row r="215" spans="1:2" x14ac:dyDescent="0.25">
      <c r="A215" t="s">
        <v>246</v>
      </c>
    </row>
    <row r="216" spans="1:2" x14ac:dyDescent="0.25">
      <c r="A216" t="s">
        <v>247</v>
      </c>
    </row>
    <row r="217" spans="1:2" x14ac:dyDescent="0.25">
      <c r="A217" t="s">
        <v>248</v>
      </c>
    </row>
    <row r="218" spans="1:2" x14ac:dyDescent="0.25">
      <c r="A218" t="s">
        <v>249</v>
      </c>
    </row>
    <row r="219" spans="1:2" x14ac:dyDescent="0.25">
      <c r="A219" t="s">
        <v>250</v>
      </c>
    </row>
    <row r="220" spans="1:2" x14ac:dyDescent="0.25">
      <c r="A220" t="s">
        <v>251</v>
      </c>
    </row>
    <row r="221" spans="1:2" x14ac:dyDescent="0.25">
      <c r="A221" t="s">
        <v>252</v>
      </c>
    </row>
    <row r="222" spans="1:2" x14ac:dyDescent="0.25">
      <c r="A222" t="s">
        <v>32</v>
      </c>
      <c r="B222" s="15" t="s">
        <v>998</v>
      </c>
    </row>
    <row r="223" spans="1:2" x14ac:dyDescent="0.25">
      <c r="A223" t="s">
        <v>253</v>
      </c>
      <c r="B223" s="15" t="s">
        <v>1081</v>
      </c>
    </row>
    <row r="224" spans="1:2" x14ac:dyDescent="0.25">
      <c r="A224" t="s">
        <v>254</v>
      </c>
    </row>
    <row r="225" spans="1:1" x14ac:dyDescent="0.25">
      <c r="A225" t="s">
        <v>255</v>
      </c>
    </row>
    <row r="226" spans="1:1" x14ac:dyDescent="0.25">
      <c r="A226" t="s">
        <v>256</v>
      </c>
    </row>
    <row r="227" spans="1:1" x14ac:dyDescent="0.25">
      <c r="A227" t="s">
        <v>257</v>
      </c>
    </row>
    <row r="228" spans="1:1" x14ac:dyDescent="0.25">
      <c r="A228" t="s">
        <v>258</v>
      </c>
    </row>
    <row r="229" spans="1:1" x14ac:dyDescent="0.25">
      <c r="A229" t="s">
        <v>259</v>
      </c>
    </row>
    <row r="230" spans="1:1" x14ac:dyDescent="0.25">
      <c r="A230" t="s">
        <v>260</v>
      </c>
    </row>
    <row r="231" spans="1:1" x14ac:dyDescent="0.25">
      <c r="A231" t="s">
        <v>261</v>
      </c>
    </row>
    <row r="232" spans="1:1" x14ac:dyDescent="0.25">
      <c r="A232" t="s">
        <v>262</v>
      </c>
    </row>
    <row r="233" spans="1:1" x14ac:dyDescent="0.25">
      <c r="A233" t="s">
        <v>263</v>
      </c>
    </row>
    <row r="234" spans="1:1" x14ac:dyDescent="0.25">
      <c r="A234" t="s">
        <v>264</v>
      </c>
    </row>
    <row r="235" spans="1:1" x14ac:dyDescent="0.25">
      <c r="A235" t="s">
        <v>265</v>
      </c>
    </row>
    <row r="236" spans="1:1" x14ac:dyDescent="0.25">
      <c r="A236" t="s">
        <v>266</v>
      </c>
    </row>
    <row r="237" spans="1:1" x14ac:dyDescent="0.25">
      <c r="A237" t="s">
        <v>267</v>
      </c>
    </row>
    <row r="238" spans="1:1" x14ac:dyDescent="0.25">
      <c r="A238" t="s">
        <v>268</v>
      </c>
    </row>
    <row r="239" spans="1:1" x14ac:dyDescent="0.25">
      <c r="A239" t="s">
        <v>269</v>
      </c>
    </row>
    <row r="240" spans="1:1" x14ac:dyDescent="0.25">
      <c r="A240" t="s">
        <v>270</v>
      </c>
    </row>
    <row r="241" spans="1:1" x14ac:dyDescent="0.25">
      <c r="A241" t="s">
        <v>271</v>
      </c>
    </row>
    <row r="242" spans="1:1" x14ac:dyDescent="0.25">
      <c r="A242" t="s">
        <v>272</v>
      </c>
    </row>
    <row r="243" spans="1:1" x14ac:dyDescent="0.25">
      <c r="A243" t="s">
        <v>273</v>
      </c>
    </row>
    <row r="244" spans="1:1" x14ac:dyDescent="0.25">
      <c r="A244" t="s">
        <v>274</v>
      </c>
    </row>
    <row r="245" spans="1:1" x14ac:dyDescent="0.25">
      <c r="A245" t="s">
        <v>275</v>
      </c>
    </row>
    <row r="246" spans="1:1" x14ac:dyDescent="0.25">
      <c r="A246" t="s">
        <v>276</v>
      </c>
    </row>
    <row r="247" spans="1:1" x14ac:dyDescent="0.25">
      <c r="A247" t="s">
        <v>277</v>
      </c>
    </row>
    <row r="248" spans="1:1" x14ac:dyDescent="0.25">
      <c r="A248" t="s">
        <v>278</v>
      </c>
    </row>
    <row r="249" spans="1:1" x14ac:dyDescent="0.25">
      <c r="A249" t="s">
        <v>279</v>
      </c>
    </row>
    <row r="250" spans="1:1" x14ac:dyDescent="0.25">
      <c r="A250" t="s">
        <v>280</v>
      </c>
    </row>
    <row r="251" spans="1:1" x14ac:dyDescent="0.25">
      <c r="A251" t="s">
        <v>281</v>
      </c>
    </row>
    <row r="252" spans="1:1" x14ac:dyDescent="0.25">
      <c r="A252" t="s">
        <v>282</v>
      </c>
    </row>
    <row r="253" spans="1:1" x14ac:dyDescent="0.25">
      <c r="A253" t="s">
        <v>283</v>
      </c>
    </row>
    <row r="254" spans="1:1" x14ac:dyDescent="0.25">
      <c r="A254" t="s">
        <v>284</v>
      </c>
    </row>
    <row r="255" spans="1:1" x14ac:dyDescent="0.25">
      <c r="A255" t="s">
        <v>285</v>
      </c>
    </row>
    <row r="256" spans="1:1" x14ac:dyDescent="0.25">
      <c r="A256" t="s">
        <v>286</v>
      </c>
    </row>
    <row r="257" spans="1:2" x14ac:dyDescent="0.25">
      <c r="A257" t="s">
        <v>287</v>
      </c>
    </row>
    <row r="258" spans="1:2" x14ac:dyDescent="0.25">
      <c r="A258" t="s">
        <v>288</v>
      </c>
    </row>
    <row r="259" spans="1:2" x14ac:dyDescent="0.25">
      <c r="A259" t="s">
        <v>289</v>
      </c>
    </row>
    <row r="260" spans="1:2" x14ac:dyDescent="0.25">
      <c r="A260" t="s">
        <v>290</v>
      </c>
    </row>
    <row r="261" spans="1:2" x14ac:dyDescent="0.25">
      <c r="A261" t="s">
        <v>291</v>
      </c>
      <c r="B261" s="15" t="s">
        <v>1003</v>
      </c>
    </row>
    <row r="262" spans="1:2" x14ac:dyDescent="0.25">
      <c r="A262" t="s">
        <v>292</v>
      </c>
      <c r="B262" s="15" t="s">
        <v>1005</v>
      </c>
    </row>
    <row r="263" spans="1:2" x14ac:dyDescent="0.25">
      <c r="A263" t="s">
        <v>293</v>
      </c>
    </row>
    <row r="264" spans="1:2" x14ac:dyDescent="0.25">
      <c r="A264" t="s">
        <v>294</v>
      </c>
    </row>
    <row r="265" spans="1:2" x14ac:dyDescent="0.25">
      <c r="A265" t="s">
        <v>295</v>
      </c>
    </row>
    <row r="266" spans="1:2" x14ac:dyDescent="0.25">
      <c r="A266" t="s">
        <v>296</v>
      </c>
    </row>
    <row r="267" spans="1:2" x14ac:dyDescent="0.25">
      <c r="A267" t="s">
        <v>297</v>
      </c>
    </row>
    <row r="268" spans="1:2" x14ac:dyDescent="0.25">
      <c r="A268" t="s">
        <v>298</v>
      </c>
    </row>
    <row r="269" spans="1:2" x14ac:dyDescent="0.25">
      <c r="A269" t="s">
        <v>299</v>
      </c>
    </row>
    <row r="270" spans="1:2" x14ac:dyDescent="0.25">
      <c r="A270" t="s">
        <v>300</v>
      </c>
    </row>
    <row r="271" spans="1:2" x14ac:dyDescent="0.25">
      <c r="A271" t="s">
        <v>301</v>
      </c>
    </row>
    <row r="272" spans="1:2" x14ac:dyDescent="0.25">
      <c r="A272" t="s">
        <v>302</v>
      </c>
    </row>
    <row r="273" spans="1:1" x14ac:dyDescent="0.25">
      <c r="A273" t="s">
        <v>303</v>
      </c>
    </row>
    <row r="274" spans="1:1" x14ac:dyDescent="0.25">
      <c r="A274" t="s">
        <v>304</v>
      </c>
    </row>
    <row r="275" spans="1:1" x14ac:dyDescent="0.25">
      <c r="A275" t="s">
        <v>305</v>
      </c>
    </row>
    <row r="276" spans="1:1" x14ac:dyDescent="0.25">
      <c r="A276" t="s">
        <v>306</v>
      </c>
    </row>
    <row r="277" spans="1:1" x14ac:dyDescent="0.25">
      <c r="A277" t="s">
        <v>307</v>
      </c>
    </row>
    <row r="278" spans="1:1" x14ac:dyDescent="0.25">
      <c r="A278" t="s">
        <v>308</v>
      </c>
    </row>
    <row r="279" spans="1:1" x14ac:dyDescent="0.25">
      <c r="A279" t="s">
        <v>309</v>
      </c>
    </row>
    <row r="280" spans="1:1" x14ac:dyDescent="0.25">
      <c r="A280" t="s">
        <v>310</v>
      </c>
    </row>
    <row r="281" spans="1:1" x14ac:dyDescent="0.25">
      <c r="A281" t="s">
        <v>311</v>
      </c>
    </row>
    <row r="282" spans="1:1" x14ac:dyDescent="0.25">
      <c r="A282" t="s">
        <v>312</v>
      </c>
    </row>
    <row r="283" spans="1:1" x14ac:dyDescent="0.25">
      <c r="A283" t="s">
        <v>313</v>
      </c>
    </row>
    <row r="284" spans="1:1" x14ac:dyDescent="0.25">
      <c r="A284" t="s">
        <v>314</v>
      </c>
    </row>
    <row r="285" spans="1:1" x14ac:dyDescent="0.25">
      <c r="A285" t="s">
        <v>315</v>
      </c>
    </row>
    <row r="286" spans="1:1" x14ac:dyDescent="0.25">
      <c r="A286" t="s">
        <v>316</v>
      </c>
    </row>
    <row r="287" spans="1:1" x14ac:dyDescent="0.25">
      <c r="A287" t="s">
        <v>317</v>
      </c>
    </row>
    <row r="288" spans="1:1" x14ac:dyDescent="0.25">
      <c r="A288" t="s">
        <v>318</v>
      </c>
    </row>
    <row r="289" spans="1:1" x14ac:dyDescent="0.25">
      <c r="A289" t="s">
        <v>319</v>
      </c>
    </row>
    <row r="290" spans="1:1" x14ac:dyDescent="0.25">
      <c r="A290" t="s">
        <v>320</v>
      </c>
    </row>
    <row r="291" spans="1:1" x14ac:dyDescent="0.25">
      <c r="A291" t="s">
        <v>321</v>
      </c>
    </row>
    <row r="292" spans="1:1" x14ac:dyDescent="0.25">
      <c r="A292" t="s">
        <v>322</v>
      </c>
    </row>
    <row r="293" spans="1:1" x14ac:dyDescent="0.25">
      <c r="A293" t="s">
        <v>323</v>
      </c>
    </row>
    <row r="294" spans="1:1" x14ac:dyDescent="0.25">
      <c r="A294" t="s">
        <v>324</v>
      </c>
    </row>
    <row r="295" spans="1:1" x14ac:dyDescent="0.25">
      <c r="A295" t="s">
        <v>325</v>
      </c>
    </row>
    <row r="296" spans="1:1" x14ac:dyDescent="0.25">
      <c r="A296" t="s">
        <v>326</v>
      </c>
    </row>
    <row r="297" spans="1:1" x14ac:dyDescent="0.25">
      <c r="A297" t="s">
        <v>327</v>
      </c>
    </row>
    <row r="298" spans="1:1" x14ac:dyDescent="0.25">
      <c r="A298" t="s">
        <v>328</v>
      </c>
    </row>
    <row r="299" spans="1:1" x14ac:dyDescent="0.25">
      <c r="A299" t="s">
        <v>329</v>
      </c>
    </row>
    <row r="300" spans="1:1" x14ac:dyDescent="0.25">
      <c r="A300" t="s">
        <v>330</v>
      </c>
    </row>
    <row r="301" spans="1:1" x14ac:dyDescent="0.25">
      <c r="A301" t="s">
        <v>331</v>
      </c>
    </row>
    <row r="302" spans="1:1" x14ac:dyDescent="0.25">
      <c r="A302" t="s">
        <v>332</v>
      </c>
    </row>
    <row r="303" spans="1:1" x14ac:dyDescent="0.25">
      <c r="A303" t="s">
        <v>333</v>
      </c>
    </row>
    <row r="304" spans="1:1" x14ac:dyDescent="0.25">
      <c r="A304" t="s">
        <v>334</v>
      </c>
    </row>
    <row r="305" spans="1:2" x14ac:dyDescent="0.25">
      <c r="A305" t="s">
        <v>335</v>
      </c>
    </row>
    <row r="306" spans="1:2" x14ac:dyDescent="0.25">
      <c r="A306" t="s">
        <v>336</v>
      </c>
    </row>
    <row r="307" spans="1:2" x14ac:dyDescent="0.25">
      <c r="A307" t="s">
        <v>337</v>
      </c>
    </row>
    <row r="308" spans="1:2" x14ac:dyDescent="0.25">
      <c r="A308" t="s">
        <v>338</v>
      </c>
    </row>
    <row r="309" spans="1:2" x14ac:dyDescent="0.25">
      <c r="A309" t="s">
        <v>339</v>
      </c>
    </row>
    <row r="310" spans="1:2" x14ac:dyDescent="0.25">
      <c r="A310" t="s">
        <v>340</v>
      </c>
    </row>
    <row r="311" spans="1:2" x14ac:dyDescent="0.25">
      <c r="A311" t="s">
        <v>341</v>
      </c>
    </row>
    <row r="312" spans="1:2" x14ac:dyDescent="0.25">
      <c r="A312" t="s">
        <v>342</v>
      </c>
      <c r="B312" s="15" t="s">
        <v>1006</v>
      </c>
    </row>
    <row r="313" spans="1:2" x14ac:dyDescent="0.25">
      <c r="A313" t="s">
        <v>343</v>
      </c>
    </row>
    <row r="314" spans="1:2" x14ac:dyDescent="0.25">
      <c r="A314" t="s">
        <v>344</v>
      </c>
      <c r="B314" s="15" t="s">
        <v>1006</v>
      </c>
    </row>
    <row r="315" spans="1:2" x14ac:dyDescent="0.25">
      <c r="A315" t="s">
        <v>345</v>
      </c>
    </row>
    <row r="316" spans="1:2" x14ac:dyDescent="0.25">
      <c r="A316" t="s">
        <v>346</v>
      </c>
    </row>
    <row r="317" spans="1:2" x14ac:dyDescent="0.25">
      <c r="A317" t="s">
        <v>347</v>
      </c>
    </row>
    <row r="318" spans="1:2" x14ac:dyDescent="0.25">
      <c r="A318" t="s">
        <v>348</v>
      </c>
    </row>
    <row r="319" spans="1:2" x14ac:dyDescent="0.25">
      <c r="A319" t="s">
        <v>349</v>
      </c>
    </row>
    <row r="320" spans="1:2" x14ac:dyDescent="0.25">
      <c r="A320" t="s">
        <v>350</v>
      </c>
    </row>
    <row r="321" spans="1:1" x14ac:dyDescent="0.25">
      <c r="A321" t="s">
        <v>351</v>
      </c>
    </row>
    <row r="322" spans="1:1" x14ac:dyDescent="0.25">
      <c r="A322" t="s">
        <v>352</v>
      </c>
    </row>
    <row r="323" spans="1:1" x14ac:dyDescent="0.25">
      <c r="A323" t="s">
        <v>353</v>
      </c>
    </row>
    <row r="324" spans="1:1" x14ac:dyDescent="0.25">
      <c r="A324" t="s">
        <v>354</v>
      </c>
    </row>
    <row r="325" spans="1:1" x14ac:dyDescent="0.25">
      <c r="A325" t="s">
        <v>355</v>
      </c>
    </row>
    <row r="326" spans="1:1" x14ac:dyDescent="0.25">
      <c r="A326" t="s">
        <v>356</v>
      </c>
    </row>
    <row r="327" spans="1:1" x14ac:dyDescent="0.25">
      <c r="A327" t="s">
        <v>357</v>
      </c>
    </row>
    <row r="328" spans="1:1" x14ac:dyDescent="0.25">
      <c r="A328" t="s">
        <v>358</v>
      </c>
    </row>
    <row r="329" spans="1:1" x14ac:dyDescent="0.25">
      <c r="A329" t="s">
        <v>359</v>
      </c>
    </row>
    <row r="330" spans="1:1" x14ac:dyDescent="0.25">
      <c r="A330" t="s">
        <v>360</v>
      </c>
    </row>
    <row r="331" spans="1:1" x14ac:dyDescent="0.25">
      <c r="A331" t="s">
        <v>361</v>
      </c>
    </row>
    <row r="332" spans="1:1" x14ac:dyDescent="0.25">
      <c r="A332" t="s">
        <v>362</v>
      </c>
    </row>
    <row r="333" spans="1:1" x14ac:dyDescent="0.25">
      <c r="A333" t="s">
        <v>363</v>
      </c>
    </row>
    <row r="334" spans="1:1" x14ac:dyDescent="0.25">
      <c r="A334" t="s">
        <v>364</v>
      </c>
    </row>
    <row r="335" spans="1:1" x14ac:dyDescent="0.25">
      <c r="A335" t="s">
        <v>365</v>
      </c>
    </row>
    <row r="336" spans="1:1" x14ac:dyDescent="0.25">
      <c r="A336" t="s">
        <v>366</v>
      </c>
    </row>
    <row r="337" spans="1:2" x14ac:dyDescent="0.25">
      <c r="A337" t="s">
        <v>367</v>
      </c>
    </row>
    <row r="338" spans="1:2" x14ac:dyDescent="0.25">
      <c r="A338" t="s">
        <v>368</v>
      </c>
    </row>
    <row r="339" spans="1:2" x14ac:dyDescent="0.25">
      <c r="A339" t="s">
        <v>369</v>
      </c>
    </row>
    <row r="340" spans="1:2" x14ac:dyDescent="0.25">
      <c r="A340" t="s">
        <v>370</v>
      </c>
    </row>
    <row r="341" spans="1:2" x14ac:dyDescent="0.25">
      <c r="A341" t="s">
        <v>371</v>
      </c>
    </row>
    <row r="342" spans="1:2" x14ac:dyDescent="0.25">
      <c r="A342" t="s">
        <v>372</v>
      </c>
    </row>
    <row r="343" spans="1:2" x14ac:dyDescent="0.25">
      <c r="A343" t="s">
        <v>373</v>
      </c>
    </row>
    <row r="344" spans="1:2" x14ac:dyDescent="0.25">
      <c r="A344" t="s">
        <v>374</v>
      </c>
    </row>
    <row r="345" spans="1:2" x14ac:dyDescent="0.25">
      <c r="A345" t="s">
        <v>375</v>
      </c>
    </row>
    <row r="346" spans="1:2" x14ac:dyDescent="0.25">
      <c r="A346" t="s">
        <v>376</v>
      </c>
      <c r="B346" s="15" t="s">
        <v>1067</v>
      </c>
    </row>
    <row r="347" spans="1:2" x14ac:dyDescent="0.25">
      <c r="A347" t="s">
        <v>377</v>
      </c>
    </row>
    <row r="348" spans="1:2" x14ac:dyDescent="0.25">
      <c r="A348" t="s">
        <v>378</v>
      </c>
    </row>
    <row r="349" spans="1:2" x14ac:dyDescent="0.25">
      <c r="A349" t="s">
        <v>379</v>
      </c>
    </row>
    <row r="350" spans="1:2" x14ac:dyDescent="0.25">
      <c r="A350" t="s">
        <v>380</v>
      </c>
    </row>
    <row r="351" spans="1:2" x14ac:dyDescent="0.25">
      <c r="A351" t="s">
        <v>381</v>
      </c>
    </row>
    <row r="352" spans="1:2" x14ac:dyDescent="0.25">
      <c r="A352" t="s">
        <v>382</v>
      </c>
    </row>
    <row r="353" spans="1:1" x14ac:dyDescent="0.25">
      <c r="A353" t="s">
        <v>383</v>
      </c>
    </row>
    <row r="354" spans="1:1" x14ac:dyDescent="0.25">
      <c r="A354" t="s">
        <v>384</v>
      </c>
    </row>
    <row r="355" spans="1:1" x14ac:dyDescent="0.25">
      <c r="A355" t="s">
        <v>385</v>
      </c>
    </row>
    <row r="356" spans="1:1" x14ac:dyDescent="0.25">
      <c r="A356" t="s">
        <v>386</v>
      </c>
    </row>
    <row r="357" spans="1:1" x14ac:dyDescent="0.25">
      <c r="A357" t="s">
        <v>387</v>
      </c>
    </row>
    <row r="358" spans="1:1" x14ac:dyDescent="0.25">
      <c r="A358" t="s">
        <v>388</v>
      </c>
    </row>
    <row r="359" spans="1:1" x14ac:dyDescent="0.25">
      <c r="A359" t="s">
        <v>389</v>
      </c>
    </row>
    <row r="360" spans="1:1" x14ac:dyDescent="0.25">
      <c r="A360" t="s">
        <v>390</v>
      </c>
    </row>
    <row r="361" spans="1:1" x14ac:dyDescent="0.25">
      <c r="A361" t="s">
        <v>391</v>
      </c>
    </row>
    <row r="362" spans="1:1" x14ac:dyDescent="0.25">
      <c r="A362" t="s">
        <v>392</v>
      </c>
    </row>
    <row r="363" spans="1:1" x14ac:dyDescent="0.25">
      <c r="A363" t="s">
        <v>393</v>
      </c>
    </row>
    <row r="364" spans="1:1" x14ac:dyDescent="0.25">
      <c r="A364" t="s">
        <v>394</v>
      </c>
    </row>
    <row r="365" spans="1:1" x14ac:dyDescent="0.25">
      <c r="A365" t="s">
        <v>395</v>
      </c>
    </row>
    <row r="366" spans="1:1" x14ac:dyDescent="0.25">
      <c r="A366" t="s">
        <v>396</v>
      </c>
    </row>
    <row r="367" spans="1:1" x14ac:dyDescent="0.25">
      <c r="A367" t="s">
        <v>397</v>
      </c>
    </row>
    <row r="368" spans="1:1" x14ac:dyDescent="0.25">
      <c r="A368" t="s">
        <v>398</v>
      </c>
    </row>
    <row r="369" spans="1:2" x14ac:dyDescent="0.25">
      <c r="A369" t="s">
        <v>399</v>
      </c>
    </row>
    <row r="370" spans="1:2" x14ac:dyDescent="0.25">
      <c r="A370" t="s">
        <v>400</v>
      </c>
    </row>
    <row r="371" spans="1:2" x14ac:dyDescent="0.25">
      <c r="A371" t="s">
        <v>401</v>
      </c>
      <c r="B371" s="15" t="s">
        <v>1007</v>
      </c>
    </row>
    <row r="372" spans="1:2" x14ac:dyDescent="0.25">
      <c r="A372" t="s">
        <v>402</v>
      </c>
      <c r="B372" s="15" t="s">
        <v>1079</v>
      </c>
    </row>
    <row r="373" spans="1:2" x14ac:dyDescent="0.25">
      <c r="A373" t="s">
        <v>403</v>
      </c>
    </row>
    <row r="374" spans="1:2" x14ac:dyDescent="0.25">
      <c r="A374" t="s">
        <v>404</v>
      </c>
    </row>
    <row r="375" spans="1:2" x14ac:dyDescent="0.25">
      <c r="A375" t="s">
        <v>405</v>
      </c>
    </row>
    <row r="376" spans="1:2" x14ac:dyDescent="0.25">
      <c r="A376" t="s">
        <v>406</v>
      </c>
    </row>
    <row r="377" spans="1:2" x14ac:dyDescent="0.25">
      <c r="A377" t="s">
        <v>407</v>
      </c>
    </row>
    <row r="378" spans="1:2" x14ac:dyDescent="0.25">
      <c r="A378" t="s">
        <v>408</v>
      </c>
    </row>
    <row r="379" spans="1:2" x14ac:dyDescent="0.25">
      <c r="A379" t="s">
        <v>409</v>
      </c>
    </row>
    <row r="380" spans="1:2" x14ac:dyDescent="0.25">
      <c r="A380" t="s">
        <v>410</v>
      </c>
    </row>
    <row r="381" spans="1:2" x14ac:dyDescent="0.25">
      <c r="A381" t="s">
        <v>411</v>
      </c>
    </row>
    <row r="382" spans="1:2" x14ac:dyDescent="0.25">
      <c r="A382" t="s">
        <v>412</v>
      </c>
    </row>
    <row r="383" spans="1:2" x14ac:dyDescent="0.25">
      <c r="A383" t="s">
        <v>37</v>
      </c>
    </row>
    <row r="384" spans="1:2" x14ac:dyDescent="0.25">
      <c r="A384" t="s">
        <v>38</v>
      </c>
    </row>
    <row r="385" spans="1:1" x14ac:dyDescent="0.25">
      <c r="A385" t="s">
        <v>39</v>
      </c>
    </row>
    <row r="386" spans="1:1" x14ac:dyDescent="0.25">
      <c r="A386" t="s">
        <v>31</v>
      </c>
    </row>
    <row r="387" spans="1:1" x14ac:dyDescent="0.25">
      <c r="A387" t="s">
        <v>40</v>
      </c>
    </row>
    <row r="388" spans="1:1" x14ac:dyDescent="0.25">
      <c r="A388" t="s">
        <v>23</v>
      </c>
    </row>
    <row r="389" spans="1:1" x14ac:dyDescent="0.25">
      <c r="A389" t="s">
        <v>41</v>
      </c>
    </row>
    <row r="390" spans="1:1" x14ac:dyDescent="0.25">
      <c r="A390" t="s">
        <v>42</v>
      </c>
    </row>
    <row r="391" spans="1:1" x14ac:dyDescent="0.25">
      <c r="A391" t="s">
        <v>43</v>
      </c>
    </row>
    <row r="392" spans="1:1" x14ac:dyDescent="0.25">
      <c r="A392" t="s">
        <v>44</v>
      </c>
    </row>
    <row r="393" spans="1:1" x14ac:dyDescent="0.25">
      <c r="A393" t="s">
        <v>45</v>
      </c>
    </row>
    <row r="394" spans="1:1" x14ac:dyDescent="0.25">
      <c r="A394" t="s">
        <v>46</v>
      </c>
    </row>
    <row r="395" spans="1:1" x14ac:dyDescent="0.25">
      <c r="A395" t="s">
        <v>47</v>
      </c>
    </row>
    <row r="396" spans="1:1" x14ac:dyDescent="0.25">
      <c r="A396" t="s">
        <v>48</v>
      </c>
    </row>
    <row r="397" spans="1:1" x14ac:dyDescent="0.25">
      <c r="A397" t="s">
        <v>49</v>
      </c>
    </row>
    <row r="398" spans="1:1" x14ac:dyDescent="0.25">
      <c r="A398" t="s">
        <v>50</v>
      </c>
    </row>
    <row r="399" spans="1:1" x14ac:dyDescent="0.25">
      <c r="A399" t="s">
        <v>51</v>
      </c>
    </row>
    <row r="400" spans="1:1" x14ac:dyDescent="0.25">
      <c r="A400" t="s">
        <v>52</v>
      </c>
    </row>
    <row r="401" spans="1:1" x14ac:dyDescent="0.25">
      <c r="A401" t="s">
        <v>53</v>
      </c>
    </row>
    <row r="402" spans="1:1" x14ac:dyDescent="0.25">
      <c r="A402" t="s">
        <v>54</v>
      </c>
    </row>
    <row r="403" spans="1:1" x14ac:dyDescent="0.25">
      <c r="A403" t="s">
        <v>55</v>
      </c>
    </row>
    <row r="404" spans="1:1" x14ac:dyDescent="0.25">
      <c r="A404" t="s">
        <v>56</v>
      </c>
    </row>
    <row r="405" spans="1:1" x14ac:dyDescent="0.25">
      <c r="A405" t="s">
        <v>25</v>
      </c>
    </row>
    <row r="406" spans="1:1" x14ac:dyDescent="0.25">
      <c r="A406" t="s">
        <v>57</v>
      </c>
    </row>
    <row r="407" spans="1:1" x14ac:dyDescent="0.25">
      <c r="A407" t="s">
        <v>27</v>
      </c>
    </row>
    <row r="408" spans="1:1" x14ac:dyDescent="0.25">
      <c r="A408" t="s">
        <v>58</v>
      </c>
    </row>
    <row r="409" spans="1:1" x14ac:dyDescent="0.25">
      <c r="A409" t="s">
        <v>59</v>
      </c>
    </row>
    <row r="410" spans="1:1" x14ac:dyDescent="0.25">
      <c r="A410" t="s">
        <v>60</v>
      </c>
    </row>
    <row r="411" spans="1:1" x14ac:dyDescent="0.25">
      <c r="A411" t="s">
        <v>61</v>
      </c>
    </row>
    <row r="412" spans="1:1" x14ac:dyDescent="0.25">
      <c r="A412" t="s">
        <v>62</v>
      </c>
    </row>
    <row r="413" spans="1:1" x14ac:dyDescent="0.25">
      <c r="A413" t="s">
        <v>63</v>
      </c>
    </row>
    <row r="414" spans="1:1" x14ac:dyDescent="0.25">
      <c r="A414" t="s">
        <v>64</v>
      </c>
    </row>
    <row r="415" spans="1:1" x14ac:dyDescent="0.25">
      <c r="A415" t="s">
        <v>65</v>
      </c>
    </row>
    <row r="416" spans="1:1" x14ac:dyDescent="0.25">
      <c r="A416" t="s">
        <v>66</v>
      </c>
    </row>
    <row r="417" spans="1:1" x14ac:dyDescent="0.25">
      <c r="A417" t="s">
        <v>67</v>
      </c>
    </row>
    <row r="418" spans="1:1" x14ac:dyDescent="0.25">
      <c r="A418" t="s">
        <v>68</v>
      </c>
    </row>
    <row r="419" spans="1:1" x14ac:dyDescent="0.25">
      <c r="A419" t="s">
        <v>69</v>
      </c>
    </row>
    <row r="420" spans="1:1" x14ac:dyDescent="0.25">
      <c r="A420" t="s">
        <v>70</v>
      </c>
    </row>
    <row r="421" spans="1:1" x14ac:dyDescent="0.25">
      <c r="A421" t="s">
        <v>71</v>
      </c>
    </row>
    <row r="422" spans="1:1" x14ac:dyDescent="0.25">
      <c r="A422" t="s">
        <v>72</v>
      </c>
    </row>
    <row r="423" spans="1:1" x14ac:dyDescent="0.25">
      <c r="A423" t="s">
        <v>73</v>
      </c>
    </row>
    <row r="424" spans="1:1" x14ac:dyDescent="0.25">
      <c r="A424" t="s">
        <v>74</v>
      </c>
    </row>
    <row r="425" spans="1:1" x14ac:dyDescent="0.25">
      <c r="A425" t="s">
        <v>75</v>
      </c>
    </row>
    <row r="426" spans="1:1" x14ac:dyDescent="0.25">
      <c r="A426" t="s">
        <v>76</v>
      </c>
    </row>
    <row r="427" spans="1:1" x14ac:dyDescent="0.25">
      <c r="A427" t="s">
        <v>77</v>
      </c>
    </row>
    <row r="428" spans="1:1" x14ac:dyDescent="0.25">
      <c r="A428" t="s">
        <v>78</v>
      </c>
    </row>
    <row r="429" spans="1:1" x14ac:dyDescent="0.25">
      <c r="A429" t="s">
        <v>79</v>
      </c>
    </row>
    <row r="430" spans="1:1" x14ac:dyDescent="0.25">
      <c r="A430" t="s">
        <v>80</v>
      </c>
    </row>
    <row r="431" spans="1:1" x14ac:dyDescent="0.25">
      <c r="A431" t="s">
        <v>81</v>
      </c>
    </row>
    <row r="432" spans="1:1" x14ac:dyDescent="0.25">
      <c r="A432" t="s">
        <v>82</v>
      </c>
    </row>
    <row r="433" spans="1:1" x14ac:dyDescent="0.25">
      <c r="A433" t="s">
        <v>83</v>
      </c>
    </row>
    <row r="434" spans="1:1" x14ac:dyDescent="0.25">
      <c r="A434" t="s">
        <v>84</v>
      </c>
    </row>
    <row r="435" spans="1:1" x14ac:dyDescent="0.25">
      <c r="A435" t="s">
        <v>85</v>
      </c>
    </row>
    <row r="436" spans="1:1" x14ac:dyDescent="0.25">
      <c r="A436" t="s">
        <v>86</v>
      </c>
    </row>
    <row r="437" spans="1:1" x14ac:dyDescent="0.25">
      <c r="A437" t="s">
        <v>87</v>
      </c>
    </row>
    <row r="438" spans="1:1" x14ac:dyDescent="0.25">
      <c r="A438" t="s">
        <v>88</v>
      </c>
    </row>
    <row r="439" spans="1:1" x14ac:dyDescent="0.25">
      <c r="A439" t="s">
        <v>89</v>
      </c>
    </row>
    <row r="440" spans="1:1" x14ac:dyDescent="0.25">
      <c r="A440" t="s">
        <v>90</v>
      </c>
    </row>
    <row r="441" spans="1:1" x14ac:dyDescent="0.25">
      <c r="A441" t="s">
        <v>91</v>
      </c>
    </row>
    <row r="442" spans="1:1" x14ac:dyDescent="0.25">
      <c r="A442" t="s">
        <v>92</v>
      </c>
    </row>
    <row r="443" spans="1:1" x14ac:dyDescent="0.25">
      <c r="A443" t="s">
        <v>93</v>
      </c>
    </row>
    <row r="444" spans="1:1" x14ac:dyDescent="0.25">
      <c r="A444" t="s">
        <v>94</v>
      </c>
    </row>
    <row r="445" spans="1:1" x14ac:dyDescent="0.25">
      <c r="A445" t="s">
        <v>95</v>
      </c>
    </row>
    <row r="446" spans="1:1" x14ac:dyDescent="0.25">
      <c r="A446" t="s">
        <v>96</v>
      </c>
    </row>
    <row r="447" spans="1:1" x14ac:dyDescent="0.25">
      <c r="A447" t="s">
        <v>97</v>
      </c>
    </row>
    <row r="448" spans="1:1" x14ac:dyDescent="0.25">
      <c r="A448" t="s">
        <v>98</v>
      </c>
    </row>
    <row r="449" spans="1:1" x14ac:dyDescent="0.25">
      <c r="A449" t="s">
        <v>99</v>
      </c>
    </row>
    <row r="450" spans="1:1" x14ac:dyDescent="0.25">
      <c r="A450" t="s">
        <v>100</v>
      </c>
    </row>
    <row r="451" spans="1:1" x14ac:dyDescent="0.25">
      <c r="A451" t="s">
        <v>101</v>
      </c>
    </row>
    <row r="452" spans="1:1" x14ac:dyDescent="0.25">
      <c r="A452" t="s">
        <v>102</v>
      </c>
    </row>
    <row r="453" spans="1:1" x14ac:dyDescent="0.25">
      <c r="A453" t="s">
        <v>103</v>
      </c>
    </row>
    <row r="454" spans="1:1" x14ac:dyDescent="0.25">
      <c r="A454" t="s">
        <v>104</v>
      </c>
    </row>
    <row r="455" spans="1:1" x14ac:dyDescent="0.25">
      <c r="A455" t="s">
        <v>105</v>
      </c>
    </row>
    <row r="456" spans="1:1" x14ac:dyDescent="0.25">
      <c r="A456" t="s">
        <v>106</v>
      </c>
    </row>
    <row r="457" spans="1:1" x14ac:dyDescent="0.25">
      <c r="A457" t="s">
        <v>107</v>
      </c>
    </row>
    <row r="458" spans="1:1" x14ac:dyDescent="0.25">
      <c r="A458" t="s">
        <v>108</v>
      </c>
    </row>
    <row r="459" spans="1:1" x14ac:dyDescent="0.25">
      <c r="A459" t="s">
        <v>109</v>
      </c>
    </row>
    <row r="460" spans="1:1" x14ac:dyDescent="0.25">
      <c r="A460" t="s">
        <v>110</v>
      </c>
    </row>
    <row r="461" spans="1:1" x14ac:dyDescent="0.25">
      <c r="A461" t="s">
        <v>111</v>
      </c>
    </row>
    <row r="462" spans="1:1" x14ac:dyDescent="0.25">
      <c r="A462" t="s">
        <v>112</v>
      </c>
    </row>
    <row r="463" spans="1:1" x14ac:dyDescent="0.25">
      <c r="A463" t="s">
        <v>113</v>
      </c>
    </row>
    <row r="464" spans="1:1" x14ac:dyDescent="0.25">
      <c r="A464" t="s">
        <v>114</v>
      </c>
    </row>
    <row r="465" spans="1:1" x14ac:dyDescent="0.25">
      <c r="A465" t="s">
        <v>115</v>
      </c>
    </row>
    <row r="466" spans="1:1" x14ac:dyDescent="0.25">
      <c r="A466" t="s">
        <v>116</v>
      </c>
    </row>
    <row r="467" spans="1:1" x14ac:dyDescent="0.25">
      <c r="A467" t="s">
        <v>117</v>
      </c>
    </row>
    <row r="468" spans="1:1" x14ac:dyDescent="0.25">
      <c r="A468" t="s">
        <v>118</v>
      </c>
    </row>
    <row r="469" spans="1:1" x14ac:dyDescent="0.25">
      <c r="A469" t="s">
        <v>119</v>
      </c>
    </row>
    <row r="470" spans="1:1" x14ac:dyDescent="0.25">
      <c r="A470" t="s">
        <v>120</v>
      </c>
    </row>
    <row r="471" spans="1:1" x14ac:dyDescent="0.25">
      <c r="A471" t="s">
        <v>121</v>
      </c>
    </row>
    <row r="472" spans="1:1" x14ac:dyDescent="0.25">
      <c r="A472" t="s">
        <v>122</v>
      </c>
    </row>
    <row r="473" spans="1:1" x14ac:dyDescent="0.25">
      <c r="A473" t="s">
        <v>123</v>
      </c>
    </row>
    <row r="474" spans="1:1" x14ac:dyDescent="0.25">
      <c r="A474" t="s">
        <v>124</v>
      </c>
    </row>
    <row r="475" spans="1:1" x14ac:dyDescent="0.25">
      <c r="A475" t="s">
        <v>125</v>
      </c>
    </row>
    <row r="476" spans="1:1" x14ac:dyDescent="0.25">
      <c r="A476" t="s">
        <v>126</v>
      </c>
    </row>
    <row r="477" spans="1:1" x14ac:dyDescent="0.25">
      <c r="A477" t="s">
        <v>127</v>
      </c>
    </row>
    <row r="478" spans="1:1" x14ac:dyDescent="0.25">
      <c r="A478" t="s">
        <v>128</v>
      </c>
    </row>
    <row r="479" spans="1:1" x14ac:dyDescent="0.25">
      <c r="A479" t="s">
        <v>129</v>
      </c>
    </row>
    <row r="480" spans="1:1" x14ac:dyDescent="0.25">
      <c r="A480" t="s">
        <v>130</v>
      </c>
    </row>
    <row r="481" spans="1:1" x14ac:dyDescent="0.25">
      <c r="A481" t="s">
        <v>131</v>
      </c>
    </row>
    <row r="482" spans="1:1" x14ac:dyDescent="0.25">
      <c r="A482" t="s">
        <v>132</v>
      </c>
    </row>
    <row r="483" spans="1:1" x14ac:dyDescent="0.25">
      <c r="A483" t="s">
        <v>133</v>
      </c>
    </row>
    <row r="484" spans="1:1" x14ac:dyDescent="0.25">
      <c r="A484" t="s">
        <v>134</v>
      </c>
    </row>
    <row r="485" spans="1:1" x14ac:dyDescent="0.25">
      <c r="A485" t="s">
        <v>135</v>
      </c>
    </row>
    <row r="486" spans="1:1" x14ac:dyDescent="0.25">
      <c r="A486" t="s">
        <v>136</v>
      </c>
    </row>
    <row r="487" spans="1:1" x14ac:dyDescent="0.25">
      <c r="A487" t="s">
        <v>137</v>
      </c>
    </row>
    <row r="488" spans="1:1" x14ac:dyDescent="0.25">
      <c r="A488" t="s">
        <v>138</v>
      </c>
    </row>
    <row r="489" spans="1:1" x14ac:dyDescent="0.25">
      <c r="A489" t="s">
        <v>139</v>
      </c>
    </row>
    <row r="490" spans="1:1" x14ac:dyDescent="0.25">
      <c r="A490" t="s">
        <v>140</v>
      </c>
    </row>
    <row r="491" spans="1:1" x14ac:dyDescent="0.25">
      <c r="A491" t="s">
        <v>141</v>
      </c>
    </row>
    <row r="492" spans="1:1" x14ac:dyDescent="0.25">
      <c r="A492" t="s">
        <v>142</v>
      </c>
    </row>
    <row r="493" spans="1:1" x14ac:dyDescent="0.25">
      <c r="A493" t="s">
        <v>143</v>
      </c>
    </row>
    <row r="494" spans="1:1" x14ac:dyDescent="0.25">
      <c r="A494" t="s">
        <v>144</v>
      </c>
    </row>
    <row r="495" spans="1:1" x14ac:dyDescent="0.25">
      <c r="A495" t="s">
        <v>145</v>
      </c>
    </row>
    <row r="496" spans="1:1" x14ac:dyDescent="0.25">
      <c r="A496" t="s">
        <v>146</v>
      </c>
    </row>
    <row r="497" spans="1:1" x14ac:dyDescent="0.25">
      <c r="A497" t="s">
        <v>147</v>
      </c>
    </row>
    <row r="498" spans="1:1" x14ac:dyDescent="0.25">
      <c r="A498" t="s">
        <v>148</v>
      </c>
    </row>
    <row r="499" spans="1:1" x14ac:dyDescent="0.25">
      <c r="A499" t="s">
        <v>149</v>
      </c>
    </row>
    <row r="500" spans="1:1" x14ac:dyDescent="0.25">
      <c r="A500" t="s">
        <v>150</v>
      </c>
    </row>
    <row r="501" spans="1:1" x14ac:dyDescent="0.25">
      <c r="A501" t="s">
        <v>151</v>
      </c>
    </row>
    <row r="502" spans="1:1" x14ac:dyDescent="0.25">
      <c r="A502" t="s">
        <v>152</v>
      </c>
    </row>
    <row r="503" spans="1:1" x14ac:dyDescent="0.25">
      <c r="A503" t="s">
        <v>153</v>
      </c>
    </row>
    <row r="504" spans="1:1" x14ac:dyDescent="0.25">
      <c r="A504" t="s">
        <v>154</v>
      </c>
    </row>
    <row r="505" spans="1:1" x14ac:dyDescent="0.25">
      <c r="A505" t="s">
        <v>155</v>
      </c>
    </row>
    <row r="506" spans="1:1" x14ac:dyDescent="0.25">
      <c r="A506" t="s">
        <v>156</v>
      </c>
    </row>
    <row r="507" spans="1:1" x14ac:dyDescent="0.25">
      <c r="A507" t="s">
        <v>157</v>
      </c>
    </row>
    <row r="508" spans="1:1" x14ac:dyDescent="0.25">
      <c r="A508" t="s">
        <v>158</v>
      </c>
    </row>
    <row r="509" spans="1:1" x14ac:dyDescent="0.25">
      <c r="A509" t="s">
        <v>159</v>
      </c>
    </row>
    <row r="510" spans="1:1" x14ac:dyDescent="0.25">
      <c r="A510" t="s">
        <v>160</v>
      </c>
    </row>
    <row r="511" spans="1:1" x14ac:dyDescent="0.25">
      <c r="A511" t="s">
        <v>161</v>
      </c>
    </row>
    <row r="512" spans="1:1" x14ac:dyDescent="0.25">
      <c r="A512" t="s">
        <v>162</v>
      </c>
    </row>
    <row r="513" spans="1:1" x14ac:dyDescent="0.25">
      <c r="A513" t="s">
        <v>163</v>
      </c>
    </row>
    <row r="514" spans="1:1" x14ac:dyDescent="0.25">
      <c r="A514" t="s">
        <v>164</v>
      </c>
    </row>
    <row r="515" spans="1:1" x14ac:dyDescent="0.25">
      <c r="A515" t="s">
        <v>165</v>
      </c>
    </row>
    <row r="516" spans="1:1" x14ac:dyDescent="0.25">
      <c r="A516" t="s">
        <v>166</v>
      </c>
    </row>
    <row r="517" spans="1:1" x14ac:dyDescent="0.25">
      <c r="A517" t="s">
        <v>167</v>
      </c>
    </row>
    <row r="518" spans="1:1" x14ac:dyDescent="0.25">
      <c r="A518" t="s">
        <v>168</v>
      </c>
    </row>
    <row r="519" spans="1:1" x14ac:dyDescent="0.25">
      <c r="A519" t="s">
        <v>169</v>
      </c>
    </row>
    <row r="520" spans="1:1" x14ac:dyDescent="0.25">
      <c r="A520" t="s">
        <v>170</v>
      </c>
    </row>
    <row r="521" spans="1:1" x14ac:dyDescent="0.25">
      <c r="A521" t="s">
        <v>171</v>
      </c>
    </row>
    <row r="522" spans="1:1" x14ac:dyDescent="0.25">
      <c r="A522" t="s">
        <v>172</v>
      </c>
    </row>
    <row r="523" spans="1:1" x14ac:dyDescent="0.25">
      <c r="A523" t="s">
        <v>173</v>
      </c>
    </row>
    <row r="524" spans="1:1" x14ac:dyDescent="0.25">
      <c r="A524" t="s">
        <v>174</v>
      </c>
    </row>
    <row r="525" spans="1:1" x14ac:dyDescent="0.25">
      <c r="A525" t="s">
        <v>175</v>
      </c>
    </row>
    <row r="526" spans="1:1" x14ac:dyDescent="0.25">
      <c r="A526" t="s">
        <v>176</v>
      </c>
    </row>
    <row r="527" spans="1:1" x14ac:dyDescent="0.25">
      <c r="A527" t="s">
        <v>177</v>
      </c>
    </row>
    <row r="528" spans="1:1" x14ac:dyDescent="0.25">
      <c r="A528" t="s">
        <v>178</v>
      </c>
    </row>
    <row r="529" spans="1:1" x14ac:dyDescent="0.25">
      <c r="A529" t="s">
        <v>179</v>
      </c>
    </row>
    <row r="530" spans="1:1" x14ac:dyDescent="0.25">
      <c r="A530" t="s">
        <v>180</v>
      </c>
    </row>
    <row r="531" spans="1:1" x14ac:dyDescent="0.25">
      <c r="A531" t="s">
        <v>181</v>
      </c>
    </row>
    <row r="532" spans="1:1" x14ac:dyDescent="0.25">
      <c r="A532" t="s">
        <v>182</v>
      </c>
    </row>
    <row r="533" spans="1:1" x14ac:dyDescent="0.25">
      <c r="A533" t="s">
        <v>183</v>
      </c>
    </row>
    <row r="534" spans="1:1" x14ac:dyDescent="0.25">
      <c r="A534" t="s">
        <v>184</v>
      </c>
    </row>
    <row r="535" spans="1:1" x14ac:dyDescent="0.25">
      <c r="A535" t="s">
        <v>185</v>
      </c>
    </row>
    <row r="536" spans="1:1" x14ac:dyDescent="0.25">
      <c r="A536" t="s">
        <v>186</v>
      </c>
    </row>
    <row r="537" spans="1:1" x14ac:dyDescent="0.25">
      <c r="A537" t="s">
        <v>187</v>
      </c>
    </row>
    <row r="538" spans="1:1" x14ac:dyDescent="0.25">
      <c r="A538" t="s">
        <v>188</v>
      </c>
    </row>
    <row r="539" spans="1:1" x14ac:dyDescent="0.25">
      <c r="A539" t="s">
        <v>189</v>
      </c>
    </row>
    <row r="540" spans="1:1" x14ac:dyDescent="0.25">
      <c r="A540" t="s">
        <v>190</v>
      </c>
    </row>
    <row r="541" spans="1:1" x14ac:dyDescent="0.25">
      <c r="A541" t="s">
        <v>191</v>
      </c>
    </row>
    <row r="542" spans="1:1" x14ac:dyDescent="0.25">
      <c r="A542" t="s">
        <v>192</v>
      </c>
    </row>
    <row r="543" spans="1:1" x14ac:dyDescent="0.25">
      <c r="A543" t="s">
        <v>193</v>
      </c>
    </row>
    <row r="544" spans="1:1" x14ac:dyDescent="0.25">
      <c r="A544" t="s">
        <v>194</v>
      </c>
    </row>
    <row r="545" spans="1:1" x14ac:dyDescent="0.25">
      <c r="A545" t="s">
        <v>195</v>
      </c>
    </row>
    <row r="546" spans="1:1" x14ac:dyDescent="0.25">
      <c r="A546" t="s">
        <v>196</v>
      </c>
    </row>
    <row r="547" spans="1:1" x14ac:dyDescent="0.25">
      <c r="A547" t="s">
        <v>197</v>
      </c>
    </row>
    <row r="548" spans="1:1" x14ac:dyDescent="0.25">
      <c r="A548" t="s">
        <v>198</v>
      </c>
    </row>
    <row r="549" spans="1:1" x14ac:dyDescent="0.25">
      <c r="A549" t="s">
        <v>199</v>
      </c>
    </row>
    <row r="550" spans="1:1" x14ac:dyDescent="0.25">
      <c r="A550" t="s">
        <v>200</v>
      </c>
    </row>
    <row r="551" spans="1:1" x14ac:dyDescent="0.25">
      <c r="A551" t="s">
        <v>201</v>
      </c>
    </row>
    <row r="552" spans="1:1" x14ac:dyDescent="0.25">
      <c r="A552" t="s">
        <v>202</v>
      </c>
    </row>
    <row r="553" spans="1:1" x14ac:dyDescent="0.25">
      <c r="A553" t="s">
        <v>203</v>
      </c>
    </row>
    <row r="554" spans="1:1" x14ac:dyDescent="0.25">
      <c r="A554" t="s">
        <v>204</v>
      </c>
    </row>
    <row r="555" spans="1:1" x14ac:dyDescent="0.25">
      <c r="A555" t="s">
        <v>205</v>
      </c>
    </row>
    <row r="556" spans="1:1" x14ac:dyDescent="0.25">
      <c r="A556" t="s">
        <v>206</v>
      </c>
    </row>
    <row r="557" spans="1:1" x14ac:dyDescent="0.25">
      <c r="A557" t="s">
        <v>207</v>
      </c>
    </row>
    <row r="558" spans="1:1" x14ac:dyDescent="0.25">
      <c r="A558" t="s">
        <v>208</v>
      </c>
    </row>
    <row r="559" spans="1:1" x14ac:dyDescent="0.25">
      <c r="A559" t="s">
        <v>209</v>
      </c>
    </row>
    <row r="560" spans="1:1" x14ac:dyDescent="0.25">
      <c r="A560" t="s">
        <v>210</v>
      </c>
    </row>
    <row r="561" spans="1:1" x14ac:dyDescent="0.25">
      <c r="A561" t="s">
        <v>211</v>
      </c>
    </row>
    <row r="562" spans="1:1" x14ac:dyDescent="0.25">
      <c r="A562" t="s">
        <v>212</v>
      </c>
    </row>
    <row r="563" spans="1:1" x14ac:dyDescent="0.25">
      <c r="A563" t="s">
        <v>213</v>
      </c>
    </row>
    <row r="564" spans="1:1" x14ac:dyDescent="0.25">
      <c r="A564" t="s">
        <v>214</v>
      </c>
    </row>
    <row r="565" spans="1:1" x14ac:dyDescent="0.25">
      <c r="A565" t="s">
        <v>215</v>
      </c>
    </row>
    <row r="566" spans="1:1" x14ac:dyDescent="0.25">
      <c r="A566" t="s">
        <v>216</v>
      </c>
    </row>
    <row r="567" spans="1:1" x14ac:dyDescent="0.25">
      <c r="A567" t="s">
        <v>217</v>
      </c>
    </row>
    <row r="568" spans="1:1" x14ac:dyDescent="0.25">
      <c r="A568" t="s">
        <v>218</v>
      </c>
    </row>
    <row r="569" spans="1:1" x14ac:dyDescent="0.25">
      <c r="A569" t="s">
        <v>219</v>
      </c>
    </row>
    <row r="570" spans="1:1" x14ac:dyDescent="0.25">
      <c r="A570" t="s">
        <v>220</v>
      </c>
    </row>
    <row r="571" spans="1:1" x14ac:dyDescent="0.25">
      <c r="A571" t="s">
        <v>221</v>
      </c>
    </row>
    <row r="572" spans="1:1" x14ac:dyDescent="0.25">
      <c r="A572" t="s">
        <v>222</v>
      </c>
    </row>
    <row r="573" spans="1:1" x14ac:dyDescent="0.25">
      <c r="A573" t="s">
        <v>223</v>
      </c>
    </row>
    <row r="574" spans="1:1" x14ac:dyDescent="0.25">
      <c r="A574" t="s">
        <v>224</v>
      </c>
    </row>
    <row r="575" spans="1:1" x14ac:dyDescent="0.25">
      <c r="A575" t="s">
        <v>225</v>
      </c>
    </row>
    <row r="576" spans="1:1" x14ac:dyDescent="0.25">
      <c r="A576" t="s">
        <v>226</v>
      </c>
    </row>
    <row r="577" spans="1:1" x14ac:dyDescent="0.25">
      <c r="A577" t="s">
        <v>227</v>
      </c>
    </row>
    <row r="578" spans="1:1" x14ac:dyDescent="0.25">
      <c r="A578" t="s">
        <v>228</v>
      </c>
    </row>
    <row r="579" spans="1:1" x14ac:dyDescent="0.25">
      <c r="A579" t="s">
        <v>229</v>
      </c>
    </row>
    <row r="580" spans="1:1" x14ac:dyDescent="0.25">
      <c r="A580" t="s">
        <v>230</v>
      </c>
    </row>
    <row r="581" spans="1:1" x14ac:dyDescent="0.25">
      <c r="A581" t="s">
        <v>231</v>
      </c>
    </row>
    <row r="582" spans="1:1" x14ac:dyDescent="0.25">
      <c r="A582" t="s">
        <v>232</v>
      </c>
    </row>
    <row r="583" spans="1:1" x14ac:dyDescent="0.25">
      <c r="A583" t="s">
        <v>233</v>
      </c>
    </row>
    <row r="584" spans="1:1" x14ac:dyDescent="0.25">
      <c r="A584" t="s">
        <v>234</v>
      </c>
    </row>
    <row r="585" spans="1:1" x14ac:dyDescent="0.25">
      <c r="A585" t="s">
        <v>235</v>
      </c>
    </row>
    <row r="586" spans="1:1" x14ac:dyDescent="0.25">
      <c r="A586" t="s">
        <v>236</v>
      </c>
    </row>
    <row r="587" spans="1:1" x14ac:dyDescent="0.25">
      <c r="A587" t="s">
        <v>237</v>
      </c>
    </row>
    <row r="588" spans="1:1" x14ac:dyDescent="0.25">
      <c r="A588" t="s">
        <v>238</v>
      </c>
    </row>
    <row r="589" spans="1:1" x14ac:dyDescent="0.25">
      <c r="A589" t="s">
        <v>239</v>
      </c>
    </row>
    <row r="590" spans="1:1" x14ac:dyDescent="0.25">
      <c r="A590" t="s">
        <v>240</v>
      </c>
    </row>
    <row r="591" spans="1:1" x14ac:dyDescent="0.25">
      <c r="A591" t="s">
        <v>241</v>
      </c>
    </row>
    <row r="592" spans="1:1" x14ac:dyDescent="0.25">
      <c r="A592" t="s">
        <v>242</v>
      </c>
    </row>
    <row r="593" spans="1:1" x14ac:dyDescent="0.25">
      <c r="A593" t="s">
        <v>243</v>
      </c>
    </row>
    <row r="594" spans="1:1" x14ac:dyDescent="0.25">
      <c r="A594" t="s">
        <v>244</v>
      </c>
    </row>
    <row r="595" spans="1:1" x14ac:dyDescent="0.25">
      <c r="A595" t="s">
        <v>245</v>
      </c>
    </row>
    <row r="596" spans="1:1" x14ac:dyDescent="0.25">
      <c r="A596" t="s">
        <v>246</v>
      </c>
    </row>
    <row r="597" spans="1:1" x14ac:dyDescent="0.25">
      <c r="A597" t="s">
        <v>247</v>
      </c>
    </row>
    <row r="598" spans="1:1" x14ac:dyDescent="0.25">
      <c r="A598" t="s">
        <v>248</v>
      </c>
    </row>
    <row r="599" spans="1:1" x14ac:dyDescent="0.25">
      <c r="A599" t="s">
        <v>249</v>
      </c>
    </row>
    <row r="600" spans="1:1" x14ac:dyDescent="0.25">
      <c r="A600" t="s">
        <v>250</v>
      </c>
    </row>
    <row r="601" spans="1:1" x14ac:dyDescent="0.25">
      <c r="A601" t="s">
        <v>251</v>
      </c>
    </row>
    <row r="602" spans="1:1" x14ac:dyDescent="0.25">
      <c r="A602" t="s">
        <v>252</v>
      </c>
    </row>
    <row r="603" spans="1:1" x14ac:dyDescent="0.25">
      <c r="A603" t="s">
        <v>32</v>
      </c>
    </row>
    <row r="604" spans="1:1" x14ac:dyDescent="0.25">
      <c r="A604" t="s">
        <v>253</v>
      </c>
    </row>
    <row r="605" spans="1:1" x14ac:dyDescent="0.25">
      <c r="A605" t="s">
        <v>254</v>
      </c>
    </row>
    <row r="606" spans="1:1" x14ac:dyDescent="0.25">
      <c r="A606" t="s">
        <v>255</v>
      </c>
    </row>
    <row r="607" spans="1:1" x14ac:dyDescent="0.25">
      <c r="A607" t="s">
        <v>256</v>
      </c>
    </row>
    <row r="608" spans="1:1" x14ac:dyDescent="0.25">
      <c r="A608" t="s">
        <v>257</v>
      </c>
    </row>
    <row r="609" spans="1:1" x14ac:dyDescent="0.25">
      <c r="A609" t="s">
        <v>258</v>
      </c>
    </row>
    <row r="610" spans="1:1" x14ac:dyDescent="0.25">
      <c r="A610" t="s">
        <v>259</v>
      </c>
    </row>
    <row r="611" spans="1:1" x14ac:dyDescent="0.25">
      <c r="A611" t="s">
        <v>260</v>
      </c>
    </row>
    <row r="612" spans="1:1" x14ac:dyDescent="0.25">
      <c r="A612" t="s">
        <v>261</v>
      </c>
    </row>
    <row r="613" spans="1:1" x14ac:dyDescent="0.25">
      <c r="A613" t="s">
        <v>262</v>
      </c>
    </row>
    <row r="614" spans="1:1" x14ac:dyDescent="0.25">
      <c r="A614" t="s">
        <v>263</v>
      </c>
    </row>
    <row r="615" spans="1:1" x14ac:dyDescent="0.25">
      <c r="A615" t="s">
        <v>264</v>
      </c>
    </row>
    <row r="616" spans="1:1" x14ac:dyDescent="0.25">
      <c r="A616" t="s">
        <v>265</v>
      </c>
    </row>
    <row r="617" spans="1:1" x14ac:dyDescent="0.25">
      <c r="A617" t="s">
        <v>266</v>
      </c>
    </row>
    <row r="618" spans="1:1" x14ac:dyDescent="0.25">
      <c r="A618" t="s">
        <v>267</v>
      </c>
    </row>
    <row r="619" spans="1:1" x14ac:dyDescent="0.25">
      <c r="A619" t="s">
        <v>268</v>
      </c>
    </row>
    <row r="620" spans="1:1" x14ac:dyDescent="0.25">
      <c r="A620" t="s">
        <v>269</v>
      </c>
    </row>
    <row r="621" spans="1:1" x14ac:dyDescent="0.25">
      <c r="A621" t="s">
        <v>270</v>
      </c>
    </row>
    <row r="622" spans="1:1" x14ac:dyDescent="0.25">
      <c r="A622" t="s">
        <v>271</v>
      </c>
    </row>
    <row r="623" spans="1:1" x14ac:dyDescent="0.25">
      <c r="A623" t="s">
        <v>272</v>
      </c>
    </row>
    <row r="624" spans="1:1" x14ac:dyDescent="0.25">
      <c r="A624" t="s">
        <v>273</v>
      </c>
    </row>
    <row r="625" spans="1:1" x14ac:dyDescent="0.25">
      <c r="A625" t="s">
        <v>274</v>
      </c>
    </row>
    <row r="626" spans="1:1" x14ac:dyDescent="0.25">
      <c r="A626" t="s">
        <v>275</v>
      </c>
    </row>
    <row r="627" spans="1:1" x14ac:dyDescent="0.25">
      <c r="A627" t="s">
        <v>276</v>
      </c>
    </row>
    <row r="628" spans="1:1" x14ac:dyDescent="0.25">
      <c r="A628" t="s">
        <v>277</v>
      </c>
    </row>
    <row r="629" spans="1:1" x14ac:dyDescent="0.25">
      <c r="A629" t="s">
        <v>278</v>
      </c>
    </row>
    <row r="630" spans="1:1" x14ac:dyDescent="0.25">
      <c r="A630" t="s">
        <v>279</v>
      </c>
    </row>
    <row r="631" spans="1:1" x14ac:dyDescent="0.25">
      <c r="A631" t="s">
        <v>280</v>
      </c>
    </row>
    <row r="632" spans="1:1" x14ac:dyDescent="0.25">
      <c r="A632" t="s">
        <v>281</v>
      </c>
    </row>
    <row r="633" spans="1:1" x14ac:dyDescent="0.25">
      <c r="A633" t="s">
        <v>282</v>
      </c>
    </row>
    <row r="634" spans="1:1" x14ac:dyDescent="0.25">
      <c r="A634" t="s">
        <v>283</v>
      </c>
    </row>
    <row r="635" spans="1:1" x14ac:dyDescent="0.25">
      <c r="A635" t="s">
        <v>284</v>
      </c>
    </row>
    <row r="636" spans="1:1" x14ac:dyDescent="0.25">
      <c r="A636" t="s">
        <v>285</v>
      </c>
    </row>
    <row r="637" spans="1:1" x14ac:dyDescent="0.25">
      <c r="A637" t="s">
        <v>286</v>
      </c>
    </row>
    <row r="638" spans="1:1" x14ac:dyDescent="0.25">
      <c r="A638" t="s">
        <v>287</v>
      </c>
    </row>
    <row r="639" spans="1:1" x14ac:dyDescent="0.25">
      <c r="A639" t="s">
        <v>288</v>
      </c>
    </row>
    <row r="640" spans="1:1" x14ac:dyDescent="0.25">
      <c r="A640" t="s">
        <v>289</v>
      </c>
    </row>
    <row r="641" spans="1:1" x14ac:dyDescent="0.25">
      <c r="A641" t="s">
        <v>290</v>
      </c>
    </row>
    <row r="642" spans="1:1" x14ac:dyDescent="0.25">
      <c r="A642" t="s">
        <v>291</v>
      </c>
    </row>
    <row r="643" spans="1:1" x14ac:dyDescent="0.25">
      <c r="A643" t="s">
        <v>292</v>
      </c>
    </row>
    <row r="644" spans="1:1" x14ac:dyDescent="0.25">
      <c r="A644" t="s">
        <v>293</v>
      </c>
    </row>
    <row r="645" spans="1:1" x14ac:dyDescent="0.25">
      <c r="A645" t="s">
        <v>294</v>
      </c>
    </row>
    <row r="646" spans="1:1" x14ac:dyDescent="0.25">
      <c r="A646" t="s">
        <v>295</v>
      </c>
    </row>
    <row r="647" spans="1:1" x14ac:dyDescent="0.25">
      <c r="A647" t="s">
        <v>296</v>
      </c>
    </row>
    <row r="648" spans="1:1" x14ac:dyDescent="0.25">
      <c r="A648" t="s">
        <v>297</v>
      </c>
    </row>
    <row r="649" spans="1:1" x14ac:dyDescent="0.25">
      <c r="A649" t="s">
        <v>298</v>
      </c>
    </row>
    <row r="650" spans="1:1" x14ac:dyDescent="0.25">
      <c r="A650" t="s">
        <v>299</v>
      </c>
    </row>
    <row r="651" spans="1:1" x14ac:dyDescent="0.25">
      <c r="A651" t="s">
        <v>300</v>
      </c>
    </row>
    <row r="652" spans="1:1" x14ac:dyDescent="0.25">
      <c r="A652" t="s">
        <v>301</v>
      </c>
    </row>
    <row r="653" spans="1:1" x14ac:dyDescent="0.25">
      <c r="A653" t="s">
        <v>302</v>
      </c>
    </row>
    <row r="654" spans="1:1" x14ac:dyDescent="0.25">
      <c r="A654" t="s">
        <v>303</v>
      </c>
    </row>
    <row r="655" spans="1:1" x14ac:dyDescent="0.25">
      <c r="A655" t="s">
        <v>304</v>
      </c>
    </row>
    <row r="656" spans="1:1" x14ac:dyDescent="0.25">
      <c r="A656" t="s">
        <v>305</v>
      </c>
    </row>
    <row r="657" spans="1:1" x14ac:dyDescent="0.25">
      <c r="A657" t="s">
        <v>306</v>
      </c>
    </row>
    <row r="658" spans="1:1" x14ac:dyDescent="0.25">
      <c r="A658" t="s">
        <v>307</v>
      </c>
    </row>
    <row r="659" spans="1:1" x14ac:dyDescent="0.25">
      <c r="A659" t="s">
        <v>308</v>
      </c>
    </row>
    <row r="660" spans="1:1" x14ac:dyDescent="0.25">
      <c r="A660" t="s">
        <v>309</v>
      </c>
    </row>
    <row r="661" spans="1:1" x14ac:dyDescent="0.25">
      <c r="A661" t="s">
        <v>310</v>
      </c>
    </row>
    <row r="662" spans="1:1" x14ac:dyDescent="0.25">
      <c r="A662" t="s">
        <v>311</v>
      </c>
    </row>
    <row r="663" spans="1:1" x14ac:dyDescent="0.25">
      <c r="A663" t="s">
        <v>312</v>
      </c>
    </row>
    <row r="664" spans="1:1" x14ac:dyDescent="0.25">
      <c r="A664" t="s">
        <v>313</v>
      </c>
    </row>
    <row r="665" spans="1:1" x14ac:dyDescent="0.25">
      <c r="A665" t="s">
        <v>314</v>
      </c>
    </row>
    <row r="666" spans="1:1" x14ac:dyDescent="0.25">
      <c r="A666" t="s">
        <v>315</v>
      </c>
    </row>
    <row r="667" spans="1:1" x14ac:dyDescent="0.25">
      <c r="A667" t="s">
        <v>316</v>
      </c>
    </row>
    <row r="668" spans="1:1" x14ac:dyDescent="0.25">
      <c r="A668" t="s">
        <v>317</v>
      </c>
    </row>
    <row r="669" spans="1:1" x14ac:dyDescent="0.25">
      <c r="A669" t="s">
        <v>318</v>
      </c>
    </row>
    <row r="670" spans="1:1" x14ac:dyDescent="0.25">
      <c r="A670" t="s">
        <v>319</v>
      </c>
    </row>
    <row r="671" spans="1:1" x14ac:dyDescent="0.25">
      <c r="A671" t="s">
        <v>320</v>
      </c>
    </row>
    <row r="672" spans="1:1" x14ac:dyDescent="0.25">
      <c r="A672" t="s">
        <v>321</v>
      </c>
    </row>
    <row r="673" spans="1:1" x14ac:dyDescent="0.25">
      <c r="A673" t="s">
        <v>322</v>
      </c>
    </row>
    <row r="674" spans="1:1" x14ac:dyDescent="0.25">
      <c r="A674" t="s">
        <v>323</v>
      </c>
    </row>
    <row r="675" spans="1:1" x14ac:dyDescent="0.25">
      <c r="A675" t="s">
        <v>324</v>
      </c>
    </row>
    <row r="676" spans="1:1" x14ac:dyDescent="0.25">
      <c r="A676" t="s">
        <v>325</v>
      </c>
    </row>
    <row r="677" spans="1:1" x14ac:dyDescent="0.25">
      <c r="A677" t="s">
        <v>326</v>
      </c>
    </row>
    <row r="678" spans="1:1" x14ac:dyDescent="0.25">
      <c r="A678" t="s">
        <v>327</v>
      </c>
    </row>
    <row r="679" spans="1:1" x14ac:dyDescent="0.25">
      <c r="A679" t="s">
        <v>328</v>
      </c>
    </row>
    <row r="680" spans="1:1" x14ac:dyDescent="0.25">
      <c r="A680" t="s">
        <v>329</v>
      </c>
    </row>
    <row r="681" spans="1:1" x14ac:dyDescent="0.25">
      <c r="A681" t="s">
        <v>330</v>
      </c>
    </row>
    <row r="682" spans="1:1" x14ac:dyDescent="0.25">
      <c r="A682" t="s">
        <v>331</v>
      </c>
    </row>
    <row r="683" spans="1:1" x14ac:dyDescent="0.25">
      <c r="A683" t="s">
        <v>332</v>
      </c>
    </row>
    <row r="684" spans="1:1" x14ac:dyDescent="0.25">
      <c r="A684" t="s">
        <v>333</v>
      </c>
    </row>
    <row r="685" spans="1:1" x14ac:dyDescent="0.25">
      <c r="A685" t="s">
        <v>334</v>
      </c>
    </row>
    <row r="686" spans="1:1" x14ac:dyDescent="0.25">
      <c r="A686" t="s">
        <v>335</v>
      </c>
    </row>
    <row r="687" spans="1:1" x14ac:dyDescent="0.25">
      <c r="A687" t="s">
        <v>336</v>
      </c>
    </row>
    <row r="688" spans="1:1" x14ac:dyDescent="0.25">
      <c r="A688" t="s">
        <v>337</v>
      </c>
    </row>
    <row r="689" spans="1:1" x14ac:dyDescent="0.25">
      <c r="A689" t="s">
        <v>338</v>
      </c>
    </row>
    <row r="690" spans="1:1" x14ac:dyDescent="0.25">
      <c r="A690" t="s">
        <v>339</v>
      </c>
    </row>
    <row r="691" spans="1:1" x14ac:dyDescent="0.25">
      <c r="A691" t="s">
        <v>340</v>
      </c>
    </row>
    <row r="692" spans="1:1" x14ac:dyDescent="0.25">
      <c r="A692" t="s">
        <v>341</v>
      </c>
    </row>
    <row r="693" spans="1:1" x14ac:dyDescent="0.25">
      <c r="A693" t="s">
        <v>342</v>
      </c>
    </row>
    <row r="694" spans="1:1" x14ac:dyDescent="0.25">
      <c r="A694" t="s">
        <v>343</v>
      </c>
    </row>
    <row r="695" spans="1:1" x14ac:dyDescent="0.25">
      <c r="A695" t="s">
        <v>344</v>
      </c>
    </row>
    <row r="696" spans="1:1" x14ac:dyDescent="0.25">
      <c r="A696" t="s">
        <v>345</v>
      </c>
    </row>
    <row r="697" spans="1:1" x14ac:dyDescent="0.25">
      <c r="A697" t="s">
        <v>346</v>
      </c>
    </row>
    <row r="698" spans="1:1" x14ac:dyDescent="0.25">
      <c r="A698" t="s">
        <v>347</v>
      </c>
    </row>
    <row r="699" spans="1:1" x14ac:dyDescent="0.25">
      <c r="A699" t="s">
        <v>348</v>
      </c>
    </row>
    <row r="700" spans="1:1" x14ac:dyDescent="0.25">
      <c r="A700" t="s">
        <v>349</v>
      </c>
    </row>
    <row r="701" spans="1:1" x14ac:dyDescent="0.25">
      <c r="A701" t="s">
        <v>350</v>
      </c>
    </row>
    <row r="702" spans="1:1" x14ac:dyDescent="0.25">
      <c r="A702" t="s">
        <v>351</v>
      </c>
    </row>
    <row r="703" spans="1:1" x14ac:dyDescent="0.25">
      <c r="A703" t="s">
        <v>352</v>
      </c>
    </row>
    <row r="704" spans="1:1" x14ac:dyDescent="0.25">
      <c r="A704" t="s">
        <v>353</v>
      </c>
    </row>
    <row r="705" spans="1:1" x14ac:dyDescent="0.25">
      <c r="A705" t="s">
        <v>354</v>
      </c>
    </row>
    <row r="706" spans="1:1" x14ac:dyDescent="0.25">
      <c r="A706" t="s">
        <v>355</v>
      </c>
    </row>
    <row r="707" spans="1:1" x14ac:dyDescent="0.25">
      <c r="A707" t="s">
        <v>356</v>
      </c>
    </row>
    <row r="708" spans="1:1" x14ac:dyDescent="0.25">
      <c r="A708" t="s">
        <v>357</v>
      </c>
    </row>
    <row r="709" spans="1:1" x14ac:dyDescent="0.25">
      <c r="A709" t="s">
        <v>358</v>
      </c>
    </row>
    <row r="710" spans="1:1" x14ac:dyDescent="0.25">
      <c r="A710" t="s">
        <v>359</v>
      </c>
    </row>
    <row r="711" spans="1:1" x14ac:dyDescent="0.25">
      <c r="A711" t="s">
        <v>360</v>
      </c>
    </row>
    <row r="712" spans="1:1" x14ac:dyDescent="0.25">
      <c r="A712" t="s">
        <v>361</v>
      </c>
    </row>
    <row r="713" spans="1:1" x14ac:dyDescent="0.25">
      <c r="A713" t="s">
        <v>362</v>
      </c>
    </row>
    <row r="714" spans="1:1" x14ac:dyDescent="0.25">
      <c r="A714" t="s">
        <v>363</v>
      </c>
    </row>
    <row r="715" spans="1:1" x14ac:dyDescent="0.25">
      <c r="A715" t="s">
        <v>364</v>
      </c>
    </row>
    <row r="716" spans="1:1" x14ac:dyDescent="0.25">
      <c r="A716" t="s">
        <v>365</v>
      </c>
    </row>
    <row r="717" spans="1:1" x14ac:dyDescent="0.25">
      <c r="A717" t="s">
        <v>366</v>
      </c>
    </row>
    <row r="718" spans="1:1" x14ac:dyDescent="0.25">
      <c r="A718" t="s">
        <v>367</v>
      </c>
    </row>
    <row r="719" spans="1:1" x14ac:dyDescent="0.25">
      <c r="A719" t="s">
        <v>368</v>
      </c>
    </row>
    <row r="720" spans="1:1" x14ac:dyDescent="0.25">
      <c r="A720" t="s">
        <v>369</v>
      </c>
    </row>
    <row r="721" spans="1:1" x14ac:dyDescent="0.25">
      <c r="A721" t="s">
        <v>370</v>
      </c>
    </row>
    <row r="722" spans="1:1" x14ac:dyDescent="0.25">
      <c r="A722" t="s">
        <v>371</v>
      </c>
    </row>
    <row r="723" spans="1:1" x14ac:dyDescent="0.25">
      <c r="A723" t="s">
        <v>372</v>
      </c>
    </row>
    <row r="724" spans="1:1" x14ac:dyDescent="0.25">
      <c r="A724" t="s">
        <v>373</v>
      </c>
    </row>
    <row r="725" spans="1:1" x14ac:dyDescent="0.25">
      <c r="A725" t="s">
        <v>374</v>
      </c>
    </row>
    <row r="726" spans="1:1" x14ac:dyDescent="0.25">
      <c r="A726" t="s">
        <v>375</v>
      </c>
    </row>
    <row r="727" spans="1:1" x14ac:dyDescent="0.25">
      <c r="A727" t="s">
        <v>376</v>
      </c>
    </row>
    <row r="728" spans="1:1" x14ac:dyDescent="0.25">
      <c r="A728" t="s">
        <v>377</v>
      </c>
    </row>
    <row r="729" spans="1:1" x14ac:dyDescent="0.25">
      <c r="A729" t="s">
        <v>378</v>
      </c>
    </row>
    <row r="730" spans="1:1" x14ac:dyDescent="0.25">
      <c r="A730" t="s">
        <v>379</v>
      </c>
    </row>
    <row r="731" spans="1:1" x14ac:dyDescent="0.25">
      <c r="A731" t="s">
        <v>380</v>
      </c>
    </row>
    <row r="732" spans="1:1" x14ac:dyDescent="0.25">
      <c r="A732" t="s">
        <v>381</v>
      </c>
    </row>
    <row r="733" spans="1:1" x14ac:dyDescent="0.25">
      <c r="A733" t="s">
        <v>382</v>
      </c>
    </row>
    <row r="734" spans="1:1" x14ac:dyDescent="0.25">
      <c r="A734" t="s">
        <v>383</v>
      </c>
    </row>
    <row r="735" spans="1:1" x14ac:dyDescent="0.25">
      <c r="A735" t="s">
        <v>384</v>
      </c>
    </row>
    <row r="736" spans="1:1" x14ac:dyDescent="0.25">
      <c r="A736" t="s">
        <v>385</v>
      </c>
    </row>
    <row r="737" spans="1:2" x14ac:dyDescent="0.25">
      <c r="A737" t="s">
        <v>386</v>
      </c>
    </row>
    <row r="738" spans="1:2" x14ac:dyDescent="0.25">
      <c r="A738" t="s">
        <v>387</v>
      </c>
    </row>
    <row r="739" spans="1:2" x14ac:dyDescent="0.25">
      <c r="A739" t="s">
        <v>388</v>
      </c>
    </row>
    <row r="740" spans="1:2" x14ac:dyDescent="0.25">
      <c r="A740" t="s">
        <v>389</v>
      </c>
    </row>
    <row r="741" spans="1:2" x14ac:dyDescent="0.25">
      <c r="A741" t="s">
        <v>390</v>
      </c>
    </row>
    <row r="742" spans="1:2" x14ac:dyDescent="0.25">
      <c r="A742" t="s">
        <v>391</v>
      </c>
    </row>
    <row r="743" spans="1:2" x14ac:dyDescent="0.25">
      <c r="A743" t="s">
        <v>392</v>
      </c>
    </row>
    <row r="744" spans="1:2" x14ac:dyDescent="0.25">
      <c r="A744" t="s">
        <v>393</v>
      </c>
    </row>
    <row r="745" spans="1:2" x14ac:dyDescent="0.25">
      <c r="A745" t="s">
        <v>394</v>
      </c>
    </row>
    <row r="746" spans="1:2" x14ac:dyDescent="0.25">
      <c r="A746" t="s">
        <v>395</v>
      </c>
    </row>
    <row r="747" spans="1:2" x14ac:dyDescent="0.25">
      <c r="A747" t="s">
        <v>396</v>
      </c>
    </row>
    <row r="748" spans="1:2" x14ac:dyDescent="0.25">
      <c r="A748" t="s">
        <v>397</v>
      </c>
    </row>
    <row r="749" spans="1:2" x14ac:dyDescent="0.25">
      <c r="A749" t="s">
        <v>398</v>
      </c>
    </row>
    <row r="750" spans="1:2" x14ac:dyDescent="0.25">
      <c r="A750" t="s">
        <v>399</v>
      </c>
    </row>
    <row r="751" spans="1:2" x14ac:dyDescent="0.25">
      <c r="A751" t="s">
        <v>400</v>
      </c>
    </row>
    <row r="752" spans="1:2" x14ac:dyDescent="0.25">
      <c r="A752" t="s">
        <v>401</v>
      </c>
      <c r="B752" s="15" t="s">
        <v>1007</v>
      </c>
    </row>
    <row r="753" spans="1:1" x14ac:dyDescent="0.25">
      <c r="A753" t="s">
        <v>402</v>
      </c>
    </row>
    <row r="754" spans="1:1" x14ac:dyDescent="0.25">
      <c r="A754" t="s">
        <v>403</v>
      </c>
    </row>
    <row r="755" spans="1:1" x14ac:dyDescent="0.25">
      <c r="A755" t="s">
        <v>404</v>
      </c>
    </row>
    <row r="756" spans="1:1" x14ac:dyDescent="0.25">
      <c r="A756" t="s">
        <v>405</v>
      </c>
    </row>
    <row r="757" spans="1:1" x14ac:dyDescent="0.25">
      <c r="A757" t="s">
        <v>406</v>
      </c>
    </row>
    <row r="758" spans="1:1" x14ac:dyDescent="0.25">
      <c r="A758" t="s">
        <v>407</v>
      </c>
    </row>
    <row r="759" spans="1:1" x14ac:dyDescent="0.25">
      <c r="A759" t="s">
        <v>408</v>
      </c>
    </row>
    <row r="760" spans="1:1" x14ac:dyDescent="0.25">
      <c r="A760" t="s">
        <v>409</v>
      </c>
    </row>
    <row r="761" spans="1:1" x14ac:dyDescent="0.25">
      <c r="A761" t="s">
        <v>410</v>
      </c>
    </row>
    <row r="762" spans="1:1" x14ac:dyDescent="0.25">
      <c r="A762" t="s">
        <v>411</v>
      </c>
    </row>
    <row r="763" spans="1:1" x14ac:dyDescent="0.25">
      <c r="A763" t="s">
        <v>413</v>
      </c>
    </row>
    <row r="764" spans="1:1" x14ac:dyDescent="0.25">
      <c r="A764" t="s">
        <v>37</v>
      </c>
    </row>
    <row r="765" spans="1:1" x14ac:dyDescent="0.25">
      <c r="A765" t="s">
        <v>38</v>
      </c>
    </row>
    <row r="766" spans="1:1" x14ac:dyDescent="0.25">
      <c r="A766" t="s">
        <v>39</v>
      </c>
    </row>
    <row r="767" spans="1:1" x14ac:dyDescent="0.25">
      <c r="A767" t="s">
        <v>31</v>
      </c>
    </row>
    <row r="768" spans="1:1" x14ac:dyDescent="0.25">
      <c r="A768" t="s">
        <v>40</v>
      </c>
    </row>
    <row r="769" spans="1:1" x14ac:dyDescent="0.25">
      <c r="A769" t="s">
        <v>23</v>
      </c>
    </row>
    <row r="770" spans="1:1" x14ac:dyDescent="0.25">
      <c r="A770" t="s">
        <v>41</v>
      </c>
    </row>
    <row r="771" spans="1:1" x14ac:dyDescent="0.25">
      <c r="A771" t="s">
        <v>42</v>
      </c>
    </row>
    <row r="772" spans="1:1" x14ac:dyDescent="0.25">
      <c r="A772" t="s">
        <v>43</v>
      </c>
    </row>
    <row r="773" spans="1:1" x14ac:dyDescent="0.25">
      <c r="A773" t="s">
        <v>44</v>
      </c>
    </row>
    <row r="774" spans="1:1" x14ac:dyDescent="0.25">
      <c r="A774" t="s">
        <v>45</v>
      </c>
    </row>
    <row r="775" spans="1:1" x14ac:dyDescent="0.25">
      <c r="A775" t="s">
        <v>46</v>
      </c>
    </row>
    <row r="776" spans="1:1" x14ac:dyDescent="0.25">
      <c r="A776" t="s">
        <v>47</v>
      </c>
    </row>
    <row r="777" spans="1:1" x14ac:dyDescent="0.25">
      <c r="A777" t="s">
        <v>48</v>
      </c>
    </row>
    <row r="778" spans="1:1" x14ac:dyDescent="0.25">
      <c r="A778" t="s">
        <v>49</v>
      </c>
    </row>
    <row r="779" spans="1:1" x14ac:dyDescent="0.25">
      <c r="A779" t="s">
        <v>50</v>
      </c>
    </row>
    <row r="780" spans="1:1" x14ac:dyDescent="0.25">
      <c r="A780" t="s">
        <v>51</v>
      </c>
    </row>
    <row r="781" spans="1:1" x14ac:dyDescent="0.25">
      <c r="A781" t="s">
        <v>52</v>
      </c>
    </row>
    <row r="782" spans="1:1" x14ac:dyDescent="0.25">
      <c r="A782" t="s">
        <v>53</v>
      </c>
    </row>
    <row r="783" spans="1:1" x14ac:dyDescent="0.25">
      <c r="A783" t="s">
        <v>54</v>
      </c>
    </row>
    <row r="784" spans="1:1" x14ac:dyDescent="0.25">
      <c r="A784" t="s">
        <v>55</v>
      </c>
    </row>
    <row r="785" spans="1:1" x14ac:dyDescent="0.25">
      <c r="A785" t="s">
        <v>56</v>
      </c>
    </row>
    <row r="786" spans="1:1" x14ac:dyDescent="0.25">
      <c r="A786" t="s">
        <v>25</v>
      </c>
    </row>
    <row r="787" spans="1:1" x14ac:dyDescent="0.25">
      <c r="A787" t="s">
        <v>57</v>
      </c>
    </row>
    <row r="788" spans="1:1" x14ac:dyDescent="0.25">
      <c r="A788" t="s">
        <v>27</v>
      </c>
    </row>
    <row r="789" spans="1:1" x14ac:dyDescent="0.25">
      <c r="A789" t="s">
        <v>58</v>
      </c>
    </row>
    <row r="790" spans="1:1" x14ac:dyDescent="0.25">
      <c r="A790" t="s">
        <v>59</v>
      </c>
    </row>
    <row r="791" spans="1:1" x14ac:dyDescent="0.25">
      <c r="A791" t="s">
        <v>60</v>
      </c>
    </row>
    <row r="792" spans="1:1" x14ac:dyDescent="0.25">
      <c r="A792" t="s">
        <v>61</v>
      </c>
    </row>
    <row r="793" spans="1:1" x14ac:dyDescent="0.25">
      <c r="A793" t="s">
        <v>62</v>
      </c>
    </row>
    <row r="794" spans="1:1" x14ac:dyDescent="0.25">
      <c r="A794" t="s">
        <v>63</v>
      </c>
    </row>
    <row r="795" spans="1:1" x14ac:dyDescent="0.25">
      <c r="A795" t="s">
        <v>64</v>
      </c>
    </row>
    <row r="796" spans="1:1" x14ac:dyDescent="0.25">
      <c r="A796" t="s">
        <v>65</v>
      </c>
    </row>
    <row r="797" spans="1:1" x14ac:dyDescent="0.25">
      <c r="A797" t="s">
        <v>66</v>
      </c>
    </row>
    <row r="798" spans="1:1" x14ac:dyDescent="0.25">
      <c r="A798" t="s">
        <v>67</v>
      </c>
    </row>
    <row r="799" spans="1:1" x14ac:dyDescent="0.25">
      <c r="A799" t="s">
        <v>68</v>
      </c>
    </row>
    <row r="800" spans="1:1" x14ac:dyDescent="0.25">
      <c r="A800" t="s">
        <v>69</v>
      </c>
    </row>
    <row r="801" spans="1:1" x14ac:dyDescent="0.25">
      <c r="A801" t="s">
        <v>70</v>
      </c>
    </row>
    <row r="802" spans="1:1" x14ac:dyDescent="0.25">
      <c r="A802" t="s">
        <v>71</v>
      </c>
    </row>
    <row r="803" spans="1:1" x14ac:dyDescent="0.25">
      <c r="A803" t="s">
        <v>72</v>
      </c>
    </row>
    <row r="804" spans="1:1" x14ac:dyDescent="0.25">
      <c r="A804" t="s">
        <v>73</v>
      </c>
    </row>
    <row r="805" spans="1:1" x14ac:dyDescent="0.25">
      <c r="A805" t="s">
        <v>74</v>
      </c>
    </row>
    <row r="806" spans="1:1" x14ac:dyDescent="0.25">
      <c r="A806" t="s">
        <v>75</v>
      </c>
    </row>
    <row r="807" spans="1:1" x14ac:dyDescent="0.25">
      <c r="A807" t="s">
        <v>76</v>
      </c>
    </row>
    <row r="808" spans="1:1" x14ac:dyDescent="0.25">
      <c r="A808" t="s">
        <v>77</v>
      </c>
    </row>
    <row r="809" spans="1:1" x14ac:dyDescent="0.25">
      <c r="A809" t="s">
        <v>78</v>
      </c>
    </row>
    <row r="810" spans="1:1" x14ac:dyDescent="0.25">
      <c r="A810" t="s">
        <v>79</v>
      </c>
    </row>
    <row r="811" spans="1:1" x14ac:dyDescent="0.25">
      <c r="A811" t="s">
        <v>80</v>
      </c>
    </row>
    <row r="812" spans="1:1" x14ac:dyDescent="0.25">
      <c r="A812" t="s">
        <v>81</v>
      </c>
    </row>
    <row r="813" spans="1:1" x14ac:dyDescent="0.25">
      <c r="A813" t="s">
        <v>82</v>
      </c>
    </row>
    <row r="814" spans="1:1" x14ac:dyDescent="0.25">
      <c r="A814" t="s">
        <v>83</v>
      </c>
    </row>
    <row r="815" spans="1:1" x14ac:dyDescent="0.25">
      <c r="A815" t="s">
        <v>84</v>
      </c>
    </row>
    <row r="816" spans="1:1" x14ac:dyDescent="0.25">
      <c r="A816" t="s">
        <v>85</v>
      </c>
    </row>
    <row r="817" spans="1:1" x14ac:dyDescent="0.25">
      <c r="A817" t="s">
        <v>86</v>
      </c>
    </row>
    <row r="818" spans="1:1" x14ac:dyDescent="0.25">
      <c r="A818" t="s">
        <v>87</v>
      </c>
    </row>
    <row r="819" spans="1:1" x14ac:dyDescent="0.25">
      <c r="A819" t="s">
        <v>88</v>
      </c>
    </row>
    <row r="820" spans="1:1" x14ac:dyDescent="0.25">
      <c r="A820" t="s">
        <v>89</v>
      </c>
    </row>
    <row r="821" spans="1:1" x14ac:dyDescent="0.25">
      <c r="A821" t="s">
        <v>90</v>
      </c>
    </row>
    <row r="822" spans="1:1" x14ac:dyDescent="0.25">
      <c r="A822" t="s">
        <v>91</v>
      </c>
    </row>
    <row r="823" spans="1:1" x14ac:dyDescent="0.25">
      <c r="A823" t="s">
        <v>92</v>
      </c>
    </row>
    <row r="824" spans="1:1" x14ac:dyDescent="0.25">
      <c r="A824" t="s">
        <v>93</v>
      </c>
    </row>
    <row r="825" spans="1:1" x14ac:dyDescent="0.25">
      <c r="A825" t="s">
        <v>94</v>
      </c>
    </row>
    <row r="826" spans="1:1" x14ac:dyDescent="0.25">
      <c r="A826" t="s">
        <v>95</v>
      </c>
    </row>
    <row r="827" spans="1:1" x14ac:dyDescent="0.25">
      <c r="A827" t="s">
        <v>96</v>
      </c>
    </row>
    <row r="828" spans="1:1" x14ac:dyDescent="0.25">
      <c r="A828" t="s">
        <v>97</v>
      </c>
    </row>
    <row r="829" spans="1:1" x14ac:dyDescent="0.25">
      <c r="A829" t="s">
        <v>98</v>
      </c>
    </row>
    <row r="830" spans="1:1" x14ac:dyDescent="0.25">
      <c r="A830" t="s">
        <v>99</v>
      </c>
    </row>
    <row r="831" spans="1:1" x14ac:dyDescent="0.25">
      <c r="A831" t="s">
        <v>100</v>
      </c>
    </row>
    <row r="832" spans="1:1" x14ac:dyDescent="0.25">
      <c r="A832" t="s">
        <v>101</v>
      </c>
    </row>
    <row r="833" spans="1:1" x14ac:dyDescent="0.25">
      <c r="A833" t="s">
        <v>102</v>
      </c>
    </row>
    <row r="834" spans="1:1" x14ac:dyDescent="0.25">
      <c r="A834" t="s">
        <v>103</v>
      </c>
    </row>
    <row r="835" spans="1:1" x14ac:dyDescent="0.25">
      <c r="A835" t="s">
        <v>104</v>
      </c>
    </row>
    <row r="836" spans="1:1" x14ac:dyDescent="0.25">
      <c r="A836" t="s">
        <v>105</v>
      </c>
    </row>
    <row r="837" spans="1:1" x14ac:dyDescent="0.25">
      <c r="A837" t="s">
        <v>106</v>
      </c>
    </row>
    <row r="838" spans="1:1" x14ac:dyDescent="0.25">
      <c r="A838" t="s">
        <v>107</v>
      </c>
    </row>
    <row r="839" spans="1:1" x14ac:dyDescent="0.25">
      <c r="A839" t="s">
        <v>108</v>
      </c>
    </row>
    <row r="840" spans="1:1" x14ac:dyDescent="0.25">
      <c r="A840" t="s">
        <v>109</v>
      </c>
    </row>
    <row r="841" spans="1:1" x14ac:dyDescent="0.25">
      <c r="A841" t="s">
        <v>110</v>
      </c>
    </row>
    <row r="842" spans="1:1" x14ac:dyDescent="0.25">
      <c r="A842" t="s">
        <v>111</v>
      </c>
    </row>
    <row r="843" spans="1:1" x14ac:dyDescent="0.25">
      <c r="A843" t="s">
        <v>112</v>
      </c>
    </row>
    <row r="844" spans="1:1" x14ac:dyDescent="0.25">
      <c r="A844" t="s">
        <v>113</v>
      </c>
    </row>
    <row r="845" spans="1:1" x14ac:dyDescent="0.25">
      <c r="A845" t="s">
        <v>114</v>
      </c>
    </row>
    <row r="846" spans="1:1" x14ac:dyDescent="0.25">
      <c r="A846" t="s">
        <v>115</v>
      </c>
    </row>
    <row r="847" spans="1:1" x14ac:dyDescent="0.25">
      <c r="A847" t="s">
        <v>116</v>
      </c>
    </row>
    <row r="848" spans="1:1" x14ac:dyDescent="0.25">
      <c r="A848" t="s">
        <v>117</v>
      </c>
    </row>
    <row r="849" spans="1:1" x14ac:dyDescent="0.25">
      <c r="A849" t="s">
        <v>118</v>
      </c>
    </row>
    <row r="850" spans="1:1" x14ac:dyDescent="0.25">
      <c r="A850" t="s">
        <v>119</v>
      </c>
    </row>
    <row r="851" spans="1:1" x14ac:dyDescent="0.25">
      <c r="A851" t="s">
        <v>120</v>
      </c>
    </row>
    <row r="852" spans="1:1" x14ac:dyDescent="0.25">
      <c r="A852" t="s">
        <v>121</v>
      </c>
    </row>
    <row r="853" spans="1:1" x14ac:dyDescent="0.25">
      <c r="A853" t="s">
        <v>122</v>
      </c>
    </row>
    <row r="854" spans="1:1" x14ac:dyDescent="0.25">
      <c r="A854" t="s">
        <v>123</v>
      </c>
    </row>
    <row r="855" spans="1:1" x14ac:dyDescent="0.25">
      <c r="A855" t="s">
        <v>124</v>
      </c>
    </row>
    <row r="856" spans="1:1" x14ac:dyDescent="0.25">
      <c r="A856" t="s">
        <v>125</v>
      </c>
    </row>
    <row r="857" spans="1:1" x14ac:dyDescent="0.25">
      <c r="A857" t="s">
        <v>126</v>
      </c>
    </row>
    <row r="858" spans="1:1" x14ac:dyDescent="0.25">
      <c r="A858" t="s">
        <v>127</v>
      </c>
    </row>
    <row r="859" spans="1:1" x14ac:dyDescent="0.25">
      <c r="A859" t="s">
        <v>128</v>
      </c>
    </row>
    <row r="860" spans="1:1" x14ac:dyDescent="0.25">
      <c r="A860" t="s">
        <v>129</v>
      </c>
    </row>
    <row r="861" spans="1:1" x14ac:dyDescent="0.25">
      <c r="A861" t="s">
        <v>130</v>
      </c>
    </row>
    <row r="862" spans="1:1" x14ac:dyDescent="0.25">
      <c r="A862" t="s">
        <v>131</v>
      </c>
    </row>
    <row r="863" spans="1:1" x14ac:dyDescent="0.25">
      <c r="A863" t="s">
        <v>132</v>
      </c>
    </row>
    <row r="864" spans="1:1" x14ac:dyDescent="0.25">
      <c r="A864" t="s">
        <v>133</v>
      </c>
    </row>
    <row r="865" spans="1:1" x14ac:dyDescent="0.25">
      <c r="A865" t="s">
        <v>134</v>
      </c>
    </row>
    <row r="866" spans="1:1" x14ac:dyDescent="0.25">
      <c r="A866" t="s">
        <v>135</v>
      </c>
    </row>
    <row r="867" spans="1:1" x14ac:dyDescent="0.25">
      <c r="A867" t="s">
        <v>136</v>
      </c>
    </row>
    <row r="868" spans="1:1" x14ac:dyDescent="0.25">
      <c r="A868" t="s">
        <v>137</v>
      </c>
    </row>
    <row r="869" spans="1:1" x14ac:dyDescent="0.25">
      <c r="A869" t="s">
        <v>138</v>
      </c>
    </row>
    <row r="870" spans="1:1" x14ac:dyDescent="0.25">
      <c r="A870" t="s">
        <v>139</v>
      </c>
    </row>
    <row r="871" spans="1:1" x14ac:dyDescent="0.25">
      <c r="A871" t="s">
        <v>140</v>
      </c>
    </row>
    <row r="872" spans="1:1" x14ac:dyDescent="0.25">
      <c r="A872" t="s">
        <v>141</v>
      </c>
    </row>
    <row r="873" spans="1:1" x14ac:dyDescent="0.25">
      <c r="A873" t="s">
        <v>142</v>
      </c>
    </row>
    <row r="874" spans="1:1" x14ac:dyDescent="0.25">
      <c r="A874" t="s">
        <v>143</v>
      </c>
    </row>
    <row r="875" spans="1:1" x14ac:dyDescent="0.25">
      <c r="A875" t="s">
        <v>144</v>
      </c>
    </row>
    <row r="876" spans="1:1" x14ac:dyDescent="0.25">
      <c r="A876" t="s">
        <v>145</v>
      </c>
    </row>
    <row r="877" spans="1:1" x14ac:dyDescent="0.25">
      <c r="A877" t="s">
        <v>146</v>
      </c>
    </row>
    <row r="878" spans="1:1" x14ac:dyDescent="0.25">
      <c r="A878" t="s">
        <v>147</v>
      </c>
    </row>
    <row r="879" spans="1:1" x14ac:dyDescent="0.25">
      <c r="A879" t="s">
        <v>148</v>
      </c>
    </row>
    <row r="880" spans="1:1" x14ac:dyDescent="0.25">
      <c r="A880" t="s">
        <v>149</v>
      </c>
    </row>
    <row r="881" spans="1:1" x14ac:dyDescent="0.25">
      <c r="A881" t="s">
        <v>150</v>
      </c>
    </row>
    <row r="882" spans="1:1" x14ac:dyDescent="0.25">
      <c r="A882" t="s">
        <v>151</v>
      </c>
    </row>
    <row r="883" spans="1:1" x14ac:dyDescent="0.25">
      <c r="A883" t="s">
        <v>152</v>
      </c>
    </row>
    <row r="884" spans="1:1" x14ac:dyDescent="0.25">
      <c r="A884" t="s">
        <v>153</v>
      </c>
    </row>
    <row r="885" spans="1:1" x14ac:dyDescent="0.25">
      <c r="A885" t="s">
        <v>154</v>
      </c>
    </row>
    <row r="886" spans="1:1" x14ac:dyDescent="0.25">
      <c r="A886" t="s">
        <v>155</v>
      </c>
    </row>
    <row r="887" spans="1:1" x14ac:dyDescent="0.25">
      <c r="A887" t="s">
        <v>156</v>
      </c>
    </row>
    <row r="888" spans="1:1" x14ac:dyDescent="0.25">
      <c r="A888" t="s">
        <v>157</v>
      </c>
    </row>
    <row r="889" spans="1:1" x14ac:dyDescent="0.25">
      <c r="A889" t="s">
        <v>158</v>
      </c>
    </row>
    <row r="890" spans="1:1" x14ac:dyDescent="0.25">
      <c r="A890" t="s">
        <v>159</v>
      </c>
    </row>
    <row r="891" spans="1:1" x14ac:dyDescent="0.25">
      <c r="A891" t="s">
        <v>160</v>
      </c>
    </row>
    <row r="892" spans="1:1" x14ac:dyDescent="0.25">
      <c r="A892" t="s">
        <v>161</v>
      </c>
    </row>
    <row r="893" spans="1:1" x14ac:dyDescent="0.25">
      <c r="A893" t="s">
        <v>162</v>
      </c>
    </row>
    <row r="894" spans="1:1" x14ac:dyDescent="0.25">
      <c r="A894" t="s">
        <v>163</v>
      </c>
    </row>
    <row r="895" spans="1:1" x14ac:dyDescent="0.25">
      <c r="A895" t="s">
        <v>164</v>
      </c>
    </row>
    <row r="896" spans="1:1" x14ac:dyDescent="0.25">
      <c r="A896" t="s">
        <v>165</v>
      </c>
    </row>
    <row r="897" spans="1:1" x14ac:dyDescent="0.25">
      <c r="A897" t="s">
        <v>166</v>
      </c>
    </row>
    <row r="898" spans="1:1" x14ac:dyDescent="0.25">
      <c r="A898" t="s">
        <v>167</v>
      </c>
    </row>
    <row r="899" spans="1:1" x14ac:dyDescent="0.25">
      <c r="A899" t="s">
        <v>168</v>
      </c>
    </row>
    <row r="900" spans="1:1" x14ac:dyDescent="0.25">
      <c r="A900" t="s">
        <v>169</v>
      </c>
    </row>
    <row r="901" spans="1:1" x14ac:dyDescent="0.25">
      <c r="A901" t="s">
        <v>170</v>
      </c>
    </row>
    <row r="902" spans="1:1" x14ac:dyDescent="0.25">
      <c r="A902" t="s">
        <v>171</v>
      </c>
    </row>
    <row r="903" spans="1:1" x14ac:dyDescent="0.25">
      <c r="A903" t="s">
        <v>172</v>
      </c>
    </row>
    <row r="904" spans="1:1" x14ac:dyDescent="0.25">
      <c r="A904" t="s">
        <v>173</v>
      </c>
    </row>
    <row r="905" spans="1:1" x14ac:dyDescent="0.25">
      <c r="A905" t="s">
        <v>174</v>
      </c>
    </row>
    <row r="906" spans="1:1" x14ac:dyDescent="0.25">
      <c r="A906" t="s">
        <v>175</v>
      </c>
    </row>
    <row r="907" spans="1:1" x14ac:dyDescent="0.25">
      <c r="A907" t="s">
        <v>176</v>
      </c>
    </row>
    <row r="908" spans="1:1" x14ac:dyDescent="0.25">
      <c r="A908" t="s">
        <v>177</v>
      </c>
    </row>
    <row r="909" spans="1:1" x14ac:dyDescent="0.25">
      <c r="A909" t="s">
        <v>178</v>
      </c>
    </row>
    <row r="910" spans="1:1" x14ac:dyDescent="0.25">
      <c r="A910" t="s">
        <v>179</v>
      </c>
    </row>
    <row r="911" spans="1:1" x14ac:dyDescent="0.25">
      <c r="A911" t="s">
        <v>180</v>
      </c>
    </row>
    <row r="912" spans="1:1" x14ac:dyDescent="0.25">
      <c r="A912" t="s">
        <v>181</v>
      </c>
    </row>
    <row r="913" spans="1:1" x14ac:dyDescent="0.25">
      <c r="A913" t="s">
        <v>182</v>
      </c>
    </row>
    <row r="914" spans="1:1" x14ac:dyDescent="0.25">
      <c r="A914" t="s">
        <v>183</v>
      </c>
    </row>
    <row r="915" spans="1:1" x14ac:dyDescent="0.25">
      <c r="A915" t="s">
        <v>184</v>
      </c>
    </row>
    <row r="916" spans="1:1" x14ac:dyDescent="0.25">
      <c r="A916" t="s">
        <v>185</v>
      </c>
    </row>
    <row r="917" spans="1:1" x14ac:dyDescent="0.25">
      <c r="A917" t="s">
        <v>186</v>
      </c>
    </row>
    <row r="918" spans="1:1" x14ac:dyDescent="0.25">
      <c r="A918" t="s">
        <v>187</v>
      </c>
    </row>
    <row r="919" spans="1:1" x14ac:dyDescent="0.25">
      <c r="A919" t="s">
        <v>188</v>
      </c>
    </row>
    <row r="920" spans="1:1" x14ac:dyDescent="0.25">
      <c r="A920" t="s">
        <v>189</v>
      </c>
    </row>
    <row r="921" spans="1:1" x14ac:dyDescent="0.25">
      <c r="A921" t="s">
        <v>190</v>
      </c>
    </row>
    <row r="922" spans="1:1" x14ac:dyDescent="0.25">
      <c r="A922" t="s">
        <v>191</v>
      </c>
    </row>
    <row r="923" spans="1:1" x14ac:dyDescent="0.25">
      <c r="A923" t="s">
        <v>192</v>
      </c>
    </row>
    <row r="924" spans="1:1" x14ac:dyDescent="0.25">
      <c r="A924" t="s">
        <v>193</v>
      </c>
    </row>
    <row r="925" spans="1:1" x14ac:dyDescent="0.25">
      <c r="A925" t="s">
        <v>194</v>
      </c>
    </row>
    <row r="926" spans="1:1" x14ac:dyDescent="0.25">
      <c r="A926" t="s">
        <v>195</v>
      </c>
    </row>
    <row r="927" spans="1:1" x14ac:dyDescent="0.25">
      <c r="A927" t="s">
        <v>196</v>
      </c>
    </row>
    <row r="928" spans="1:1" x14ac:dyDescent="0.25">
      <c r="A928" t="s">
        <v>197</v>
      </c>
    </row>
    <row r="929" spans="1:1" x14ac:dyDescent="0.25">
      <c r="A929" t="s">
        <v>198</v>
      </c>
    </row>
    <row r="930" spans="1:1" x14ac:dyDescent="0.25">
      <c r="A930" t="s">
        <v>199</v>
      </c>
    </row>
    <row r="931" spans="1:1" x14ac:dyDescent="0.25">
      <c r="A931" t="s">
        <v>200</v>
      </c>
    </row>
    <row r="932" spans="1:1" x14ac:dyDescent="0.25">
      <c r="A932" t="s">
        <v>201</v>
      </c>
    </row>
    <row r="933" spans="1:1" x14ac:dyDescent="0.25">
      <c r="A933" t="s">
        <v>202</v>
      </c>
    </row>
    <row r="934" spans="1:1" x14ac:dyDescent="0.25">
      <c r="A934" t="s">
        <v>203</v>
      </c>
    </row>
    <row r="935" spans="1:1" x14ac:dyDescent="0.25">
      <c r="A935" t="s">
        <v>204</v>
      </c>
    </row>
    <row r="936" spans="1:1" x14ac:dyDescent="0.25">
      <c r="A936" t="s">
        <v>205</v>
      </c>
    </row>
    <row r="937" spans="1:1" x14ac:dyDescent="0.25">
      <c r="A937" t="s">
        <v>206</v>
      </c>
    </row>
    <row r="938" spans="1:1" x14ac:dyDescent="0.25">
      <c r="A938" t="s">
        <v>207</v>
      </c>
    </row>
    <row r="939" spans="1:1" x14ac:dyDescent="0.25">
      <c r="A939" t="s">
        <v>208</v>
      </c>
    </row>
    <row r="940" spans="1:1" x14ac:dyDescent="0.25">
      <c r="A940" t="s">
        <v>209</v>
      </c>
    </row>
    <row r="941" spans="1:1" x14ac:dyDescent="0.25">
      <c r="A941" t="s">
        <v>210</v>
      </c>
    </row>
    <row r="942" spans="1:1" x14ac:dyDescent="0.25">
      <c r="A942" t="s">
        <v>211</v>
      </c>
    </row>
    <row r="943" spans="1:1" x14ac:dyDescent="0.25">
      <c r="A943" t="s">
        <v>212</v>
      </c>
    </row>
    <row r="944" spans="1:1" x14ac:dyDescent="0.25">
      <c r="A944" t="s">
        <v>213</v>
      </c>
    </row>
    <row r="945" spans="1:1" x14ac:dyDescent="0.25">
      <c r="A945" t="s">
        <v>214</v>
      </c>
    </row>
    <row r="946" spans="1:1" x14ac:dyDescent="0.25">
      <c r="A946" t="s">
        <v>215</v>
      </c>
    </row>
    <row r="947" spans="1:1" x14ac:dyDescent="0.25">
      <c r="A947" t="s">
        <v>216</v>
      </c>
    </row>
    <row r="948" spans="1:1" x14ac:dyDescent="0.25">
      <c r="A948" t="s">
        <v>217</v>
      </c>
    </row>
    <row r="949" spans="1:1" x14ac:dyDescent="0.25">
      <c r="A949" t="s">
        <v>218</v>
      </c>
    </row>
    <row r="950" spans="1:1" x14ac:dyDescent="0.25">
      <c r="A950" t="s">
        <v>219</v>
      </c>
    </row>
    <row r="951" spans="1:1" x14ac:dyDescent="0.25">
      <c r="A951" t="s">
        <v>220</v>
      </c>
    </row>
    <row r="952" spans="1:1" x14ac:dyDescent="0.25">
      <c r="A952" t="s">
        <v>221</v>
      </c>
    </row>
    <row r="953" spans="1:1" x14ac:dyDescent="0.25">
      <c r="A953" t="s">
        <v>222</v>
      </c>
    </row>
    <row r="954" spans="1:1" x14ac:dyDescent="0.25">
      <c r="A954" t="s">
        <v>223</v>
      </c>
    </row>
    <row r="955" spans="1:1" x14ac:dyDescent="0.25">
      <c r="A955" t="s">
        <v>224</v>
      </c>
    </row>
    <row r="956" spans="1:1" x14ac:dyDescent="0.25">
      <c r="A956" t="s">
        <v>225</v>
      </c>
    </row>
    <row r="957" spans="1:1" x14ac:dyDescent="0.25">
      <c r="A957" t="s">
        <v>226</v>
      </c>
    </row>
    <row r="958" spans="1:1" x14ac:dyDescent="0.25">
      <c r="A958" t="s">
        <v>227</v>
      </c>
    </row>
    <row r="959" spans="1:1" x14ac:dyDescent="0.25">
      <c r="A959" t="s">
        <v>228</v>
      </c>
    </row>
    <row r="960" spans="1:1" x14ac:dyDescent="0.25">
      <c r="A960" t="s">
        <v>229</v>
      </c>
    </row>
    <row r="961" spans="1:1" x14ac:dyDescent="0.25">
      <c r="A961" t="s">
        <v>230</v>
      </c>
    </row>
    <row r="962" spans="1:1" x14ac:dyDescent="0.25">
      <c r="A962" t="s">
        <v>231</v>
      </c>
    </row>
    <row r="963" spans="1:1" x14ac:dyDescent="0.25">
      <c r="A963" t="s">
        <v>232</v>
      </c>
    </row>
    <row r="964" spans="1:1" x14ac:dyDescent="0.25">
      <c r="A964" t="s">
        <v>233</v>
      </c>
    </row>
    <row r="965" spans="1:1" x14ac:dyDescent="0.25">
      <c r="A965" t="s">
        <v>234</v>
      </c>
    </row>
    <row r="966" spans="1:1" x14ac:dyDescent="0.25">
      <c r="A966" t="s">
        <v>235</v>
      </c>
    </row>
    <row r="967" spans="1:1" x14ac:dyDescent="0.25">
      <c r="A967" t="s">
        <v>236</v>
      </c>
    </row>
    <row r="968" spans="1:1" x14ac:dyDescent="0.25">
      <c r="A968" t="s">
        <v>237</v>
      </c>
    </row>
    <row r="969" spans="1:1" x14ac:dyDescent="0.25">
      <c r="A969" t="s">
        <v>238</v>
      </c>
    </row>
    <row r="970" spans="1:1" x14ac:dyDescent="0.25">
      <c r="A970" t="s">
        <v>239</v>
      </c>
    </row>
    <row r="971" spans="1:1" x14ac:dyDescent="0.25">
      <c r="A971" t="s">
        <v>240</v>
      </c>
    </row>
    <row r="972" spans="1:1" x14ac:dyDescent="0.25">
      <c r="A972" t="s">
        <v>241</v>
      </c>
    </row>
    <row r="973" spans="1:1" x14ac:dyDescent="0.25">
      <c r="A973" t="s">
        <v>242</v>
      </c>
    </row>
    <row r="974" spans="1:1" x14ac:dyDescent="0.25">
      <c r="A974" t="s">
        <v>243</v>
      </c>
    </row>
    <row r="975" spans="1:1" x14ac:dyDescent="0.25">
      <c r="A975" t="s">
        <v>244</v>
      </c>
    </row>
    <row r="976" spans="1:1" x14ac:dyDescent="0.25">
      <c r="A976" t="s">
        <v>245</v>
      </c>
    </row>
    <row r="977" spans="1:1" x14ac:dyDescent="0.25">
      <c r="A977" t="s">
        <v>246</v>
      </c>
    </row>
    <row r="978" spans="1:1" x14ac:dyDescent="0.25">
      <c r="A978" t="s">
        <v>247</v>
      </c>
    </row>
    <row r="979" spans="1:1" x14ac:dyDescent="0.25">
      <c r="A979" t="s">
        <v>248</v>
      </c>
    </row>
    <row r="980" spans="1:1" x14ac:dyDescent="0.25">
      <c r="A980" t="s">
        <v>249</v>
      </c>
    </row>
    <row r="981" spans="1:1" x14ac:dyDescent="0.25">
      <c r="A981" t="s">
        <v>250</v>
      </c>
    </row>
    <row r="982" spans="1:1" x14ac:dyDescent="0.25">
      <c r="A982" t="s">
        <v>251</v>
      </c>
    </row>
    <row r="983" spans="1:1" x14ac:dyDescent="0.25">
      <c r="A983" t="s">
        <v>252</v>
      </c>
    </row>
    <row r="984" spans="1:1" x14ac:dyDescent="0.25">
      <c r="A984" t="s">
        <v>32</v>
      </c>
    </row>
    <row r="985" spans="1:1" x14ac:dyDescent="0.25">
      <c r="A985" t="s">
        <v>253</v>
      </c>
    </row>
    <row r="986" spans="1:1" x14ac:dyDescent="0.25">
      <c r="A986" t="s">
        <v>254</v>
      </c>
    </row>
    <row r="987" spans="1:1" x14ac:dyDescent="0.25">
      <c r="A987" t="s">
        <v>255</v>
      </c>
    </row>
    <row r="988" spans="1:1" x14ac:dyDescent="0.25">
      <c r="A988" t="s">
        <v>256</v>
      </c>
    </row>
    <row r="989" spans="1:1" x14ac:dyDescent="0.25">
      <c r="A989" t="s">
        <v>257</v>
      </c>
    </row>
    <row r="990" spans="1:1" x14ac:dyDescent="0.25">
      <c r="A990" t="s">
        <v>258</v>
      </c>
    </row>
    <row r="991" spans="1:1" x14ac:dyDescent="0.25">
      <c r="A991" t="s">
        <v>259</v>
      </c>
    </row>
    <row r="992" spans="1:1" x14ac:dyDescent="0.25">
      <c r="A992" t="s">
        <v>260</v>
      </c>
    </row>
    <row r="993" spans="1:1" x14ac:dyDescent="0.25">
      <c r="A993" t="s">
        <v>261</v>
      </c>
    </row>
    <row r="994" spans="1:1" x14ac:dyDescent="0.25">
      <c r="A994" t="s">
        <v>262</v>
      </c>
    </row>
    <row r="995" spans="1:1" x14ac:dyDescent="0.25">
      <c r="A995" t="s">
        <v>263</v>
      </c>
    </row>
    <row r="996" spans="1:1" x14ac:dyDescent="0.25">
      <c r="A996" t="s">
        <v>264</v>
      </c>
    </row>
    <row r="997" spans="1:1" x14ac:dyDescent="0.25">
      <c r="A997" t="s">
        <v>265</v>
      </c>
    </row>
    <row r="998" spans="1:1" x14ac:dyDescent="0.25">
      <c r="A998" t="s">
        <v>266</v>
      </c>
    </row>
    <row r="999" spans="1:1" x14ac:dyDescent="0.25">
      <c r="A999" t="s">
        <v>267</v>
      </c>
    </row>
    <row r="1000" spans="1:1" x14ac:dyDescent="0.25">
      <c r="A1000" t="s">
        <v>268</v>
      </c>
    </row>
    <row r="1001" spans="1:1" x14ac:dyDescent="0.25">
      <c r="A1001" t="s">
        <v>269</v>
      </c>
    </row>
    <row r="1002" spans="1:1" x14ac:dyDescent="0.25">
      <c r="A1002" t="s">
        <v>270</v>
      </c>
    </row>
    <row r="1003" spans="1:1" x14ac:dyDescent="0.25">
      <c r="A1003" t="s">
        <v>271</v>
      </c>
    </row>
    <row r="1004" spans="1:1" x14ac:dyDescent="0.25">
      <c r="A1004" t="s">
        <v>272</v>
      </c>
    </row>
    <row r="1005" spans="1:1" x14ac:dyDescent="0.25">
      <c r="A1005" t="s">
        <v>273</v>
      </c>
    </row>
    <row r="1006" spans="1:1" x14ac:dyDescent="0.25">
      <c r="A1006" t="s">
        <v>274</v>
      </c>
    </row>
    <row r="1007" spans="1:1" x14ac:dyDescent="0.25">
      <c r="A1007" t="s">
        <v>275</v>
      </c>
    </row>
    <row r="1008" spans="1:1" x14ac:dyDescent="0.25">
      <c r="A1008" t="s">
        <v>276</v>
      </c>
    </row>
    <row r="1009" spans="1:1" x14ac:dyDescent="0.25">
      <c r="A1009" t="s">
        <v>277</v>
      </c>
    </row>
    <row r="1010" spans="1:1" x14ac:dyDescent="0.25">
      <c r="A1010" t="s">
        <v>278</v>
      </c>
    </row>
    <row r="1011" spans="1:1" x14ac:dyDescent="0.25">
      <c r="A1011" t="s">
        <v>279</v>
      </c>
    </row>
    <row r="1012" spans="1:1" x14ac:dyDescent="0.25">
      <c r="A1012" t="s">
        <v>280</v>
      </c>
    </row>
    <row r="1013" spans="1:1" x14ac:dyDescent="0.25">
      <c r="A1013" t="s">
        <v>281</v>
      </c>
    </row>
    <row r="1014" spans="1:1" x14ac:dyDescent="0.25">
      <c r="A1014" t="s">
        <v>282</v>
      </c>
    </row>
    <row r="1015" spans="1:1" x14ac:dyDescent="0.25">
      <c r="A1015" t="s">
        <v>283</v>
      </c>
    </row>
    <row r="1016" spans="1:1" x14ac:dyDescent="0.25">
      <c r="A1016" t="s">
        <v>284</v>
      </c>
    </row>
    <row r="1017" spans="1:1" x14ac:dyDescent="0.25">
      <c r="A1017" t="s">
        <v>285</v>
      </c>
    </row>
    <row r="1018" spans="1:1" x14ac:dyDescent="0.25">
      <c r="A1018" t="s">
        <v>286</v>
      </c>
    </row>
    <row r="1019" spans="1:1" x14ac:dyDescent="0.25">
      <c r="A1019" t="s">
        <v>287</v>
      </c>
    </row>
    <row r="1020" spans="1:1" x14ac:dyDescent="0.25">
      <c r="A1020" t="s">
        <v>288</v>
      </c>
    </row>
    <row r="1021" spans="1:1" x14ac:dyDescent="0.25">
      <c r="A1021" t="s">
        <v>289</v>
      </c>
    </row>
    <row r="1022" spans="1:1" x14ac:dyDescent="0.25">
      <c r="A1022" t="s">
        <v>290</v>
      </c>
    </row>
    <row r="1023" spans="1:1" x14ac:dyDescent="0.25">
      <c r="A1023" t="s">
        <v>291</v>
      </c>
    </row>
    <row r="1024" spans="1:1" x14ac:dyDescent="0.25">
      <c r="A1024" t="s">
        <v>292</v>
      </c>
    </row>
    <row r="1025" spans="1:1" x14ac:dyDescent="0.25">
      <c r="A1025" t="s">
        <v>293</v>
      </c>
    </row>
    <row r="1026" spans="1:1" x14ac:dyDescent="0.25">
      <c r="A1026" t="s">
        <v>294</v>
      </c>
    </row>
    <row r="1027" spans="1:1" x14ac:dyDescent="0.25">
      <c r="A1027" t="s">
        <v>295</v>
      </c>
    </row>
    <row r="1028" spans="1:1" x14ac:dyDescent="0.25">
      <c r="A1028" t="s">
        <v>296</v>
      </c>
    </row>
    <row r="1029" spans="1:1" x14ac:dyDescent="0.25">
      <c r="A1029" t="s">
        <v>297</v>
      </c>
    </row>
    <row r="1030" spans="1:1" x14ac:dyDescent="0.25">
      <c r="A1030" t="s">
        <v>298</v>
      </c>
    </row>
    <row r="1031" spans="1:1" x14ac:dyDescent="0.25">
      <c r="A1031" t="s">
        <v>299</v>
      </c>
    </row>
    <row r="1032" spans="1:1" x14ac:dyDescent="0.25">
      <c r="A1032" t="s">
        <v>300</v>
      </c>
    </row>
    <row r="1033" spans="1:1" x14ac:dyDescent="0.25">
      <c r="A1033" t="s">
        <v>301</v>
      </c>
    </row>
    <row r="1034" spans="1:1" x14ac:dyDescent="0.25">
      <c r="A1034" t="s">
        <v>302</v>
      </c>
    </row>
    <row r="1035" spans="1:1" x14ac:dyDescent="0.25">
      <c r="A1035" t="s">
        <v>303</v>
      </c>
    </row>
    <row r="1036" spans="1:1" x14ac:dyDescent="0.25">
      <c r="A1036" t="s">
        <v>304</v>
      </c>
    </row>
    <row r="1037" spans="1:1" x14ac:dyDescent="0.25">
      <c r="A1037" t="s">
        <v>305</v>
      </c>
    </row>
    <row r="1038" spans="1:1" x14ac:dyDescent="0.25">
      <c r="A1038" t="s">
        <v>306</v>
      </c>
    </row>
    <row r="1039" spans="1:1" x14ac:dyDescent="0.25">
      <c r="A1039" t="s">
        <v>307</v>
      </c>
    </row>
    <row r="1040" spans="1:1" x14ac:dyDescent="0.25">
      <c r="A1040" t="s">
        <v>308</v>
      </c>
    </row>
    <row r="1041" spans="1:1" x14ac:dyDescent="0.25">
      <c r="A1041" t="s">
        <v>309</v>
      </c>
    </row>
    <row r="1042" spans="1:1" x14ac:dyDescent="0.25">
      <c r="A1042" t="s">
        <v>310</v>
      </c>
    </row>
    <row r="1043" spans="1:1" x14ac:dyDescent="0.25">
      <c r="A1043" t="s">
        <v>311</v>
      </c>
    </row>
    <row r="1044" spans="1:1" x14ac:dyDescent="0.25">
      <c r="A1044" t="s">
        <v>312</v>
      </c>
    </row>
    <row r="1045" spans="1:1" x14ac:dyDescent="0.25">
      <c r="A1045" t="s">
        <v>313</v>
      </c>
    </row>
    <row r="1046" spans="1:1" x14ac:dyDescent="0.25">
      <c r="A1046" t="s">
        <v>314</v>
      </c>
    </row>
    <row r="1047" spans="1:1" x14ac:dyDescent="0.25">
      <c r="A1047" t="s">
        <v>315</v>
      </c>
    </row>
    <row r="1048" spans="1:1" x14ac:dyDescent="0.25">
      <c r="A1048" t="s">
        <v>316</v>
      </c>
    </row>
    <row r="1049" spans="1:1" x14ac:dyDescent="0.25">
      <c r="A1049" t="s">
        <v>317</v>
      </c>
    </row>
    <row r="1050" spans="1:1" x14ac:dyDescent="0.25">
      <c r="A1050" t="s">
        <v>318</v>
      </c>
    </row>
    <row r="1051" spans="1:1" x14ac:dyDescent="0.25">
      <c r="A1051" t="s">
        <v>319</v>
      </c>
    </row>
    <row r="1052" spans="1:1" x14ac:dyDescent="0.25">
      <c r="A1052" t="s">
        <v>320</v>
      </c>
    </row>
    <row r="1053" spans="1:1" x14ac:dyDescent="0.25">
      <c r="A1053" t="s">
        <v>321</v>
      </c>
    </row>
    <row r="1054" spans="1:1" x14ac:dyDescent="0.25">
      <c r="A1054" t="s">
        <v>322</v>
      </c>
    </row>
    <row r="1055" spans="1:1" x14ac:dyDescent="0.25">
      <c r="A1055" t="s">
        <v>323</v>
      </c>
    </row>
    <row r="1056" spans="1:1" x14ac:dyDescent="0.25">
      <c r="A1056" t="s">
        <v>324</v>
      </c>
    </row>
    <row r="1057" spans="1:1" x14ac:dyDescent="0.25">
      <c r="A1057" t="s">
        <v>325</v>
      </c>
    </row>
    <row r="1058" spans="1:1" x14ac:dyDescent="0.25">
      <c r="A1058" t="s">
        <v>326</v>
      </c>
    </row>
    <row r="1059" spans="1:1" x14ac:dyDescent="0.25">
      <c r="A1059" t="s">
        <v>327</v>
      </c>
    </row>
    <row r="1060" spans="1:1" x14ac:dyDescent="0.25">
      <c r="A1060" t="s">
        <v>328</v>
      </c>
    </row>
    <row r="1061" spans="1:1" x14ac:dyDescent="0.25">
      <c r="A1061" t="s">
        <v>329</v>
      </c>
    </row>
    <row r="1062" spans="1:1" x14ac:dyDescent="0.25">
      <c r="A1062" t="s">
        <v>330</v>
      </c>
    </row>
    <row r="1063" spans="1:1" x14ac:dyDescent="0.25">
      <c r="A1063" t="s">
        <v>331</v>
      </c>
    </row>
    <row r="1064" spans="1:1" x14ac:dyDescent="0.25">
      <c r="A1064" t="s">
        <v>332</v>
      </c>
    </row>
    <row r="1065" spans="1:1" x14ac:dyDescent="0.25">
      <c r="A1065" t="s">
        <v>333</v>
      </c>
    </row>
    <row r="1066" spans="1:1" x14ac:dyDescent="0.25">
      <c r="A1066" t="s">
        <v>334</v>
      </c>
    </row>
    <row r="1067" spans="1:1" x14ac:dyDescent="0.25">
      <c r="A1067" t="s">
        <v>335</v>
      </c>
    </row>
    <row r="1068" spans="1:1" x14ac:dyDescent="0.25">
      <c r="A1068" t="s">
        <v>336</v>
      </c>
    </row>
    <row r="1069" spans="1:1" x14ac:dyDescent="0.25">
      <c r="A1069" t="s">
        <v>337</v>
      </c>
    </row>
    <row r="1070" spans="1:1" x14ac:dyDescent="0.25">
      <c r="A1070" t="s">
        <v>338</v>
      </c>
    </row>
    <row r="1071" spans="1:1" x14ac:dyDescent="0.25">
      <c r="A1071" t="s">
        <v>339</v>
      </c>
    </row>
    <row r="1072" spans="1:1" x14ac:dyDescent="0.25">
      <c r="A1072" t="s">
        <v>340</v>
      </c>
    </row>
    <row r="1073" spans="1:1" x14ac:dyDescent="0.25">
      <c r="A1073" t="s">
        <v>341</v>
      </c>
    </row>
    <row r="1074" spans="1:1" x14ac:dyDescent="0.25">
      <c r="A1074" t="s">
        <v>342</v>
      </c>
    </row>
    <row r="1075" spans="1:1" x14ac:dyDescent="0.25">
      <c r="A1075" t="s">
        <v>343</v>
      </c>
    </row>
    <row r="1076" spans="1:1" x14ac:dyDescent="0.25">
      <c r="A1076" t="s">
        <v>344</v>
      </c>
    </row>
    <row r="1077" spans="1:1" x14ac:dyDescent="0.25">
      <c r="A1077" t="s">
        <v>345</v>
      </c>
    </row>
    <row r="1078" spans="1:1" x14ac:dyDescent="0.25">
      <c r="A1078" t="s">
        <v>346</v>
      </c>
    </row>
    <row r="1079" spans="1:1" x14ac:dyDescent="0.25">
      <c r="A1079" t="s">
        <v>347</v>
      </c>
    </row>
    <row r="1080" spans="1:1" x14ac:dyDescent="0.25">
      <c r="A1080" t="s">
        <v>348</v>
      </c>
    </row>
    <row r="1081" spans="1:1" x14ac:dyDescent="0.25">
      <c r="A1081" t="s">
        <v>349</v>
      </c>
    </row>
    <row r="1082" spans="1:1" x14ac:dyDescent="0.25">
      <c r="A1082" t="s">
        <v>350</v>
      </c>
    </row>
    <row r="1083" spans="1:1" x14ac:dyDescent="0.25">
      <c r="A1083" t="s">
        <v>351</v>
      </c>
    </row>
    <row r="1084" spans="1:1" x14ac:dyDescent="0.25">
      <c r="A1084" t="s">
        <v>352</v>
      </c>
    </row>
    <row r="1085" spans="1:1" x14ac:dyDescent="0.25">
      <c r="A1085" t="s">
        <v>353</v>
      </c>
    </row>
    <row r="1086" spans="1:1" x14ac:dyDescent="0.25">
      <c r="A1086" t="s">
        <v>354</v>
      </c>
    </row>
    <row r="1087" spans="1:1" x14ac:dyDescent="0.25">
      <c r="A1087" t="s">
        <v>355</v>
      </c>
    </row>
    <row r="1088" spans="1:1" x14ac:dyDescent="0.25">
      <c r="A1088" t="s">
        <v>356</v>
      </c>
    </row>
    <row r="1089" spans="1:1" x14ac:dyDescent="0.25">
      <c r="A1089" t="s">
        <v>357</v>
      </c>
    </row>
    <row r="1090" spans="1:1" x14ac:dyDescent="0.25">
      <c r="A1090" t="s">
        <v>358</v>
      </c>
    </row>
    <row r="1091" spans="1:1" x14ac:dyDescent="0.25">
      <c r="A1091" t="s">
        <v>359</v>
      </c>
    </row>
    <row r="1092" spans="1:1" x14ac:dyDescent="0.25">
      <c r="A1092" t="s">
        <v>360</v>
      </c>
    </row>
    <row r="1093" spans="1:1" x14ac:dyDescent="0.25">
      <c r="A1093" t="s">
        <v>361</v>
      </c>
    </row>
    <row r="1094" spans="1:1" x14ac:dyDescent="0.25">
      <c r="A1094" t="s">
        <v>362</v>
      </c>
    </row>
    <row r="1095" spans="1:1" x14ac:dyDescent="0.25">
      <c r="A1095" t="s">
        <v>363</v>
      </c>
    </row>
    <row r="1096" spans="1:1" x14ac:dyDescent="0.25">
      <c r="A1096" t="s">
        <v>364</v>
      </c>
    </row>
    <row r="1097" spans="1:1" x14ac:dyDescent="0.25">
      <c r="A1097" t="s">
        <v>365</v>
      </c>
    </row>
    <row r="1098" spans="1:1" x14ac:dyDescent="0.25">
      <c r="A1098" t="s">
        <v>366</v>
      </c>
    </row>
    <row r="1099" spans="1:1" x14ac:dyDescent="0.25">
      <c r="A1099" t="s">
        <v>367</v>
      </c>
    </row>
    <row r="1100" spans="1:1" x14ac:dyDescent="0.25">
      <c r="A1100" t="s">
        <v>368</v>
      </c>
    </row>
    <row r="1101" spans="1:1" x14ac:dyDescent="0.25">
      <c r="A1101" t="s">
        <v>369</v>
      </c>
    </row>
    <row r="1102" spans="1:1" x14ac:dyDescent="0.25">
      <c r="A1102" t="s">
        <v>370</v>
      </c>
    </row>
    <row r="1103" spans="1:1" x14ac:dyDescent="0.25">
      <c r="A1103" t="s">
        <v>371</v>
      </c>
    </row>
    <row r="1104" spans="1:1" x14ac:dyDescent="0.25">
      <c r="A1104" t="s">
        <v>372</v>
      </c>
    </row>
    <row r="1105" spans="1:1" x14ac:dyDescent="0.25">
      <c r="A1105" t="s">
        <v>373</v>
      </c>
    </row>
    <row r="1106" spans="1:1" x14ac:dyDescent="0.25">
      <c r="A1106" t="s">
        <v>374</v>
      </c>
    </row>
    <row r="1107" spans="1:1" x14ac:dyDescent="0.25">
      <c r="A1107" t="s">
        <v>375</v>
      </c>
    </row>
    <row r="1108" spans="1:1" x14ac:dyDescent="0.25">
      <c r="A1108" t="s">
        <v>376</v>
      </c>
    </row>
    <row r="1109" spans="1:1" x14ac:dyDescent="0.25">
      <c r="A1109" t="s">
        <v>377</v>
      </c>
    </row>
    <row r="1110" spans="1:1" x14ac:dyDescent="0.25">
      <c r="A1110" t="s">
        <v>378</v>
      </c>
    </row>
    <row r="1111" spans="1:1" x14ac:dyDescent="0.25">
      <c r="A1111" t="s">
        <v>379</v>
      </c>
    </row>
    <row r="1112" spans="1:1" x14ac:dyDescent="0.25">
      <c r="A1112" t="s">
        <v>380</v>
      </c>
    </row>
    <row r="1113" spans="1:1" x14ac:dyDescent="0.25">
      <c r="A1113" t="s">
        <v>381</v>
      </c>
    </row>
    <row r="1114" spans="1:1" x14ac:dyDescent="0.25">
      <c r="A1114" t="s">
        <v>382</v>
      </c>
    </row>
    <row r="1115" spans="1:1" x14ac:dyDescent="0.25">
      <c r="A1115" t="s">
        <v>383</v>
      </c>
    </row>
    <row r="1116" spans="1:1" x14ac:dyDescent="0.25">
      <c r="A1116" t="s">
        <v>384</v>
      </c>
    </row>
    <row r="1117" spans="1:1" x14ac:dyDescent="0.25">
      <c r="A1117" t="s">
        <v>385</v>
      </c>
    </row>
    <row r="1118" spans="1:1" x14ac:dyDescent="0.25">
      <c r="A1118" t="s">
        <v>386</v>
      </c>
    </row>
    <row r="1119" spans="1:1" x14ac:dyDescent="0.25">
      <c r="A1119" t="s">
        <v>387</v>
      </c>
    </row>
    <row r="1120" spans="1:1" x14ac:dyDescent="0.25">
      <c r="A1120" t="s">
        <v>388</v>
      </c>
    </row>
    <row r="1121" spans="1:1" x14ac:dyDescent="0.25">
      <c r="A1121" t="s">
        <v>389</v>
      </c>
    </row>
    <row r="1122" spans="1:1" x14ac:dyDescent="0.25">
      <c r="A1122" t="s">
        <v>390</v>
      </c>
    </row>
    <row r="1123" spans="1:1" x14ac:dyDescent="0.25">
      <c r="A1123" t="s">
        <v>391</v>
      </c>
    </row>
    <row r="1124" spans="1:1" x14ac:dyDescent="0.25">
      <c r="A1124" t="s">
        <v>392</v>
      </c>
    </row>
    <row r="1125" spans="1:1" x14ac:dyDescent="0.25">
      <c r="A1125" t="s">
        <v>393</v>
      </c>
    </row>
    <row r="1126" spans="1:1" x14ac:dyDescent="0.25">
      <c r="A1126" t="s">
        <v>394</v>
      </c>
    </row>
    <row r="1127" spans="1:1" x14ac:dyDescent="0.25">
      <c r="A1127" t="s">
        <v>395</v>
      </c>
    </row>
    <row r="1128" spans="1:1" x14ac:dyDescent="0.25">
      <c r="A1128" t="s">
        <v>396</v>
      </c>
    </row>
    <row r="1129" spans="1:1" x14ac:dyDescent="0.25">
      <c r="A1129" t="s">
        <v>397</v>
      </c>
    </row>
    <row r="1130" spans="1:1" x14ac:dyDescent="0.25">
      <c r="A1130" t="s">
        <v>398</v>
      </c>
    </row>
    <row r="1131" spans="1:1" x14ac:dyDescent="0.25">
      <c r="A1131" t="s">
        <v>399</v>
      </c>
    </row>
    <row r="1132" spans="1:1" x14ac:dyDescent="0.25">
      <c r="A1132" t="s">
        <v>400</v>
      </c>
    </row>
    <row r="1133" spans="1:1" x14ac:dyDescent="0.25">
      <c r="A1133" t="s">
        <v>401</v>
      </c>
    </row>
    <row r="1134" spans="1:1" x14ac:dyDescent="0.25">
      <c r="A1134" t="s">
        <v>402</v>
      </c>
    </row>
    <row r="1135" spans="1:1" x14ac:dyDescent="0.25">
      <c r="A1135" t="s">
        <v>403</v>
      </c>
    </row>
    <row r="1136" spans="1:1" x14ac:dyDescent="0.25">
      <c r="A1136" t="s">
        <v>404</v>
      </c>
    </row>
    <row r="1137" spans="1:1" x14ac:dyDescent="0.25">
      <c r="A1137" t="s">
        <v>405</v>
      </c>
    </row>
    <row r="1138" spans="1:1" x14ac:dyDescent="0.25">
      <c r="A1138" t="s">
        <v>406</v>
      </c>
    </row>
    <row r="1139" spans="1:1" x14ac:dyDescent="0.25">
      <c r="A1139" t="s">
        <v>407</v>
      </c>
    </row>
    <row r="1140" spans="1:1" x14ac:dyDescent="0.25">
      <c r="A1140" t="s">
        <v>408</v>
      </c>
    </row>
    <row r="1141" spans="1:1" x14ac:dyDescent="0.25">
      <c r="A1141" t="s">
        <v>409</v>
      </c>
    </row>
    <row r="1142" spans="1:1" x14ac:dyDescent="0.25">
      <c r="A1142" t="s">
        <v>410</v>
      </c>
    </row>
    <row r="1143" spans="1:1" x14ac:dyDescent="0.25">
      <c r="A1143" t="s">
        <v>411</v>
      </c>
    </row>
    <row r="1144" spans="1:1" x14ac:dyDescent="0.25">
      <c r="A1144" t="s">
        <v>414</v>
      </c>
    </row>
    <row r="1145" spans="1:1" x14ac:dyDescent="0.25">
      <c r="A1145" t="s">
        <v>37</v>
      </c>
    </row>
    <row r="1146" spans="1:1" x14ac:dyDescent="0.25">
      <c r="A1146" t="s">
        <v>38</v>
      </c>
    </row>
    <row r="1147" spans="1:1" x14ac:dyDescent="0.25">
      <c r="A1147" t="s">
        <v>39</v>
      </c>
    </row>
    <row r="1148" spans="1:1" x14ac:dyDescent="0.25">
      <c r="A1148" t="s">
        <v>31</v>
      </c>
    </row>
    <row r="1149" spans="1:1" x14ac:dyDescent="0.25">
      <c r="A1149" t="s">
        <v>40</v>
      </c>
    </row>
    <row r="1150" spans="1:1" x14ac:dyDescent="0.25">
      <c r="A1150" t="s">
        <v>23</v>
      </c>
    </row>
    <row r="1151" spans="1:1" x14ac:dyDescent="0.25">
      <c r="A1151" t="s">
        <v>41</v>
      </c>
    </row>
    <row r="1152" spans="1:1" x14ac:dyDescent="0.25">
      <c r="A1152" t="s">
        <v>42</v>
      </c>
    </row>
    <row r="1153" spans="1:1" x14ac:dyDescent="0.25">
      <c r="A1153" t="s">
        <v>43</v>
      </c>
    </row>
    <row r="1154" spans="1:1" x14ac:dyDescent="0.25">
      <c r="A1154" t="s">
        <v>44</v>
      </c>
    </row>
    <row r="1155" spans="1:1" x14ac:dyDescent="0.25">
      <c r="A1155" t="s">
        <v>45</v>
      </c>
    </row>
    <row r="1156" spans="1:1" x14ac:dyDescent="0.25">
      <c r="A1156" t="s">
        <v>46</v>
      </c>
    </row>
    <row r="1157" spans="1:1" x14ac:dyDescent="0.25">
      <c r="A1157" t="s">
        <v>47</v>
      </c>
    </row>
    <row r="1158" spans="1:1" x14ac:dyDescent="0.25">
      <c r="A1158" t="s">
        <v>48</v>
      </c>
    </row>
    <row r="1159" spans="1:1" x14ac:dyDescent="0.25">
      <c r="A1159" t="s">
        <v>49</v>
      </c>
    </row>
    <row r="1160" spans="1:1" x14ac:dyDescent="0.25">
      <c r="A1160" t="s">
        <v>50</v>
      </c>
    </row>
    <row r="1161" spans="1:1" x14ac:dyDescent="0.25">
      <c r="A1161" t="s">
        <v>51</v>
      </c>
    </row>
    <row r="1162" spans="1:1" x14ac:dyDescent="0.25">
      <c r="A1162" t="s">
        <v>52</v>
      </c>
    </row>
    <row r="1163" spans="1:1" x14ac:dyDescent="0.25">
      <c r="A1163" t="s">
        <v>53</v>
      </c>
    </row>
    <row r="1164" spans="1:1" x14ac:dyDescent="0.25">
      <c r="A1164" t="s">
        <v>54</v>
      </c>
    </row>
    <row r="1165" spans="1:1" x14ac:dyDescent="0.25">
      <c r="A1165" t="s">
        <v>55</v>
      </c>
    </row>
    <row r="1166" spans="1:1" x14ac:dyDescent="0.25">
      <c r="A1166" t="s">
        <v>56</v>
      </c>
    </row>
    <row r="1167" spans="1:1" x14ac:dyDescent="0.25">
      <c r="A1167" t="s">
        <v>25</v>
      </c>
    </row>
    <row r="1168" spans="1:1" x14ac:dyDescent="0.25">
      <c r="A1168" t="s">
        <v>57</v>
      </c>
    </row>
    <row r="1169" spans="1:1" x14ac:dyDescent="0.25">
      <c r="A1169" t="s">
        <v>27</v>
      </c>
    </row>
    <row r="1170" spans="1:1" x14ac:dyDescent="0.25">
      <c r="A1170" t="s">
        <v>58</v>
      </c>
    </row>
    <row r="1171" spans="1:1" x14ac:dyDescent="0.25">
      <c r="A1171" t="s">
        <v>59</v>
      </c>
    </row>
    <row r="1172" spans="1:1" x14ac:dyDescent="0.25">
      <c r="A1172" t="s">
        <v>60</v>
      </c>
    </row>
    <row r="1173" spans="1:1" x14ac:dyDescent="0.25">
      <c r="A1173" t="s">
        <v>61</v>
      </c>
    </row>
    <row r="1174" spans="1:1" x14ac:dyDescent="0.25">
      <c r="A1174" t="s">
        <v>62</v>
      </c>
    </row>
    <row r="1175" spans="1:1" x14ac:dyDescent="0.25">
      <c r="A1175" t="s">
        <v>63</v>
      </c>
    </row>
    <row r="1176" spans="1:1" x14ac:dyDescent="0.25">
      <c r="A1176" t="s">
        <v>64</v>
      </c>
    </row>
    <row r="1177" spans="1:1" x14ac:dyDescent="0.25">
      <c r="A1177" t="s">
        <v>65</v>
      </c>
    </row>
    <row r="1178" spans="1:1" x14ac:dyDescent="0.25">
      <c r="A1178" t="s">
        <v>66</v>
      </c>
    </row>
    <row r="1179" spans="1:1" x14ac:dyDescent="0.25">
      <c r="A1179" t="s">
        <v>67</v>
      </c>
    </row>
    <row r="1180" spans="1:1" x14ac:dyDescent="0.25">
      <c r="A1180" t="s">
        <v>68</v>
      </c>
    </row>
    <row r="1181" spans="1:1" x14ac:dyDescent="0.25">
      <c r="A1181" t="s">
        <v>69</v>
      </c>
    </row>
    <row r="1182" spans="1:1" x14ac:dyDescent="0.25">
      <c r="A1182" t="s">
        <v>70</v>
      </c>
    </row>
    <row r="1183" spans="1:1" x14ac:dyDescent="0.25">
      <c r="A1183" t="s">
        <v>71</v>
      </c>
    </row>
    <row r="1184" spans="1:1" x14ac:dyDescent="0.25">
      <c r="A1184" t="s">
        <v>72</v>
      </c>
    </row>
    <row r="1185" spans="1:1" x14ac:dyDescent="0.25">
      <c r="A1185" t="s">
        <v>73</v>
      </c>
    </row>
    <row r="1186" spans="1:1" x14ac:dyDescent="0.25">
      <c r="A1186" t="s">
        <v>74</v>
      </c>
    </row>
    <row r="1187" spans="1:1" x14ac:dyDescent="0.25">
      <c r="A1187" t="s">
        <v>75</v>
      </c>
    </row>
    <row r="1188" spans="1:1" x14ac:dyDescent="0.25">
      <c r="A1188" t="s">
        <v>76</v>
      </c>
    </row>
    <row r="1189" spans="1:1" x14ac:dyDescent="0.25">
      <c r="A1189" t="s">
        <v>77</v>
      </c>
    </row>
    <row r="1190" spans="1:1" x14ac:dyDescent="0.25">
      <c r="A1190" t="s">
        <v>78</v>
      </c>
    </row>
    <row r="1191" spans="1:1" x14ac:dyDescent="0.25">
      <c r="A1191" t="s">
        <v>79</v>
      </c>
    </row>
    <row r="1192" spans="1:1" x14ac:dyDescent="0.25">
      <c r="A1192" t="s">
        <v>80</v>
      </c>
    </row>
    <row r="1193" spans="1:1" x14ac:dyDescent="0.25">
      <c r="A1193" t="s">
        <v>81</v>
      </c>
    </row>
    <row r="1194" spans="1:1" x14ac:dyDescent="0.25">
      <c r="A1194" t="s">
        <v>82</v>
      </c>
    </row>
    <row r="1195" spans="1:1" x14ac:dyDescent="0.25">
      <c r="A1195" t="s">
        <v>83</v>
      </c>
    </row>
    <row r="1196" spans="1:1" x14ac:dyDescent="0.25">
      <c r="A1196" t="s">
        <v>84</v>
      </c>
    </row>
    <row r="1197" spans="1:1" x14ac:dyDescent="0.25">
      <c r="A1197" t="s">
        <v>85</v>
      </c>
    </row>
    <row r="1198" spans="1:1" x14ac:dyDescent="0.25">
      <c r="A1198" t="s">
        <v>86</v>
      </c>
    </row>
    <row r="1199" spans="1:1" x14ac:dyDescent="0.25">
      <c r="A1199" t="s">
        <v>87</v>
      </c>
    </row>
    <row r="1200" spans="1:1" x14ac:dyDescent="0.25">
      <c r="A1200" t="s">
        <v>88</v>
      </c>
    </row>
    <row r="1201" spans="1:1" x14ac:dyDescent="0.25">
      <c r="A1201" t="s">
        <v>89</v>
      </c>
    </row>
    <row r="1202" spans="1:1" x14ac:dyDescent="0.25">
      <c r="A1202" t="s">
        <v>90</v>
      </c>
    </row>
    <row r="1203" spans="1:1" x14ac:dyDescent="0.25">
      <c r="A1203" t="s">
        <v>91</v>
      </c>
    </row>
    <row r="1204" spans="1:1" x14ac:dyDescent="0.25">
      <c r="A1204" t="s">
        <v>92</v>
      </c>
    </row>
    <row r="1205" spans="1:1" x14ac:dyDescent="0.25">
      <c r="A1205" t="s">
        <v>93</v>
      </c>
    </row>
    <row r="1206" spans="1:1" x14ac:dyDescent="0.25">
      <c r="A1206" t="s">
        <v>94</v>
      </c>
    </row>
    <row r="1207" spans="1:1" x14ac:dyDescent="0.25">
      <c r="A1207" t="s">
        <v>95</v>
      </c>
    </row>
    <row r="1208" spans="1:1" x14ac:dyDescent="0.25">
      <c r="A1208" t="s">
        <v>96</v>
      </c>
    </row>
    <row r="1209" spans="1:1" x14ac:dyDescent="0.25">
      <c r="A1209" t="s">
        <v>97</v>
      </c>
    </row>
    <row r="1210" spans="1:1" x14ac:dyDescent="0.25">
      <c r="A1210" t="s">
        <v>98</v>
      </c>
    </row>
    <row r="1211" spans="1:1" x14ac:dyDescent="0.25">
      <c r="A1211" t="s">
        <v>99</v>
      </c>
    </row>
    <row r="1212" spans="1:1" x14ac:dyDescent="0.25">
      <c r="A1212" t="s">
        <v>100</v>
      </c>
    </row>
    <row r="1213" spans="1:1" x14ac:dyDescent="0.25">
      <c r="A1213" t="s">
        <v>101</v>
      </c>
    </row>
    <row r="1214" spans="1:1" x14ac:dyDescent="0.25">
      <c r="A1214" t="s">
        <v>102</v>
      </c>
    </row>
    <row r="1215" spans="1:1" x14ac:dyDescent="0.25">
      <c r="A1215" t="s">
        <v>103</v>
      </c>
    </row>
    <row r="1216" spans="1:1" x14ac:dyDescent="0.25">
      <c r="A1216" t="s">
        <v>104</v>
      </c>
    </row>
    <row r="1217" spans="1:1" x14ac:dyDescent="0.25">
      <c r="A1217" t="s">
        <v>105</v>
      </c>
    </row>
    <row r="1218" spans="1:1" x14ac:dyDescent="0.25">
      <c r="A1218" t="s">
        <v>106</v>
      </c>
    </row>
    <row r="1219" spans="1:1" x14ac:dyDescent="0.25">
      <c r="A1219" t="s">
        <v>107</v>
      </c>
    </row>
    <row r="1220" spans="1:1" x14ac:dyDescent="0.25">
      <c r="A1220" t="s">
        <v>108</v>
      </c>
    </row>
    <row r="1221" spans="1:1" x14ac:dyDescent="0.25">
      <c r="A1221" t="s">
        <v>109</v>
      </c>
    </row>
    <row r="1222" spans="1:1" x14ac:dyDescent="0.25">
      <c r="A1222" t="s">
        <v>110</v>
      </c>
    </row>
    <row r="1223" spans="1:1" x14ac:dyDescent="0.25">
      <c r="A1223" t="s">
        <v>111</v>
      </c>
    </row>
    <row r="1224" spans="1:1" x14ac:dyDescent="0.25">
      <c r="A1224" t="s">
        <v>112</v>
      </c>
    </row>
    <row r="1225" spans="1:1" x14ac:dyDescent="0.25">
      <c r="A1225" t="s">
        <v>113</v>
      </c>
    </row>
    <row r="1226" spans="1:1" x14ac:dyDescent="0.25">
      <c r="A1226" t="s">
        <v>114</v>
      </c>
    </row>
    <row r="1227" spans="1:1" x14ac:dyDescent="0.25">
      <c r="A1227" t="s">
        <v>115</v>
      </c>
    </row>
    <row r="1228" spans="1:1" x14ac:dyDescent="0.25">
      <c r="A1228" t="s">
        <v>116</v>
      </c>
    </row>
    <row r="1229" spans="1:1" x14ac:dyDescent="0.25">
      <c r="A1229" t="s">
        <v>117</v>
      </c>
    </row>
    <row r="1230" spans="1:1" x14ac:dyDescent="0.25">
      <c r="A1230" t="s">
        <v>118</v>
      </c>
    </row>
    <row r="1231" spans="1:1" x14ac:dyDescent="0.25">
      <c r="A1231" t="s">
        <v>119</v>
      </c>
    </row>
    <row r="1232" spans="1:1" x14ac:dyDescent="0.25">
      <c r="A1232" t="s">
        <v>120</v>
      </c>
    </row>
    <row r="1233" spans="1:1" x14ac:dyDescent="0.25">
      <c r="A1233" t="s">
        <v>121</v>
      </c>
    </row>
    <row r="1234" spans="1:1" x14ac:dyDescent="0.25">
      <c r="A1234" t="s">
        <v>122</v>
      </c>
    </row>
    <row r="1235" spans="1:1" x14ac:dyDescent="0.25">
      <c r="A1235" t="s">
        <v>123</v>
      </c>
    </row>
    <row r="1236" spans="1:1" x14ac:dyDescent="0.25">
      <c r="A1236" t="s">
        <v>124</v>
      </c>
    </row>
    <row r="1237" spans="1:1" x14ac:dyDescent="0.25">
      <c r="A1237" t="s">
        <v>125</v>
      </c>
    </row>
    <row r="1238" spans="1:1" x14ac:dyDescent="0.25">
      <c r="A1238" t="s">
        <v>126</v>
      </c>
    </row>
    <row r="1239" spans="1:1" x14ac:dyDescent="0.25">
      <c r="A1239" t="s">
        <v>127</v>
      </c>
    </row>
    <row r="1240" spans="1:1" x14ac:dyDescent="0.25">
      <c r="A1240" t="s">
        <v>128</v>
      </c>
    </row>
    <row r="1241" spans="1:1" x14ac:dyDescent="0.25">
      <c r="A1241" t="s">
        <v>129</v>
      </c>
    </row>
    <row r="1242" spans="1:1" x14ac:dyDescent="0.25">
      <c r="A1242" t="s">
        <v>130</v>
      </c>
    </row>
    <row r="1243" spans="1:1" x14ac:dyDescent="0.25">
      <c r="A1243" t="s">
        <v>131</v>
      </c>
    </row>
    <row r="1244" spans="1:1" x14ac:dyDescent="0.25">
      <c r="A1244" t="s">
        <v>132</v>
      </c>
    </row>
    <row r="1245" spans="1:1" x14ac:dyDescent="0.25">
      <c r="A1245" t="s">
        <v>133</v>
      </c>
    </row>
    <row r="1246" spans="1:1" x14ac:dyDescent="0.25">
      <c r="A1246" t="s">
        <v>134</v>
      </c>
    </row>
    <row r="1247" spans="1:1" x14ac:dyDescent="0.25">
      <c r="A1247" t="s">
        <v>135</v>
      </c>
    </row>
    <row r="1248" spans="1:1" x14ac:dyDescent="0.25">
      <c r="A1248" t="s">
        <v>136</v>
      </c>
    </row>
    <row r="1249" spans="1:1" x14ac:dyDescent="0.25">
      <c r="A1249" t="s">
        <v>137</v>
      </c>
    </row>
    <row r="1250" spans="1:1" x14ac:dyDescent="0.25">
      <c r="A1250" t="s">
        <v>138</v>
      </c>
    </row>
    <row r="1251" spans="1:1" x14ac:dyDescent="0.25">
      <c r="A1251" t="s">
        <v>139</v>
      </c>
    </row>
    <row r="1252" spans="1:1" x14ac:dyDescent="0.25">
      <c r="A1252" t="s">
        <v>140</v>
      </c>
    </row>
    <row r="1253" spans="1:1" x14ac:dyDescent="0.25">
      <c r="A1253" t="s">
        <v>141</v>
      </c>
    </row>
    <row r="1254" spans="1:1" x14ac:dyDescent="0.25">
      <c r="A1254" t="s">
        <v>142</v>
      </c>
    </row>
    <row r="1255" spans="1:1" x14ac:dyDescent="0.25">
      <c r="A1255" t="s">
        <v>143</v>
      </c>
    </row>
    <row r="1256" spans="1:1" x14ac:dyDescent="0.25">
      <c r="A1256" t="s">
        <v>144</v>
      </c>
    </row>
    <row r="1257" spans="1:1" x14ac:dyDescent="0.25">
      <c r="A1257" t="s">
        <v>145</v>
      </c>
    </row>
    <row r="1258" spans="1:1" x14ac:dyDescent="0.25">
      <c r="A1258" t="s">
        <v>146</v>
      </c>
    </row>
    <row r="1259" spans="1:1" x14ac:dyDescent="0.25">
      <c r="A1259" t="s">
        <v>147</v>
      </c>
    </row>
    <row r="1260" spans="1:1" x14ac:dyDescent="0.25">
      <c r="A1260" t="s">
        <v>148</v>
      </c>
    </row>
    <row r="1261" spans="1:1" x14ac:dyDescent="0.25">
      <c r="A1261" t="s">
        <v>149</v>
      </c>
    </row>
    <row r="1262" spans="1:1" x14ac:dyDescent="0.25">
      <c r="A1262" t="s">
        <v>150</v>
      </c>
    </row>
    <row r="1263" spans="1:1" x14ac:dyDescent="0.25">
      <c r="A1263" t="s">
        <v>151</v>
      </c>
    </row>
    <row r="1264" spans="1:1" x14ac:dyDescent="0.25">
      <c r="A1264" t="s">
        <v>152</v>
      </c>
    </row>
    <row r="1265" spans="1:1" x14ac:dyDescent="0.25">
      <c r="A1265" t="s">
        <v>153</v>
      </c>
    </row>
    <row r="1266" spans="1:1" x14ac:dyDescent="0.25">
      <c r="A1266" t="s">
        <v>154</v>
      </c>
    </row>
    <row r="1267" spans="1:1" x14ac:dyDescent="0.25">
      <c r="A1267" t="s">
        <v>155</v>
      </c>
    </row>
    <row r="1268" spans="1:1" x14ac:dyDescent="0.25">
      <c r="A1268" t="s">
        <v>156</v>
      </c>
    </row>
    <row r="1269" spans="1:1" x14ac:dyDescent="0.25">
      <c r="A1269" t="s">
        <v>157</v>
      </c>
    </row>
    <row r="1270" spans="1:1" x14ac:dyDescent="0.25">
      <c r="A1270" t="s">
        <v>158</v>
      </c>
    </row>
    <row r="1271" spans="1:1" x14ac:dyDescent="0.25">
      <c r="A1271" t="s">
        <v>159</v>
      </c>
    </row>
    <row r="1272" spans="1:1" x14ac:dyDescent="0.25">
      <c r="A1272" t="s">
        <v>160</v>
      </c>
    </row>
    <row r="1273" spans="1:1" x14ac:dyDescent="0.25">
      <c r="A1273" t="s">
        <v>161</v>
      </c>
    </row>
    <row r="1274" spans="1:1" x14ac:dyDescent="0.25">
      <c r="A1274" t="s">
        <v>162</v>
      </c>
    </row>
    <row r="1275" spans="1:1" x14ac:dyDescent="0.25">
      <c r="A1275" t="s">
        <v>163</v>
      </c>
    </row>
    <row r="1276" spans="1:1" x14ac:dyDescent="0.25">
      <c r="A1276" t="s">
        <v>164</v>
      </c>
    </row>
    <row r="1277" spans="1:1" x14ac:dyDescent="0.25">
      <c r="A1277" t="s">
        <v>165</v>
      </c>
    </row>
    <row r="1278" spans="1:1" x14ac:dyDescent="0.25">
      <c r="A1278" t="s">
        <v>166</v>
      </c>
    </row>
    <row r="1279" spans="1:1" x14ac:dyDescent="0.25">
      <c r="A1279" t="s">
        <v>167</v>
      </c>
    </row>
    <row r="1280" spans="1:1" x14ac:dyDescent="0.25">
      <c r="A1280" t="s">
        <v>168</v>
      </c>
    </row>
    <row r="1281" spans="1:1" x14ac:dyDescent="0.25">
      <c r="A1281" t="s">
        <v>169</v>
      </c>
    </row>
    <row r="1282" spans="1:1" x14ac:dyDescent="0.25">
      <c r="A1282" t="s">
        <v>170</v>
      </c>
    </row>
    <row r="1283" spans="1:1" x14ac:dyDescent="0.25">
      <c r="A1283" t="s">
        <v>171</v>
      </c>
    </row>
    <row r="1284" spans="1:1" x14ac:dyDescent="0.25">
      <c r="A1284" t="s">
        <v>172</v>
      </c>
    </row>
    <row r="1285" spans="1:1" x14ac:dyDescent="0.25">
      <c r="A1285" t="s">
        <v>173</v>
      </c>
    </row>
    <row r="1286" spans="1:1" x14ac:dyDescent="0.25">
      <c r="A1286" t="s">
        <v>174</v>
      </c>
    </row>
    <row r="1287" spans="1:1" x14ac:dyDescent="0.25">
      <c r="A1287" t="s">
        <v>175</v>
      </c>
    </row>
    <row r="1288" spans="1:1" x14ac:dyDescent="0.25">
      <c r="A1288" t="s">
        <v>176</v>
      </c>
    </row>
    <row r="1289" spans="1:1" x14ac:dyDescent="0.25">
      <c r="A1289" t="s">
        <v>177</v>
      </c>
    </row>
    <row r="1290" spans="1:1" x14ac:dyDescent="0.25">
      <c r="A1290" t="s">
        <v>178</v>
      </c>
    </row>
    <row r="1291" spans="1:1" x14ac:dyDescent="0.25">
      <c r="A1291" t="s">
        <v>179</v>
      </c>
    </row>
    <row r="1292" spans="1:1" x14ac:dyDescent="0.25">
      <c r="A1292" t="s">
        <v>180</v>
      </c>
    </row>
    <row r="1293" spans="1:1" x14ac:dyDescent="0.25">
      <c r="A1293" t="s">
        <v>181</v>
      </c>
    </row>
    <row r="1294" spans="1:1" x14ac:dyDescent="0.25">
      <c r="A1294" t="s">
        <v>182</v>
      </c>
    </row>
    <row r="1295" spans="1:1" x14ac:dyDescent="0.25">
      <c r="A1295" t="s">
        <v>183</v>
      </c>
    </row>
    <row r="1296" spans="1:1" x14ac:dyDescent="0.25">
      <c r="A1296" t="s">
        <v>184</v>
      </c>
    </row>
    <row r="1297" spans="1:1" x14ac:dyDescent="0.25">
      <c r="A1297" t="s">
        <v>185</v>
      </c>
    </row>
    <row r="1298" spans="1:1" x14ac:dyDescent="0.25">
      <c r="A1298" t="s">
        <v>186</v>
      </c>
    </row>
    <row r="1299" spans="1:1" x14ac:dyDescent="0.25">
      <c r="A1299" t="s">
        <v>187</v>
      </c>
    </row>
    <row r="1300" spans="1:1" x14ac:dyDescent="0.25">
      <c r="A1300" t="s">
        <v>188</v>
      </c>
    </row>
    <row r="1301" spans="1:1" x14ac:dyDescent="0.25">
      <c r="A1301" t="s">
        <v>189</v>
      </c>
    </row>
    <row r="1302" spans="1:1" x14ac:dyDescent="0.25">
      <c r="A1302" t="s">
        <v>190</v>
      </c>
    </row>
    <row r="1303" spans="1:1" x14ac:dyDescent="0.25">
      <c r="A1303" t="s">
        <v>191</v>
      </c>
    </row>
    <row r="1304" spans="1:1" x14ac:dyDescent="0.25">
      <c r="A1304" t="s">
        <v>192</v>
      </c>
    </row>
    <row r="1305" spans="1:1" x14ac:dyDescent="0.25">
      <c r="A1305" t="s">
        <v>193</v>
      </c>
    </row>
    <row r="1306" spans="1:1" x14ac:dyDescent="0.25">
      <c r="A1306" t="s">
        <v>194</v>
      </c>
    </row>
    <row r="1307" spans="1:1" x14ac:dyDescent="0.25">
      <c r="A1307" t="s">
        <v>195</v>
      </c>
    </row>
    <row r="1308" spans="1:1" x14ac:dyDescent="0.25">
      <c r="A1308" t="s">
        <v>196</v>
      </c>
    </row>
    <row r="1309" spans="1:1" x14ac:dyDescent="0.25">
      <c r="A1309" t="s">
        <v>197</v>
      </c>
    </row>
    <row r="1310" spans="1:1" x14ac:dyDescent="0.25">
      <c r="A1310" t="s">
        <v>198</v>
      </c>
    </row>
    <row r="1311" spans="1:1" x14ac:dyDescent="0.25">
      <c r="A1311" t="s">
        <v>199</v>
      </c>
    </row>
    <row r="1312" spans="1:1" x14ac:dyDescent="0.25">
      <c r="A1312" t="s">
        <v>200</v>
      </c>
    </row>
    <row r="1313" spans="1:1" x14ac:dyDescent="0.25">
      <c r="A1313" t="s">
        <v>201</v>
      </c>
    </row>
    <row r="1314" spans="1:1" x14ac:dyDescent="0.25">
      <c r="A1314" t="s">
        <v>202</v>
      </c>
    </row>
    <row r="1315" spans="1:1" x14ac:dyDescent="0.25">
      <c r="A1315" t="s">
        <v>203</v>
      </c>
    </row>
    <row r="1316" spans="1:1" x14ac:dyDescent="0.25">
      <c r="A1316" t="s">
        <v>204</v>
      </c>
    </row>
    <row r="1317" spans="1:1" x14ac:dyDescent="0.25">
      <c r="A1317" t="s">
        <v>205</v>
      </c>
    </row>
    <row r="1318" spans="1:1" x14ac:dyDescent="0.25">
      <c r="A1318" t="s">
        <v>206</v>
      </c>
    </row>
    <row r="1319" spans="1:1" x14ac:dyDescent="0.25">
      <c r="A1319" t="s">
        <v>207</v>
      </c>
    </row>
    <row r="1320" spans="1:1" x14ac:dyDescent="0.25">
      <c r="A1320" t="s">
        <v>208</v>
      </c>
    </row>
    <row r="1321" spans="1:1" x14ac:dyDescent="0.25">
      <c r="A1321" t="s">
        <v>209</v>
      </c>
    </row>
    <row r="1322" spans="1:1" x14ac:dyDescent="0.25">
      <c r="A1322" t="s">
        <v>210</v>
      </c>
    </row>
    <row r="1323" spans="1:1" x14ac:dyDescent="0.25">
      <c r="A1323" t="s">
        <v>211</v>
      </c>
    </row>
    <row r="1324" spans="1:1" x14ac:dyDescent="0.25">
      <c r="A1324" t="s">
        <v>212</v>
      </c>
    </row>
    <row r="1325" spans="1:1" x14ac:dyDescent="0.25">
      <c r="A1325" t="s">
        <v>213</v>
      </c>
    </row>
    <row r="1326" spans="1:1" x14ac:dyDescent="0.25">
      <c r="A1326" t="s">
        <v>214</v>
      </c>
    </row>
    <row r="1327" spans="1:1" x14ac:dyDescent="0.25">
      <c r="A1327" t="s">
        <v>215</v>
      </c>
    </row>
    <row r="1328" spans="1:1" x14ac:dyDescent="0.25">
      <c r="A1328" t="s">
        <v>216</v>
      </c>
    </row>
    <row r="1329" spans="1:1" x14ac:dyDescent="0.25">
      <c r="A1329" t="s">
        <v>217</v>
      </c>
    </row>
    <row r="1330" spans="1:1" x14ac:dyDescent="0.25">
      <c r="A1330" t="s">
        <v>218</v>
      </c>
    </row>
    <row r="1331" spans="1:1" x14ac:dyDescent="0.25">
      <c r="A1331" t="s">
        <v>219</v>
      </c>
    </row>
    <row r="1332" spans="1:1" x14ac:dyDescent="0.25">
      <c r="A1332" t="s">
        <v>220</v>
      </c>
    </row>
    <row r="1333" spans="1:1" x14ac:dyDescent="0.25">
      <c r="A1333" t="s">
        <v>221</v>
      </c>
    </row>
    <row r="1334" spans="1:1" x14ac:dyDescent="0.25">
      <c r="A1334" t="s">
        <v>222</v>
      </c>
    </row>
    <row r="1335" spans="1:1" x14ac:dyDescent="0.25">
      <c r="A1335" t="s">
        <v>223</v>
      </c>
    </row>
    <row r="1336" spans="1:1" x14ac:dyDescent="0.25">
      <c r="A1336" t="s">
        <v>224</v>
      </c>
    </row>
    <row r="1337" spans="1:1" x14ac:dyDescent="0.25">
      <c r="A1337" t="s">
        <v>225</v>
      </c>
    </row>
    <row r="1338" spans="1:1" x14ac:dyDescent="0.25">
      <c r="A1338" t="s">
        <v>226</v>
      </c>
    </row>
    <row r="1339" spans="1:1" x14ac:dyDescent="0.25">
      <c r="A1339" t="s">
        <v>227</v>
      </c>
    </row>
    <row r="1340" spans="1:1" x14ac:dyDescent="0.25">
      <c r="A1340" t="s">
        <v>228</v>
      </c>
    </row>
    <row r="1341" spans="1:1" x14ac:dyDescent="0.25">
      <c r="A1341" t="s">
        <v>229</v>
      </c>
    </row>
    <row r="1342" spans="1:1" x14ac:dyDescent="0.25">
      <c r="A1342" t="s">
        <v>230</v>
      </c>
    </row>
    <row r="1343" spans="1:1" x14ac:dyDescent="0.25">
      <c r="A1343" t="s">
        <v>231</v>
      </c>
    </row>
    <row r="1344" spans="1:1" x14ac:dyDescent="0.25">
      <c r="A1344" t="s">
        <v>232</v>
      </c>
    </row>
    <row r="1345" spans="1:1" x14ac:dyDescent="0.25">
      <c r="A1345" t="s">
        <v>233</v>
      </c>
    </row>
    <row r="1346" spans="1:1" x14ac:dyDescent="0.25">
      <c r="A1346" t="s">
        <v>234</v>
      </c>
    </row>
    <row r="1347" spans="1:1" x14ac:dyDescent="0.25">
      <c r="A1347" t="s">
        <v>235</v>
      </c>
    </row>
    <row r="1348" spans="1:1" x14ac:dyDescent="0.25">
      <c r="A1348" t="s">
        <v>236</v>
      </c>
    </row>
    <row r="1349" spans="1:1" x14ac:dyDescent="0.25">
      <c r="A1349" t="s">
        <v>237</v>
      </c>
    </row>
    <row r="1350" spans="1:1" x14ac:dyDescent="0.25">
      <c r="A1350" t="s">
        <v>238</v>
      </c>
    </row>
    <row r="1351" spans="1:1" x14ac:dyDescent="0.25">
      <c r="A1351" t="s">
        <v>239</v>
      </c>
    </row>
    <row r="1352" spans="1:1" x14ac:dyDescent="0.25">
      <c r="A1352" t="s">
        <v>240</v>
      </c>
    </row>
    <row r="1353" spans="1:1" x14ac:dyDescent="0.25">
      <c r="A1353" t="s">
        <v>241</v>
      </c>
    </row>
    <row r="1354" spans="1:1" x14ac:dyDescent="0.25">
      <c r="A1354" t="s">
        <v>242</v>
      </c>
    </row>
    <row r="1355" spans="1:1" x14ac:dyDescent="0.25">
      <c r="A1355" t="s">
        <v>243</v>
      </c>
    </row>
    <row r="1356" spans="1:1" x14ac:dyDescent="0.25">
      <c r="A1356" t="s">
        <v>244</v>
      </c>
    </row>
    <row r="1357" spans="1:1" x14ac:dyDescent="0.25">
      <c r="A1357" t="s">
        <v>245</v>
      </c>
    </row>
    <row r="1358" spans="1:1" x14ac:dyDescent="0.25">
      <c r="A1358" t="s">
        <v>246</v>
      </c>
    </row>
    <row r="1359" spans="1:1" x14ac:dyDescent="0.25">
      <c r="A1359" t="s">
        <v>247</v>
      </c>
    </row>
    <row r="1360" spans="1:1" x14ac:dyDescent="0.25">
      <c r="A1360" t="s">
        <v>248</v>
      </c>
    </row>
    <row r="1361" spans="1:1" x14ac:dyDescent="0.25">
      <c r="A1361" t="s">
        <v>249</v>
      </c>
    </row>
    <row r="1362" spans="1:1" x14ac:dyDescent="0.25">
      <c r="A1362" t="s">
        <v>250</v>
      </c>
    </row>
    <row r="1363" spans="1:1" x14ac:dyDescent="0.25">
      <c r="A1363" t="s">
        <v>251</v>
      </c>
    </row>
    <row r="1364" spans="1:1" x14ac:dyDescent="0.25">
      <c r="A1364" t="s">
        <v>252</v>
      </c>
    </row>
    <row r="1365" spans="1:1" x14ac:dyDescent="0.25">
      <c r="A1365" t="s">
        <v>32</v>
      </c>
    </row>
    <row r="1366" spans="1:1" x14ac:dyDescent="0.25">
      <c r="A1366" t="s">
        <v>253</v>
      </c>
    </row>
    <row r="1367" spans="1:1" x14ac:dyDescent="0.25">
      <c r="A1367" t="s">
        <v>254</v>
      </c>
    </row>
    <row r="1368" spans="1:1" x14ac:dyDescent="0.25">
      <c r="A1368" t="s">
        <v>255</v>
      </c>
    </row>
    <row r="1369" spans="1:1" x14ac:dyDescent="0.25">
      <c r="A1369" t="s">
        <v>256</v>
      </c>
    </row>
    <row r="1370" spans="1:1" x14ac:dyDescent="0.25">
      <c r="A1370" t="s">
        <v>257</v>
      </c>
    </row>
    <row r="1371" spans="1:1" x14ac:dyDescent="0.25">
      <c r="A1371" t="s">
        <v>258</v>
      </c>
    </row>
    <row r="1372" spans="1:1" x14ac:dyDescent="0.25">
      <c r="A1372" t="s">
        <v>259</v>
      </c>
    </row>
    <row r="1373" spans="1:1" x14ac:dyDescent="0.25">
      <c r="A1373" t="s">
        <v>260</v>
      </c>
    </row>
    <row r="1374" spans="1:1" x14ac:dyDescent="0.25">
      <c r="A1374" t="s">
        <v>261</v>
      </c>
    </row>
    <row r="1375" spans="1:1" x14ac:dyDescent="0.25">
      <c r="A1375" t="s">
        <v>262</v>
      </c>
    </row>
    <row r="1376" spans="1:1" x14ac:dyDescent="0.25">
      <c r="A1376" t="s">
        <v>263</v>
      </c>
    </row>
    <row r="1377" spans="1:1" x14ac:dyDescent="0.25">
      <c r="A1377" t="s">
        <v>264</v>
      </c>
    </row>
    <row r="1378" spans="1:1" x14ac:dyDescent="0.25">
      <c r="A1378" t="s">
        <v>265</v>
      </c>
    </row>
    <row r="1379" spans="1:1" x14ac:dyDescent="0.25">
      <c r="A1379" t="s">
        <v>266</v>
      </c>
    </row>
    <row r="1380" spans="1:1" x14ac:dyDescent="0.25">
      <c r="A1380" t="s">
        <v>267</v>
      </c>
    </row>
    <row r="1381" spans="1:1" x14ac:dyDescent="0.25">
      <c r="A1381" t="s">
        <v>268</v>
      </c>
    </row>
    <row r="1382" spans="1:1" x14ac:dyDescent="0.25">
      <c r="A1382" t="s">
        <v>269</v>
      </c>
    </row>
    <row r="1383" spans="1:1" x14ac:dyDescent="0.25">
      <c r="A1383" t="s">
        <v>270</v>
      </c>
    </row>
    <row r="1384" spans="1:1" x14ac:dyDescent="0.25">
      <c r="A1384" t="s">
        <v>271</v>
      </c>
    </row>
    <row r="1385" spans="1:1" x14ac:dyDescent="0.25">
      <c r="A1385" t="s">
        <v>272</v>
      </c>
    </row>
    <row r="1386" spans="1:1" x14ac:dyDescent="0.25">
      <c r="A1386" t="s">
        <v>273</v>
      </c>
    </row>
    <row r="1387" spans="1:1" x14ac:dyDescent="0.25">
      <c r="A1387" t="s">
        <v>274</v>
      </c>
    </row>
    <row r="1388" spans="1:1" x14ac:dyDescent="0.25">
      <c r="A1388" t="s">
        <v>275</v>
      </c>
    </row>
    <row r="1389" spans="1:1" x14ac:dyDescent="0.25">
      <c r="A1389" t="s">
        <v>276</v>
      </c>
    </row>
    <row r="1390" spans="1:1" x14ac:dyDescent="0.25">
      <c r="A1390" t="s">
        <v>277</v>
      </c>
    </row>
    <row r="1391" spans="1:1" x14ac:dyDescent="0.25">
      <c r="A1391" t="s">
        <v>278</v>
      </c>
    </row>
    <row r="1392" spans="1:1" x14ac:dyDescent="0.25">
      <c r="A1392" t="s">
        <v>279</v>
      </c>
    </row>
    <row r="1393" spans="1:1" x14ac:dyDescent="0.25">
      <c r="A1393" t="s">
        <v>280</v>
      </c>
    </row>
    <row r="1394" spans="1:1" x14ac:dyDescent="0.25">
      <c r="A1394" t="s">
        <v>281</v>
      </c>
    </row>
    <row r="1395" spans="1:1" x14ac:dyDescent="0.25">
      <c r="A1395" t="s">
        <v>282</v>
      </c>
    </row>
    <row r="1396" spans="1:1" x14ac:dyDescent="0.25">
      <c r="A1396" t="s">
        <v>283</v>
      </c>
    </row>
    <row r="1397" spans="1:1" x14ac:dyDescent="0.25">
      <c r="A1397" t="s">
        <v>284</v>
      </c>
    </row>
    <row r="1398" spans="1:1" x14ac:dyDescent="0.25">
      <c r="A1398" t="s">
        <v>285</v>
      </c>
    </row>
    <row r="1399" spans="1:1" x14ac:dyDescent="0.25">
      <c r="A1399" t="s">
        <v>286</v>
      </c>
    </row>
    <row r="1400" spans="1:1" x14ac:dyDescent="0.25">
      <c r="A1400" t="s">
        <v>287</v>
      </c>
    </row>
    <row r="1401" spans="1:1" x14ac:dyDescent="0.25">
      <c r="A1401" t="s">
        <v>288</v>
      </c>
    </row>
    <row r="1402" spans="1:1" x14ac:dyDescent="0.25">
      <c r="A1402" t="s">
        <v>289</v>
      </c>
    </row>
    <row r="1403" spans="1:1" x14ac:dyDescent="0.25">
      <c r="A1403" t="s">
        <v>290</v>
      </c>
    </row>
    <row r="1404" spans="1:1" x14ac:dyDescent="0.25">
      <c r="A1404" t="s">
        <v>291</v>
      </c>
    </row>
    <row r="1405" spans="1:1" x14ac:dyDescent="0.25">
      <c r="A1405" t="s">
        <v>292</v>
      </c>
    </row>
    <row r="1406" spans="1:1" x14ac:dyDescent="0.25">
      <c r="A1406" t="s">
        <v>293</v>
      </c>
    </row>
    <row r="1407" spans="1:1" x14ac:dyDescent="0.25">
      <c r="A1407" t="s">
        <v>294</v>
      </c>
    </row>
    <row r="1408" spans="1:1" x14ac:dyDescent="0.25">
      <c r="A1408" t="s">
        <v>295</v>
      </c>
    </row>
    <row r="1409" spans="1:1" x14ac:dyDescent="0.25">
      <c r="A1409" t="s">
        <v>296</v>
      </c>
    </row>
    <row r="1410" spans="1:1" x14ac:dyDescent="0.25">
      <c r="A1410" t="s">
        <v>297</v>
      </c>
    </row>
    <row r="1411" spans="1:1" x14ac:dyDescent="0.25">
      <c r="A1411" t="s">
        <v>298</v>
      </c>
    </row>
    <row r="1412" spans="1:1" x14ac:dyDescent="0.25">
      <c r="A1412" t="s">
        <v>299</v>
      </c>
    </row>
    <row r="1413" spans="1:1" x14ac:dyDescent="0.25">
      <c r="A1413" t="s">
        <v>300</v>
      </c>
    </row>
    <row r="1414" spans="1:1" x14ac:dyDescent="0.25">
      <c r="A1414" t="s">
        <v>301</v>
      </c>
    </row>
    <row r="1415" spans="1:1" x14ac:dyDescent="0.25">
      <c r="A1415" t="s">
        <v>302</v>
      </c>
    </row>
    <row r="1416" spans="1:1" x14ac:dyDescent="0.25">
      <c r="A1416" t="s">
        <v>303</v>
      </c>
    </row>
    <row r="1417" spans="1:1" x14ac:dyDescent="0.25">
      <c r="A1417" t="s">
        <v>304</v>
      </c>
    </row>
    <row r="1418" spans="1:1" x14ac:dyDescent="0.25">
      <c r="A1418" t="s">
        <v>305</v>
      </c>
    </row>
    <row r="1419" spans="1:1" x14ac:dyDescent="0.25">
      <c r="A1419" t="s">
        <v>306</v>
      </c>
    </row>
    <row r="1420" spans="1:1" x14ac:dyDescent="0.25">
      <c r="A1420" t="s">
        <v>307</v>
      </c>
    </row>
    <row r="1421" spans="1:1" x14ac:dyDescent="0.25">
      <c r="A1421" t="s">
        <v>308</v>
      </c>
    </row>
    <row r="1422" spans="1:1" x14ac:dyDescent="0.25">
      <c r="A1422" t="s">
        <v>309</v>
      </c>
    </row>
    <row r="1423" spans="1:1" x14ac:dyDescent="0.25">
      <c r="A1423" t="s">
        <v>310</v>
      </c>
    </row>
    <row r="1424" spans="1:1" x14ac:dyDescent="0.25">
      <c r="A1424" t="s">
        <v>311</v>
      </c>
    </row>
    <row r="1425" spans="1:1" x14ac:dyDescent="0.25">
      <c r="A1425" t="s">
        <v>312</v>
      </c>
    </row>
    <row r="1426" spans="1:1" x14ac:dyDescent="0.25">
      <c r="A1426" t="s">
        <v>313</v>
      </c>
    </row>
    <row r="1427" spans="1:1" x14ac:dyDescent="0.25">
      <c r="A1427" t="s">
        <v>314</v>
      </c>
    </row>
    <row r="1428" spans="1:1" x14ac:dyDescent="0.25">
      <c r="A1428" t="s">
        <v>315</v>
      </c>
    </row>
    <row r="1429" spans="1:1" x14ac:dyDescent="0.25">
      <c r="A1429" t="s">
        <v>316</v>
      </c>
    </row>
    <row r="1430" spans="1:1" x14ac:dyDescent="0.25">
      <c r="A1430" t="s">
        <v>317</v>
      </c>
    </row>
    <row r="1431" spans="1:1" x14ac:dyDescent="0.25">
      <c r="A1431" t="s">
        <v>318</v>
      </c>
    </row>
    <row r="1432" spans="1:1" x14ac:dyDescent="0.25">
      <c r="A1432" t="s">
        <v>319</v>
      </c>
    </row>
    <row r="1433" spans="1:1" x14ac:dyDescent="0.25">
      <c r="A1433" t="s">
        <v>320</v>
      </c>
    </row>
    <row r="1434" spans="1:1" x14ac:dyDescent="0.25">
      <c r="A1434" t="s">
        <v>321</v>
      </c>
    </row>
    <row r="1435" spans="1:1" x14ac:dyDescent="0.25">
      <c r="A1435" t="s">
        <v>322</v>
      </c>
    </row>
    <row r="1436" spans="1:1" x14ac:dyDescent="0.25">
      <c r="A1436" t="s">
        <v>323</v>
      </c>
    </row>
    <row r="1437" spans="1:1" x14ac:dyDescent="0.25">
      <c r="A1437" t="s">
        <v>324</v>
      </c>
    </row>
    <row r="1438" spans="1:1" x14ac:dyDescent="0.25">
      <c r="A1438" t="s">
        <v>325</v>
      </c>
    </row>
    <row r="1439" spans="1:1" x14ac:dyDescent="0.25">
      <c r="A1439" t="s">
        <v>326</v>
      </c>
    </row>
    <row r="1440" spans="1:1" x14ac:dyDescent="0.25">
      <c r="A1440" t="s">
        <v>327</v>
      </c>
    </row>
    <row r="1441" spans="1:1" x14ac:dyDescent="0.25">
      <c r="A1441" t="s">
        <v>328</v>
      </c>
    </row>
    <row r="1442" spans="1:1" x14ac:dyDescent="0.25">
      <c r="A1442" t="s">
        <v>329</v>
      </c>
    </row>
    <row r="1443" spans="1:1" x14ac:dyDescent="0.25">
      <c r="A1443" t="s">
        <v>330</v>
      </c>
    </row>
    <row r="1444" spans="1:1" x14ac:dyDescent="0.25">
      <c r="A1444" t="s">
        <v>331</v>
      </c>
    </row>
    <row r="1445" spans="1:1" x14ac:dyDescent="0.25">
      <c r="A1445" t="s">
        <v>332</v>
      </c>
    </row>
    <row r="1446" spans="1:1" x14ac:dyDescent="0.25">
      <c r="A1446" t="s">
        <v>333</v>
      </c>
    </row>
    <row r="1447" spans="1:1" x14ac:dyDescent="0.25">
      <c r="A1447" t="s">
        <v>334</v>
      </c>
    </row>
    <row r="1448" spans="1:1" x14ac:dyDescent="0.25">
      <c r="A1448" t="s">
        <v>335</v>
      </c>
    </row>
    <row r="1449" spans="1:1" x14ac:dyDescent="0.25">
      <c r="A1449" t="s">
        <v>336</v>
      </c>
    </row>
    <row r="1450" spans="1:1" x14ac:dyDescent="0.25">
      <c r="A1450" t="s">
        <v>337</v>
      </c>
    </row>
    <row r="1451" spans="1:1" x14ac:dyDescent="0.25">
      <c r="A1451" t="s">
        <v>338</v>
      </c>
    </row>
    <row r="1452" spans="1:1" x14ac:dyDescent="0.25">
      <c r="A1452" t="s">
        <v>339</v>
      </c>
    </row>
    <row r="1453" spans="1:1" x14ac:dyDescent="0.25">
      <c r="A1453" t="s">
        <v>340</v>
      </c>
    </row>
    <row r="1454" spans="1:1" x14ac:dyDescent="0.25">
      <c r="A1454" t="s">
        <v>341</v>
      </c>
    </row>
    <row r="1455" spans="1:1" x14ac:dyDescent="0.25">
      <c r="A1455" t="s">
        <v>342</v>
      </c>
    </row>
    <row r="1456" spans="1:1" x14ac:dyDescent="0.25">
      <c r="A1456" t="s">
        <v>343</v>
      </c>
    </row>
    <row r="1457" spans="1:1" x14ac:dyDescent="0.25">
      <c r="A1457" t="s">
        <v>344</v>
      </c>
    </row>
    <row r="1458" spans="1:1" x14ac:dyDescent="0.25">
      <c r="A1458" t="s">
        <v>345</v>
      </c>
    </row>
    <row r="1459" spans="1:1" x14ac:dyDescent="0.25">
      <c r="A1459" t="s">
        <v>346</v>
      </c>
    </row>
    <row r="1460" spans="1:1" x14ac:dyDescent="0.25">
      <c r="A1460" t="s">
        <v>347</v>
      </c>
    </row>
    <row r="1461" spans="1:1" x14ac:dyDescent="0.25">
      <c r="A1461" t="s">
        <v>348</v>
      </c>
    </row>
    <row r="1462" spans="1:1" x14ac:dyDescent="0.25">
      <c r="A1462" t="s">
        <v>349</v>
      </c>
    </row>
    <row r="1463" spans="1:1" x14ac:dyDescent="0.25">
      <c r="A1463" t="s">
        <v>350</v>
      </c>
    </row>
    <row r="1464" spans="1:1" x14ac:dyDescent="0.25">
      <c r="A1464" t="s">
        <v>351</v>
      </c>
    </row>
    <row r="1465" spans="1:1" x14ac:dyDescent="0.25">
      <c r="A1465" t="s">
        <v>352</v>
      </c>
    </row>
    <row r="1466" spans="1:1" x14ac:dyDescent="0.25">
      <c r="A1466" t="s">
        <v>353</v>
      </c>
    </row>
    <row r="1467" spans="1:1" x14ac:dyDescent="0.25">
      <c r="A1467" t="s">
        <v>354</v>
      </c>
    </row>
    <row r="1468" spans="1:1" x14ac:dyDescent="0.25">
      <c r="A1468" t="s">
        <v>355</v>
      </c>
    </row>
    <row r="1469" spans="1:1" x14ac:dyDescent="0.25">
      <c r="A1469" t="s">
        <v>356</v>
      </c>
    </row>
    <row r="1470" spans="1:1" x14ac:dyDescent="0.25">
      <c r="A1470" t="s">
        <v>357</v>
      </c>
    </row>
    <row r="1471" spans="1:1" x14ac:dyDescent="0.25">
      <c r="A1471" t="s">
        <v>358</v>
      </c>
    </row>
    <row r="1472" spans="1:1" x14ac:dyDescent="0.25">
      <c r="A1472" t="s">
        <v>359</v>
      </c>
    </row>
    <row r="1473" spans="1:1" x14ac:dyDescent="0.25">
      <c r="A1473" t="s">
        <v>360</v>
      </c>
    </row>
    <row r="1474" spans="1:1" x14ac:dyDescent="0.25">
      <c r="A1474" t="s">
        <v>361</v>
      </c>
    </row>
    <row r="1475" spans="1:1" x14ac:dyDescent="0.25">
      <c r="A1475" t="s">
        <v>362</v>
      </c>
    </row>
    <row r="1476" spans="1:1" x14ac:dyDescent="0.25">
      <c r="A1476" t="s">
        <v>363</v>
      </c>
    </row>
    <row r="1477" spans="1:1" x14ac:dyDescent="0.25">
      <c r="A1477" t="s">
        <v>364</v>
      </c>
    </row>
    <row r="1478" spans="1:1" x14ac:dyDescent="0.25">
      <c r="A1478" t="s">
        <v>365</v>
      </c>
    </row>
    <row r="1479" spans="1:1" x14ac:dyDescent="0.25">
      <c r="A1479" t="s">
        <v>366</v>
      </c>
    </row>
    <row r="1480" spans="1:1" x14ac:dyDescent="0.25">
      <c r="A1480" t="s">
        <v>367</v>
      </c>
    </row>
    <row r="1481" spans="1:1" x14ac:dyDescent="0.25">
      <c r="A1481" t="s">
        <v>368</v>
      </c>
    </row>
    <row r="1482" spans="1:1" x14ac:dyDescent="0.25">
      <c r="A1482" t="s">
        <v>369</v>
      </c>
    </row>
    <row r="1483" spans="1:1" x14ac:dyDescent="0.25">
      <c r="A1483" t="s">
        <v>370</v>
      </c>
    </row>
    <row r="1484" spans="1:1" x14ac:dyDescent="0.25">
      <c r="A1484" t="s">
        <v>371</v>
      </c>
    </row>
    <row r="1485" spans="1:1" x14ac:dyDescent="0.25">
      <c r="A1485" t="s">
        <v>372</v>
      </c>
    </row>
    <row r="1486" spans="1:1" x14ac:dyDescent="0.25">
      <c r="A1486" t="s">
        <v>373</v>
      </c>
    </row>
    <row r="1487" spans="1:1" x14ac:dyDescent="0.25">
      <c r="A1487" t="s">
        <v>374</v>
      </c>
    </row>
    <row r="1488" spans="1:1" x14ac:dyDescent="0.25">
      <c r="A1488" t="s">
        <v>375</v>
      </c>
    </row>
    <row r="1489" spans="1:1" x14ac:dyDescent="0.25">
      <c r="A1489" t="s">
        <v>376</v>
      </c>
    </row>
    <row r="1490" spans="1:1" x14ac:dyDescent="0.25">
      <c r="A1490" t="s">
        <v>377</v>
      </c>
    </row>
    <row r="1491" spans="1:1" x14ac:dyDescent="0.25">
      <c r="A1491" t="s">
        <v>378</v>
      </c>
    </row>
    <row r="1492" spans="1:1" x14ac:dyDescent="0.25">
      <c r="A1492" t="s">
        <v>379</v>
      </c>
    </row>
    <row r="1493" spans="1:1" x14ac:dyDescent="0.25">
      <c r="A1493" t="s">
        <v>380</v>
      </c>
    </row>
    <row r="1494" spans="1:1" x14ac:dyDescent="0.25">
      <c r="A1494" t="s">
        <v>381</v>
      </c>
    </row>
    <row r="1495" spans="1:1" x14ac:dyDescent="0.25">
      <c r="A1495" t="s">
        <v>382</v>
      </c>
    </row>
    <row r="1496" spans="1:1" x14ac:dyDescent="0.25">
      <c r="A1496" t="s">
        <v>383</v>
      </c>
    </row>
    <row r="1497" spans="1:1" x14ac:dyDescent="0.25">
      <c r="A1497" t="s">
        <v>384</v>
      </c>
    </row>
    <row r="1498" spans="1:1" x14ac:dyDescent="0.25">
      <c r="A1498" t="s">
        <v>385</v>
      </c>
    </row>
    <row r="1499" spans="1:1" x14ac:dyDescent="0.25">
      <c r="A1499" t="s">
        <v>386</v>
      </c>
    </row>
    <row r="1500" spans="1:1" x14ac:dyDescent="0.25">
      <c r="A1500" t="s">
        <v>387</v>
      </c>
    </row>
    <row r="1501" spans="1:1" x14ac:dyDescent="0.25">
      <c r="A1501" t="s">
        <v>388</v>
      </c>
    </row>
    <row r="1502" spans="1:1" x14ac:dyDescent="0.25">
      <c r="A1502" t="s">
        <v>389</v>
      </c>
    </row>
    <row r="1503" spans="1:1" x14ac:dyDescent="0.25">
      <c r="A1503" t="s">
        <v>390</v>
      </c>
    </row>
    <row r="1504" spans="1:1" x14ac:dyDescent="0.25">
      <c r="A1504" t="s">
        <v>391</v>
      </c>
    </row>
    <row r="1505" spans="1:2" x14ac:dyDescent="0.25">
      <c r="A1505" t="s">
        <v>392</v>
      </c>
    </row>
    <row r="1506" spans="1:2" x14ac:dyDescent="0.25">
      <c r="A1506" t="s">
        <v>393</v>
      </c>
    </row>
    <row r="1507" spans="1:2" x14ac:dyDescent="0.25">
      <c r="A1507" t="s">
        <v>394</v>
      </c>
    </row>
    <row r="1508" spans="1:2" x14ac:dyDescent="0.25">
      <c r="A1508" t="s">
        <v>395</v>
      </c>
    </row>
    <row r="1509" spans="1:2" x14ac:dyDescent="0.25">
      <c r="A1509" t="s">
        <v>396</v>
      </c>
    </row>
    <row r="1510" spans="1:2" x14ac:dyDescent="0.25">
      <c r="A1510" t="s">
        <v>397</v>
      </c>
    </row>
    <row r="1511" spans="1:2" x14ac:dyDescent="0.25">
      <c r="A1511" t="s">
        <v>398</v>
      </c>
    </row>
    <row r="1512" spans="1:2" x14ac:dyDescent="0.25">
      <c r="A1512" t="s">
        <v>399</v>
      </c>
    </row>
    <row r="1513" spans="1:2" x14ac:dyDescent="0.25">
      <c r="A1513" t="s">
        <v>400</v>
      </c>
    </row>
    <row r="1514" spans="1:2" x14ac:dyDescent="0.25">
      <c r="A1514" t="s">
        <v>401</v>
      </c>
    </row>
    <row r="1515" spans="1:2" x14ac:dyDescent="0.25">
      <c r="A1515" t="s">
        <v>402</v>
      </c>
      <c r="B1515" s="15" t="s">
        <v>1076</v>
      </c>
    </row>
    <row r="1516" spans="1:2" x14ac:dyDescent="0.25">
      <c r="A1516" t="s">
        <v>403</v>
      </c>
    </row>
    <row r="1517" spans="1:2" x14ac:dyDescent="0.25">
      <c r="A1517" t="s">
        <v>404</v>
      </c>
    </row>
    <row r="1518" spans="1:2" x14ac:dyDescent="0.25">
      <c r="A1518" t="s">
        <v>405</v>
      </c>
    </row>
    <row r="1519" spans="1:2" x14ac:dyDescent="0.25">
      <c r="A1519" t="s">
        <v>406</v>
      </c>
    </row>
    <row r="1520" spans="1:2" x14ac:dyDescent="0.25">
      <c r="A1520" t="s">
        <v>407</v>
      </c>
    </row>
    <row r="1521" spans="1:1" x14ac:dyDescent="0.25">
      <c r="A1521" t="s">
        <v>408</v>
      </c>
    </row>
    <row r="1522" spans="1:1" x14ac:dyDescent="0.25">
      <c r="A1522" t="s">
        <v>409</v>
      </c>
    </row>
    <row r="1523" spans="1:1" x14ac:dyDescent="0.25">
      <c r="A1523" t="s">
        <v>410</v>
      </c>
    </row>
    <row r="1524" spans="1:1" x14ac:dyDescent="0.25">
      <c r="A1524" t="s">
        <v>411</v>
      </c>
    </row>
    <row r="1525" spans="1:1" x14ac:dyDescent="0.25">
      <c r="A1525" t="s">
        <v>415</v>
      </c>
    </row>
    <row r="1526" spans="1:1" x14ac:dyDescent="0.25">
      <c r="A1526" t="s">
        <v>37</v>
      </c>
    </row>
    <row r="1527" spans="1:1" x14ac:dyDescent="0.25">
      <c r="A1527" t="s">
        <v>38</v>
      </c>
    </row>
    <row r="1528" spans="1:1" x14ac:dyDescent="0.25">
      <c r="A1528" t="s">
        <v>39</v>
      </c>
    </row>
    <row r="1529" spans="1:1" x14ac:dyDescent="0.25">
      <c r="A1529" t="s">
        <v>31</v>
      </c>
    </row>
    <row r="1530" spans="1:1" x14ac:dyDescent="0.25">
      <c r="A1530" t="s">
        <v>40</v>
      </c>
    </row>
    <row r="1531" spans="1:1" x14ac:dyDescent="0.25">
      <c r="A1531" t="s">
        <v>23</v>
      </c>
    </row>
    <row r="1532" spans="1:1" x14ac:dyDescent="0.25">
      <c r="A1532" t="s">
        <v>41</v>
      </c>
    </row>
    <row r="1533" spans="1:1" x14ac:dyDescent="0.25">
      <c r="A1533" t="s">
        <v>42</v>
      </c>
    </row>
    <row r="1534" spans="1:1" x14ac:dyDescent="0.25">
      <c r="A1534" t="s">
        <v>43</v>
      </c>
    </row>
    <row r="1535" spans="1:1" x14ac:dyDescent="0.25">
      <c r="A1535" t="s">
        <v>44</v>
      </c>
    </row>
    <row r="1536" spans="1:1" x14ac:dyDescent="0.25">
      <c r="A1536" t="s">
        <v>45</v>
      </c>
    </row>
    <row r="1537" spans="1:1" x14ac:dyDescent="0.25">
      <c r="A1537" t="s">
        <v>46</v>
      </c>
    </row>
    <row r="1538" spans="1:1" x14ac:dyDescent="0.25">
      <c r="A1538" t="s">
        <v>47</v>
      </c>
    </row>
    <row r="1539" spans="1:1" x14ac:dyDescent="0.25">
      <c r="A1539" t="s">
        <v>48</v>
      </c>
    </row>
    <row r="1540" spans="1:1" x14ac:dyDescent="0.25">
      <c r="A1540" t="s">
        <v>49</v>
      </c>
    </row>
    <row r="1541" spans="1:1" x14ac:dyDescent="0.25">
      <c r="A1541" t="s">
        <v>50</v>
      </c>
    </row>
    <row r="1542" spans="1:1" x14ac:dyDescent="0.25">
      <c r="A1542" t="s">
        <v>51</v>
      </c>
    </row>
    <row r="1543" spans="1:1" x14ac:dyDescent="0.25">
      <c r="A1543" t="s">
        <v>52</v>
      </c>
    </row>
    <row r="1544" spans="1:1" x14ac:dyDescent="0.25">
      <c r="A1544" t="s">
        <v>53</v>
      </c>
    </row>
    <row r="1545" spans="1:1" x14ac:dyDescent="0.25">
      <c r="A1545" t="s">
        <v>54</v>
      </c>
    </row>
    <row r="1546" spans="1:1" x14ac:dyDescent="0.25">
      <c r="A1546" t="s">
        <v>55</v>
      </c>
    </row>
    <row r="1547" spans="1:1" x14ac:dyDescent="0.25">
      <c r="A1547" t="s">
        <v>56</v>
      </c>
    </row>
    <row r="1548" spans="1:1" x14ac:dyDescent="0.25">
      <c r="A1548" t="s">
        <v>25</v>
      </c>
    </row>
    <row r="1549" spans="1:1" x14ac:dyDescent="0.25">
      <c r="A1549" t="s">
        <v>57</v>
      </c>
    </row>
    <row r="1550" spans="1:1" x14ac:dyDescent="0.25">
      <c r="A1550" t="s">
        <v>27</v>
      </c>
    </row>
    <row r="1551" spans="1:1" x14ac:dyDescent="0.25">
      <c r="A1551" t="s">
        <v>58</v>
      </c>
    </row>
    <row r="1552" spans="1:1" x14ac:dyDescent="0.25">
      <c r="A1552" t="s">
        <v>59</v>
      </c>
    </row>
    <row r="1553" spans="1:1" x14ac:dyDescent="0.25">
      <c r="A1553" t="s">
        <v>60</v>
      </c>
    </row>
    <row r="1554" spans="1:1" x14ac:dyDescent="0.25">
      <c r="A1554" t="s">
        <v>61</v>
      </c>
    </row>
    <row r="1555" spans="1:1" x14ac:dyDescent="0.25">
      <c r="A1555" t="s">
        <v>62</v>
      </c>
    </row>
    <row r="1556" spans="1:1" x14ac:dyDescent="0.25">
      <c r="A1556" t="s">
        <v>63</v>
      </c>
    </row>
    <row r="1557" spans="1:1" x14ac:dyDescent="0.25">
      <c r="A1557" t="s">
        <v>64</v>
      </c>
    </row>
    <row r="1558" spans="1:1" x14ac:dyDescent="0.25">
      <c r="A1558" t="s">
        <v>65</v>
      </c>
    </row>
    <row r="1559" spans="1:1" x14ac:dyDescent="0.25">
      <c r="A1559" t="s">
        <v>66</v>
      </c>
    </row>
    <row r="1560" spans="1:1" x14ac:dyDescent="0.25">
      <c r="A1560" t="s">
        <v>67</v>
      </c>
    </row>
    <row r="1561" spans="1:1" x14ac:dyDescent="0.25">
      <c r="A1561" t="s">
        <v>68</v>
      </c>
    </row>
    <row r="1562" spans="1:1" x14ac:dyDescent="0.25">
      <c r="A1562" t="s">
        <v>69</v>
      </c>
    </row>
    <row r="1563" spans="1:1" x14ac:dyDescent="0.25">
      <c r="A1563" t="s">
        <v>70</v>
      </c>
    </row>
    <row r="1564" spans="1:1" x14ac:dyDescent="0.25">
      <c r="A1564" t="s">
        <v>71</v>
      </c>
    </row>
    <row r="1565" spans="1:1" x14ac:dyDescent="0.25">
      <c r="A1565" t="s">
        <v>72</v>
      </c>
    </row>
    <row r="1566" spans="1:1" x14ac:dyDescent="0.25">
      <c r="A1566" t="s">
        <v>73</v>
      </c>
    </row>
    <row r="1567" spans="1:1" x14ac:dyDescent="0.25">
      <c r="A1567" t="s">
        <v>74</v>
      </c>
    </row>
    <row r="1568" spans="1:1" x14ac:dyDescent="0.25">
      <c r="A1568" t="s">
        <v>75</v>
      </c>
    </row>
    <row r="1569" spans="1:1" x14ac:dyDescent="0.25">
      <c r="A1569" t="s">
        <v>76</v>
      </c>
    </row>
    <row r="1570" spans="1:1" x14ac:dyDescent="0.25">
      <c r="A1570" t="s">
        <v>77</v>
      </c>
    </row>
    <row r="1571" spans="1:1" x14ac:dyDescent="0.25">
      <c r="A1571" t="s">
        <v>78</v>
      </c>
    </row>
    <row r="1572" spans="1:1" x14ac:dyDescent="0.25">
      <c r="A1572" t="s">
        <v>79</v>
      </c>
    </row>
    <row r="1573" spans="1:1" x14ac:dyDescent="0.25">
      <c r="A1573" t="s">
        <v>80</v>
      </c>
    </row>
    <row r="1574" spans="1:1" x14ac:dyDescent="0.25">
      <c r="A1574" t="s">
        <v>81</v>
      </c>
    </row>
    <row r="1575" spans="1:1" x14ac:dyDescent="0.25">
      <c r="A1575" t="s">
        <v>82</v>
      </c>
    </row>
    <row r="1576" spans="1:1" x14ac:dyDescent="0.25">
      <c r="A1576" t="s">
        <v>83</v>
      </c>
    </row>
    <row r="1577" spans="1:1" x14ac:dyDescent="0.25">
      <c r="A1577" t="s">
        <v>84</v>
      </c>
    </row>
    <row r="1578" spans="1:1" x14ac:dyDescent="0.25">
      <c r="A1578" t="s">
        <v>85</v>
      </c>
    </row>
    <row r="1579" spans="1:1" x14ac:dyDescent="0.25">
      <c r="A1579" t="s">
        <v>86</v>
      </c>
    </row>
    <row r="1580" spans="1:1" x14ac:dyDescent="0.25">
      <c r="A1580" t="s">
        <v>87</v>
      </c>
    </row>
    <row r="1581" spans="1:1" x14ac:dyDescent="0.25">
      <c r="A1581" t="s">
        <v>88</v>
      </c>
    </row>
    <row r="1582" spans="1:1" x14ac:dyDescent="0.25">
      <c r="A1582" t="s">
        <v>89</v>
      </c>
    </row>
    <row r="1583" spans="1:1" x14ac:dyDescent="0.25">
      <c r="A1583" t="s">
        <v>90</v>
      </c>
    </row>
    <row r="1584" spans="1:1" x14ac:dyDescent="0.25">
      <c r="A1584" t="s">
        <v>91</v>
      </c>
    </row>
    <row r="1585" spans="1:1" x14ac:dyDescent="0.25">
      <c r="A1585" t="s">
        <v>92</v>
      </c>
    </row>
    <row r="1586" spans="1:1" x14ac:dyDescent="0.25">
      <c r="A1586" t="s">
        <v>93</v>
      </c>
    </row>
    <row r="1587" spans="1:1" x14ac:dyDescent="0.25">
      <c r="A1587" t="s">
        <v>94</v>
      </c>
    </row>
    <row r="1588" spans="1:1" x14ac:dyDescent="0.25">
      <c r="A1588" t="s">
        <v>95</v>
      </c>
    </row>
    <row r="1589" spans="1:1" x14ac:dyDescent="0.25">
      <c r="A1589" t="s">
        <v>96</v>
      </c>
    </row>
    <row r="1590" spans="1:1" x14ac:dyDescent="0.25">
      <c r="A1590" t="s">
        <v>97</v>
      </c>
    </row>
    <row r="1591" spans="1:1" x14ac:dyDescent="0.25">
      <c r="A1591" t="s">
        <v>98</v>
      </c>
    </row>
    <row r="1592" spans="1:1" x14ac:dyDescent="0.25">
      <c r="A1592" t="s">
        <v>99</v>
      </c>
    </row>
    <row r="1593" spans="1:1" x14ac:dyDescent="0.25">
      <c r="A1593" t="s">
        <v>100</v>
      </c>
    </row>
    <row r="1594" spans="1:1" x14ac:dyDescent="0.25">
      <c r="A1594" t="s">
        <v>101</v>
      </c>
    </row>
    <row r="1595" spans="1:1" x14ac:dyDescent="0.25">
      <c r="A1595" t="s">
        <v>102</v>
      </c>
    </row>
    <row r="1596" spans="1:1" x14ac:dyDescent="0.25">
      <c r="A1596" t="s">
        <v>103</v>
      </c>
    </row>
    <row r="1597" spans="1:1" x14ac:dyDescent="0.25">
      <c r="A1597" t="s">
        <v>104</v>
      </c>
    </row>
    <row r="1598" spans="1:1" x14ac:dyDescent="0.25">
      <c r="A1598" t="s">
        <v>105</v>
      </c>
    </row>
    <row r="1599" spans="1:1" x14ac:dyDescent="0.25">
      <c r="A1599" t="s">
        <v>106</v>
      </c>
    </row>
    <row r="1600" spans="1:1" x14ac:dyDescent="0.25">
      <c r="A1600" t="s">
        <v>107</v>
      </c>
    </row>
    <row r="1601" spans="1:1" x14ac:dyDescent="0.25">
      <c r="A1601" t="s">
        <v>108</v>
      </c>
    </row>
    <row r="1602" spans="1:1" x14ac:dyDescent="0.25">
      <c r="A1602" t="s">
        <v>109</v>
      </c>
    </row>
    <row r="1603" spans="1:1" x14ac:dyDescent="0.25">
      <c r="A1603" t="s">
        <v>110</v>
      </c>
    </row>
    <row r="1604" spans="1:1" x14ac:dyDescent="0.25">
      <c r="A1604" t="s">
        <v>111</v>
      </c>
    </row>
    <row r="1605" spans="1:1" x14ac:dyDescent="0.25">
      <c r="A1605" t="s">
        <v>112</v>
      </c>
    </row>
    <row r="1606" spans="1:1" x14ac:dyDescent="0.25">
      <c r="A1606" t="s">
        <v>113</v>
      </c>
    </row>
    <row r="1607" spans="1:1" x14ac:dyDescent="0.25">
      <c r="A1607" t="s">
        <v>114</v>
      </c>
    </row>
    <row r="1608" spans="1:1" x14ac:dyDescent="0.25">
      <c r="A1608" t="s">
        <v>115</v>
      </c>
    </row>
    <row r="1609" spans="1:1" x14ac:dyDescent="0.25">
      <c r="A1609" t="s">
        <v>116</v>
      </c>
    </row>
    <row r="1610" spans="1:1" x14ac:dyDescent="0.25">
      <c r="A1610" t="s">
        <v>117</v>
      </c>
    </row>
    <row r="1611" spans="1:1" x14ac:dyDescent="0.25">
      <c r="A1611" t="s">
        <v>118</v>
      </c>
    </row>
    <row r="1612" spans="1:1" x14ac:dyDescent="0.25">
      <c r="A1612" t="s">
        <v>119</v>
      </c>
    </row>
    <row r="1613" spans="1:1" x14ac:dyDescent="0.25">
      <c r="A1613" t="s">
        <v>120</v>
      </c>
    </row>
    <row r="1614" spans="1:1" x14ac:dyDescent="0.25">
      <c r="A1614" t="s">
        <v>121</v>
      </c>
    </row>
    <row r="1615" spans="1:1" x14ac:dyDescent="0.25">
      <c r="A1615" t="s">
        <v>122</v>
      </c>
    </row>
    <row r="1616" spans="1:1" x14ac:dyDescent="0.25">
      <c r="A1616" t="s">
        <v>123</v>
      </c>
    </row>
    <row r="1617" spans="1:1" x14ac:dyDescent="0.25">
      <c r="A1617" t="s">
        <v>124</v>
      </c>
    </row>
    <row r="1618" spans="1:1" x14ac:dyDescent="0.25">
      <c r="A1618" t="s">
        <v>125</v>
      </c>
    </row>
    <row r="1619" spans="1:1" x14ac:dyDescent="0.25">
      <c r="A1619" t="s">
        <v>126</v>
      </c>
    </row>
    <row r="1620" spans="1:1" x14ac:dyDescent="0.25">
      <c r="A1620" t="s">
        <v>127</v>
      </c>
    </row>
    <row r="1621" spans="1:1" x14ac:dyDescent="0.25">
      <c r="A1621" t="s">
        <v>128</v>
      </c>
    </row>
    <row r="1622" spans="1:1" x14ac:dyDescent="0.25">
      <c r="A1622" t="s">
        <v>129</v>
      </c>
    </row>
    <row r="1623" spans="1:1" x14ac:dyDescent="0.25">
      <c r="A1623" t="s">
        <v>130</v>
      </c>
    </row>
    <row r="1624" spans="1:1" x14ac:dyDescent="0.25">
      <c r="A1624" t="s">
        <v>131</v>
      </c>
    </row>
    <row r="1625" spans="1:1" x14ac:dyDescent="0.25">
      <c r="A1625" t="s">
        <v>132</v>
      </c>
    </row>
    <row r="1626" spans="1:1" x14ac:dyDescent="0.25">
      <c r="A1626" t="s">
        <v>133</v>
      </c>
    </row>
    <row r="1627" spans="1:1" x14ac:dyDescent="0.25">
      <c r="A1627" t="s">
        <v>134</v>
      </c>
    </row>
    <row r="1628" spans="1:1" x14ac:dyDescent="0.25">
      <c r="A1628" t="s">
        <v>135</v>
      </c>
    </row>
    <row r="1629" spans="1:1" x14ac:dyDescent="0.25">
      <c r="A1629" t="s">
        <v>136</v>
      </c>
    </row>
    <row r="1630" spans="1:1" x14ac:dyDescent="0.25">
      <c r="A1630" t="s">
        <v>137</v>
      </c>
    </row>
    <row r="1631" spans="1:1" x14ac:dyDescent="0.25">
      <c r="A1631" t="s">
        <v>138</v>
      </c>
    </row>
    <row r="1632" spans="1:1" x14ac:dyDescent="0.25">
      <c r="A1632" t="s">
        <v>139</v>
      </c>
    </row>
    <row r="1633" spans="1:1" x14ac:dyDescent="0.25">
      <c r="A1633" t="s">
        <v>140</v>
      </c>
    </row>
    <row r="1634" spans="1:1" x14ac:dyDescent="0.25">
      <c r="A1634" t="s">
        <v>141</v>
      </c>
    </row>
    <row r="1635" spans="1:1" x14ac:dyDescent="0.25">
      <c r="A1635" t="s">
        <v>142</v>
      </c>
    </row>
    <row r="1636" spans="1:1" x14ac:dyDescent="0.25">
      <c r="A1636" t="s">
        <v>143</v>
      </c>
    </row>
    <row r="1637" spans="1:1" x14ac:dyDescent="0.25">
      <c r="A1637" t="s">
        <v>144</v>
      </c>
    </row>
    <row r="1638" spans="1:1" x14ac:dyDescent="0.25">
      <c r="A1638" t="s">
        <v>145</v>
      </c>
    </row>
    <row r="1639" spans="1:1" x14ac:dyDescent="0.25">
      <c r="A1639" t="s">
        <v>146</v>
      </c>
    </row>
    <row r="1640" spans="1:1" x14ac:dyDescent="0.25">
      <c r="A1640" t="s">
        <v>147</v>
      </c>
    </row>
    <row r="1641" spans="1:1" x14ac:dyDescent="0.25">
      <c r="A1641" t="s">
        <v>148</v>
      </c>
    </row>
    <row r="1642" spans="1:1" x14ac:dyDescent="0.25">
      <c r="A1642" t="s">
        <v>149</v>
      </c>
    </row>
    <row r="1643" spans="1:1" x14ac:dyDescent="0.25">
      <c r="A1643" t="s">
        <v>150</v>
      </c>
    </row>
    <row r="1644" spans="1:1" x14ac:dyDescent="0.25">
      <c r="A1644" t="s">
        <v>151</v>
      </c>
    </row>
    <row r="1645" spans="1:1" x14ac:dyDescent="0.25">
      <c r="A1645" t="s">
        <v>152</v>
      </c>
    </row>
    <row r="1646" spans="1:1" x14ac:dyDescent="0.25">
      <c r="A1646" t="s">
        <v>153</v>
      </c>
    </row>
    <row r="1647" spans="1:1" x14ac:dyDescent="0.25">
      <c r="A1647" t="s">
        <v>154</v>
      </c>
    </row>
    <row r="1648" spans="1:1" x14ac:dyDescent="0.25">
      <c r="A1648" t="s">
        <v>155</v>
      </c>
    </row>
    <row r="1649" spans="1:1" x14ac:dyDescent="0.25">
      <c r="A1649" t="s">
        <v>156</v>
      </c>
    </row>
    <row r="1650" spans="1:1" x14ac:dyDescent="0.25">
      <c r="A1650" t="s">
        <v>157</v>
      </c>
    </row>
    <row r="1651" spans="1:1" x14ac:dyDescent="0.25">
      <c r="A1651" t="s">
        <v>158</v>
      </c>
    </row>
    <row r="1652" spans="1:1" x14ac:dyDescent="0.25">
      <c r="A1652" t="s">
        <v>159</v>
      </c>
    </row>
    <row r="1653" spans="1:1" x14ac:dyDescent="0.25">
      <c r="A1653" t="s">
        <v>160</v>
      </c>
    </row>
    <row r="1654" spans="1:1" x14ac:dyDescent="0.25">
      <c r="A1654" t="s">
        <v>161</v>
      </c>
    </row>
    <row r="1655" spans="1:1" x14ac:dyDescent="0.25">
      <c r="A1655" t="s">
        <v>162</v>
      </c>
    </row>
    <row r="1656" spans="1:1" x14ac:dyDescent="0.25">
      <c r="A1656" t="s">
        <v>163</v>
      </c>
    </row>
    <row r="1657" spans="1:1" x14ac:dyDescent="0.25">
      <c r="A1657" t="s">
        <v>164</v>
      </c>
    </row>
    <row r="1658" spans="1:1" x14ac:dyDescent="0.25">
      <c r="A1658" t="s">
        <v>165</v>
      </c>
    </row>
    <row r="1659" spans="1:1" x14ac:dyDescent="0.25">
      <c r="A1659" t="s">
        <v>166</v>
      </c>
    </row>
    <row r="1660" spans="1:1" x14ac:dyDescent="0.25">
      <c r="A1660" t="s">
        <v>167</v>
      </c>
    </row>
    <row r="1661" spans="1:1" x14ac:dyDescent="0.25">
      <c r="A1661" t="s">
        <v>168</v>
      </c>
    </row>
    <row r="1662" spans="1:1" x14ac:dyDescent="0.25">
      <c r="A1662" t="s">
        <v>169</v>
      </c>
    </row>
    <row r="1663" spans="1:1" x14ac:dyDescent="0.25">
      <c r="A1663" t="s">
        <v>170</v>
      </c>
    </row>
    <row r="1664" spans="1:1" x14ac:dyDescent="0.25">
      <c r="A1664" t="s">
        <v>171</v>
      </c>
    </row>
    <row r="1665" spans="1:1" x14ac:dyDescent="0.25">
      <c r="A1665" t="s">
        <v>172</v>
      </c>
    </row>
    <row r="1666" spans="1:1" x14ac:dyDescent="0.25">
      <c r="A1666" t="s">
        <v>173</v>
      </c>
    </row>
    <row r="1667" spans="1:1" x14ac:dyDescent="0.25">
      <c r="A1667" t="s">
        <v>174</v>
      </c>
    </row>
    <row r="1668" spans="1:1" x14ac:dyDescent="0.25">
      <c r="A1668" t="s">
        <v>175</v>
      </c>
    </row>
    <row r="1669" spans="1:1" x14ac:dyDescent="0.25">
      <c r="A1669" t="s">
        <v>176</v>
      </c>
    </row>
    <row r="1670" spans="1:1" x14ac:dyDescent="0.25">
      <c r="A1670" t="s">
        <v>177</v>
      </c>
    </row>
    <row r="1671" spans="1:1" x14ac:dyDescent="0.25">
      <c r="A1671" t="s">
        <v>178</v>
      </c>
    </row>
    <row r="1672" spans="1:1" x14ac:dyDescent="0.25">
      <c r="A1672" t="s">
        <v>179</v>
      </c>
    </row>
    <row r="1673" spans="1:1" x14ac:dyDescent="0.25">
      <c r="A1673" t="s">
        <v>180</v>
      </c>
    </row>
    <row r="1674" spans="1:1" x14ac:dyDescent="0.25">
      <c r="A1674" t="s">
        <v>181</v>
      </c>
    </row>
    <row r="1675" spans="1:1" x14ac:dyDescent="0.25">
      <c r="A1675" t="s">
        <v>182</v>
      </c>
    </row>
    <row r="1676" spans="1:1" x14ac:dyDescent="0.25">
      <c r="A1676" t="s">
        <v>183</v>
      </c>
    </row>
    <row r="1677" spans="1:1" x14ac:dyDescent="0.25">
      <c r="A1677" t="s">
        <v>184</v>
      </c>
    </row>
    <row r="1678" spans="1:1" x14ac:dyDescent="0.25">
      <c r="A1678" t="s">
        <v>185</v>
      </c>
    </row>
    <row r="1679" spans="1:1" x14ac:dyDescent="0.25">
      <c r="A1679" t="s">
        <v>186</v>
      </c>
    </row>
    <row r="1680" spans="1:1" x14ac:dyDescent="0.25">
      <c r="A1680" t="s">
        <v>187</v>
      </c>
    </row>
    <row r="1681" spans="1:1" x14ac:dyDescent="0.25">
      <c r="A1681" t="s">
        <v>188</v>
      </c>
    </row>
    <row r="1682" spans="1:1" x14ac:dyDescent="0.25">
      <c r="A1682" t="s">
        <v>189</v>
      </c>
    </row>
    <row r="1683" spans="1:1" x14ac:dyDescent="0.25">
      <c r="A1683" t="s">
        <v>190</v>
      </c>
    </row>
    <row r="1684" spans="1:1" x14ac:dyDescent="0.25">
      <c r="A1684" t="s">
        <v>191</v>
      </c>
    </row>
    <row r="1685" spans="1:1" x14ac:dyDescent="0.25">
      <c r="A1685" t="s">
        <v>192</v>
      </c>
    </row>
    <row r="1686" spans="1:1" x14ac:dyDescent="0.25">
      <c r="A1686" t="s">
        <v>193</v>
      </c>
    </row>
    <row r="1687" spans="1:1" x14ac:dyDescent="0.25">
      <c r="A1687" t="s">
        <v>194</v>
      </c>
    </row>
    <row r="1688" spans="1:1" x14ac:dyDescent="0.25">
      <c r="A1688" t="s">
        <v>195</v>
      </c>
    </row>
    <row r="1689" spans="1:1" x14ac:dyDescent="0.25">
      <c r="A1689" t="s">
        <v>196</v>
      </c>
    </row>
    <row r="1690" spans="1:1" x14ac:dyDescent="0.25">
      <c r="A1690" t="s">
        <v>197</v>
      </c>
    </row>
    <row r="1691" spans="1:1" x14ac:dyDescent="0.25">
      <c r="A1691" t="s">
        <v>198</v>
      </c>
    </row>
    <row r="1692" spans="1:1" x14ac:dyDescent="0.25">
      <c r="A1692" t="s">
        <v>199</v>
      </c>
    </row>
    <row r="1693" spans="1:1" x14ac:dyDescent="0.25">
      <c r="A1693" t="s">
        <v>200</v>
      </c>
    </row>
    <row r="1694" spans="1:1" x14ac:dyDescent="0.25">
      <c r="A1694" t="s">
        <v>201</v>
      </c>
    </row>
    <row r="1695" spans="1:1" x14ac:dyDescent="0.25">
      <c r="A1695" t="s">
        <v>202</v>
      </c>
    </row>
    <row r="1696" spans="1:1" x14ac:dyDescent="0.25">
      <c r="A1696" t="s">
        <v>203</v>
      </c>
    </row>
    <row r="1697" spans="1:1" x14ac:dyDescent="0.25">
      <c r="A1697" t="s">
        <v>204</v>
      </c>
    </row>
    <row r="1698" spans="1:1" x14ac:dyDescent="0.25">
      <c r="A1698" t="s">
        <v>205</v>
      </c>
    </row>
    <row r="1699" spans="1:1" x14ac:dyDescent="0.25">
      <c r="A1699" t="s">
        <v>206</v>
      </c>
    </row>
    <row r="1700" spans="1:1" x14ac:dyDescent="0.25">
      <c r="A1700" t="s">
        <v>207</v>
      </c>
    </row>
    <row r="1701" spans="1:1" x14ac:dyDescent="0.25">
      <c r="A1701" t="s">
        <v>208</v>
      </c>
    </row>
    <row r="1702" spans="1:1" x14ac:dyDescent="0.25">
      <c r="A1702" t="s">
        <v>209</v>
      </c>
    </row>
    <row r="1703" spans="1:1" x14ac:dyDescent="0.25">
      <c r="A1703" t="s">
        <v>210</v>
      </c>
    </row>
    <row r="1704" spans="1:1" x14ac:dyDescent="0.25">
      <c r="A1704" t="s">
        <v>211</v>
      </c>
    </row>
    <row r="1705" spans="1:1" x14ac:dyDescent="0.25">
      <c r="A1705" t="s">
        <v>212</v>
      </c>
    </row>
    <row r="1706" spans="1:1" x14ac:dyDescent="0.25">
      <c r="A1706" t="s">
        <v>213</v>
      </c>
    </row>
    <row r="1707" spans="1:1" x14ac:dyDescent="0.25">
      <c r="A1707" t="s">
        <v>214</v>
      </c>
    </row>
    <row r="1708" spans="1:1" x14ac:dyDescent="0.25">
      <c r="A1708" t="s">
        <v>215</v>
      </c>
    </row>
    <row r="1709" spans="1:1" x14ac:dyDescent="0.25">
      <c r="A1709" t="s">
        <v>216</v>
      </c>
    </row>
    <row r="1710" spans="1:1" x14ac:dyDescent="0.25">
      <c r="A1710" t="s">
        <v>217</v>
      </c>
    </row>
    <row r="1711" spans="1:1" x14ac:dyDescent="0.25">
      <c r="A1711" t="s">
        <v>218</v>
      </c>
    </row>
    <row r="1712" spans="1:1" x14ac:dyDescent="0.25">
      <c r="A1712" t="s">
        <v>219</v>
      </c>
    </row>
    <row r="1713" spans="1:1" x14ac:dyDescent="0.25">
      <c r="A1713" t="s">
        <v>220</v>
      </c>
    </row>
    <row r="1714" spans="1:1" x14ac:dyDescent="0.25">
      <c r="A1714" t="s">
        <v>221</v>
      </c>
    </row>
    <row r="1715" spans="1:1" x14ac:dyDescent="0.25">
      <c r="A1715" t="s">
        <v>222</v>
      </c>
    </row>
    <row r="1716" spans="1:1" x14ac:dyDescent="0.25">
      <c r="A1716" t="s">
        <v>223</v>
      </c>
    </row>
    <row r="1717" spans="1:1" x14ac:dyDescent="0.25">
      <c r="A1717" t="s">
        <v>224</v>
      </c>
    </row>
    <row r="1718" spans="1:1" x14ac:dyDescent="0.25">
      <c r="A1718" t="s">
        <v>225</v>
      </c>
    </row>
    <row r="1719" spans="1:1" x14ac:dyDescent="0.25">
      <c r="A1719" t="s">
        <v>226</v>
      </c>
    </row>
    <row r="1720" spans="1:1" x14ac:dyDescent="0.25">
      <c r="A1720" t="s">
        <v>227</v>
      </c>
    </row>
    <row r="1721" spans="1:1" x14ac:dyDescent="0.25">
      <c r="A1721" t="s">
        <v>228</v>
      </c>
    </row>
    <row r="1722" spans="1:1" x14ac:dyDescent="0.25">
      <c r="A1722" t="s">
        <v>229</v>
      </c>
    </row>
    <row r="1723" spans="1:1" x14ac:dyDescent="0.25">
      <c r="A1723" t="s">
        <v>230</v>
      </c>
    </row>
    <row r="1724" spans="1:1" x14ac:dyDescent="0.25">
      <c r="A1724" t="s">
        <v>231</v>
      </c>
    </row>
    <row r="1725" spans="1:1" x14ac:dyDescent="0.25">
      <c r="A1725" t="s">
        <v>232</v>
      </c>
    </row>
    <row r="1726" spans="1:1" x14ac:dyDescent="0.25">
      <c r="A1726" t="s">
        <v>233</v>
      </c>
    </row>
    <row r="1727" spans="1:1" x14ac:dyDescent="0.25">
      <c r="A1727" t="s">
        <v>234</v>
      </c>
    </row>
    <row r="1728" spans="1:1" x14ac:dyDescent="0.25">
      <c r="A1728" t="s">
        <v>235</v>
      </c>
    </row>
    <row r="1729" spans="1:1" x14ac:dyDescent="0.25">
      <c r="A1729" t="s">
        <v>236</v>
      </c>
    </row>
    <row r="1730" spans="1:1" x14ac:dyDescent="0.25">
      <c r="A1730" t="s">
        <v>237</v>
      </c>
    </row>
    <row r="1731" spans="1:1" x14ac:dyDescent="0.25">
      <c r="A1731" t="s">
        <v>238</v>
      </c>
    </row>
    <row r="1732" spans="1:1" x14ac:dyDescent="0.25">
      <c r="A1732" t="s">
        <v>239</v>
      </c>
    </row>
    <row r="1733" spans="1:1" x14ac:dyDescent="0.25">
      <c r="A1733" t="s">
        <v>240</v>
      </c>
    </row>
    <row r="1734" spans="1:1" x14ac:dyDescent="0.25">
      <c r="A1734" t="s">
        <v>241</v>
      </c>
    </row>
    <row r="1735" spans="1:1" x14ac:dyDescent="0.25">
      <c r="A1735" t="s">
        <v>242</v>
      </c>
    </row>
    <row r="1736" spans="1:1" x14ac:dyDescent="0.25">
      <c r="A1736" t="s">
        <v>243</v>
      </c>
    </row>
    <row r="1737" spans="1:1" x14ac:dyDescent="0.25">
      <c r="A1737" t="s">
        <v>244</v>
      </c>
    </row>
    <row r="1738" spans="1:1" x14ac:dyDescent="0.25">
      <c r="A1738" t="s">
        <v>245</v>
      </c>
    </row>
    <row r="1739" spans="1:1" x14ac:dyDescent="0.25">
      <c r="A1739" t="s">
        <v>246</v>
      </c>
    </row>
    <row r="1740" spans="1:1" x14ac:dyDescent="0.25">
      <c r="A1740" t="s">
        <v>247</v>
      </c>
    </row>
    <row r="1741" spans="1:1" x14ac:dyDescent="0.25">
      <c r="A1741" t="s">
        <v>248</v>
      </c>
    </row>
    <row r="1742" spans="1:1" x14ac:dyDescent="0.25">
      <c r="A1742" t="s">
        <v>249</v>
      </c>
    </row>
    <row r="1743" spans="1:1" x14ac:dyDescent="0.25">
      <c r="A1743" t="s">
        <v>250</v>
      </c>
    </row>
    <row r="1744" spans="1:1" x14ac:dyDescent="0.25">
      <c r="A1744" t="s">
        <v>251</v>
      </c>
    </row>
    <row r="1745" spans="1:1" x14ac:dyDescent="0.25">
      <c r="A1745" t="s">
        <v>252</v>
      </c>
    </row>
    <row r="1746" spans="1:1" x14ac:dyDescent="0.25">
      <c r="A1746" t="s">
        <v>32</v>
      </c>
    </row>
    <row r="1747" spans="1:1" x14ac:dyDescent="0.25">
      <c r="A1747" t="s">
        <v>253</v>
      </c>
    </row>
    <row r="1748" spans="1:1" x14ac:dyDescent="0.25">
      <c r="A1748" t="s">
        <v>254</v>
      </c>
    </row>
    <row r="1749" spans="1:1" x14ac:dyDescent="0.25">
      <c r="A1749" t="s">
        <v>255</v>
      </c>
    </row>
    <row r="1750" spans="1:1" x14ac:dyDescent="0.25">
      <c r="A1750" t="s">
        <v>256</v>
      </c>
    </row>
    <row r="1751" spans="1:1" x14ac:dyDescent="0.25">
      <c r="A1751" t="s">
        <v>257</v>
      </c>
    </row>
    <row r="1752" spans="1:1" x14ac:dyDescent="0.25">
      <c r="A1752" t="s">
        <v>258</v>
      </c>
    </row>
    <row r="1753" spans="1:1" x14ac:dyDescent="0.25">
      <c r="A1753" t="s">
        <v>259</v>
      </c>
    </row>
    <row r="1754" spans="1:1" x14ac:dyDescent="0.25">
      <c r="A1754" t="s">
        <v>260</v>
      </c>
    </row>
    <row r="1755" spans="1:1" x14ac:dyDescent="0.25">
      <c r="A1755" t="s">
        <v>261</v>
      </c>
    </row>
    <row r="1756" spans="1:1" x14ac:dyDescent="0.25">
      <c r="A1756" t="s">
        <v>262</v>
      </c>
    </row>
    <row r="1757" spans="1:1" x14ac:dyDescent="0.25">
      <c r="A1757" t="s">
        <v>263</v>
      </c>
    </row>
    <row r="1758" spans="1:1" x14ac:dyDescent="0.25">
      <c r="A1758" t="s">
        <v>264</v>
      </c>
    </row>
    <row r="1759" spans="1:1" x14ac:dyDescent="0.25">
      <c r="A1759" t="s">
        <v>265</v>
      </c>
    </row>
    <row r="1760" spans="1:1" x14ac:dyDescent="0.25">
      <c r="A1760" t="s">
        <v>266</v>
      </c>
    </row>
    <row r="1761" spans="1:1" x14ac:dyDescent="0.25">
      <c r="A1761" t="s">
        <v>267</v>
      </c>
    </row>
    <row r="1762" spans="1:1" x14ac:dyDescent="0.25">
      <c r="A1762" t="s">
        <v>268</v>
      </c>
    </row>
    <row r="1763" spans="1:1" x14ac:dyDescent="0.25">
      <c r="A1763" t="s">
        <v>269</v>
      </c>
    </row>
    <row r="1764" spans="1:1" x14ac:dyDescent="0.25">
      <c r="A1764" t="s">
        <v>270</v>
      </c>
    </row>
    <row r="1765" spans="1:1" x14ac:dyDescent="0.25">
      <c r="A1765" t="s">
        <v>271</v>
      </c>
    </row>
    <row r="1766" spans="1:1" x14ac:dyDescent="0.25">
      <c r="A1766" t="s">
        <v>272</v>
      </c>
    </row>
    <row r="1767" spans="1:1" x14ac:dyDescent="0.25">
      <c r="A1767" t="s">
        <v>273</v>
      </c>
    </row>
    <row r="1768" spans="1:1" x14ac:dyDescent="0.25">
      <c r="A1768" t="s">
        <v>274</v>
      </c>
    </row>
    <row r="1769" spans="1:1" x14ac:dyDescent="0.25">
      <c r="A1769" t="s">
        <v>275</v>
      </c>
    </row>
    <row r="1770" spans="1:1" x14ac:dyDescent="0.25">
      <c r="A1770" t="s">
        <v>276</v>
      </c>
    </row>
    <row r="1771" spans="1:1" x14ac:dyDescent="0.25">
      <c r="A1771" t="s">
        <v>277</v>
      </c>
    </row>
    <row r="1772" spans="1:1" x14ac:dyDescent="0.25">
      <c r="A1772" t="s">
        <v>278</v>
      </c>
    </row>
    <row r="1773" spans="1:1" x14ac:dyDescent="0.25">
      <c r="A1773" t="s">
        <v>279</v>
      </c>
    </row>
    <row r="1774" spans="1:1" x14ac:dyDescent="0.25">
      <c r="A1774" t="s">
        <v>280</v>
      </c>
    </row>
    <row r="1775" spans="1:1" x14ac:dyDescent="0.25">
      <c r="A1775" t="s">
        <v>281</v>
      </c>
    </row>
    <row r="1776" spans="1:1" x14ac:dyDescent="0.25">
      <c r="A1776" t="s">
        <v>282</v>
      </c>
    </row>
    <row r="1777" spans="1:1" x14ac:dyDescent="0.25">
      <c r="A1777" t="s">
        <v>283</v>
      </c>
    </row>
    <row r="1778" spans="1:1" x14ac:dyDescent="0.25">
      <c r="A1778" t="s">
        <v>284</v>
      </c>
    </row>
    <row r="1779" spans="1:1" x14ac:dyDescent="0.25">
      <c r="A1779" t="s">
        <v>285</v>
      </c>
    </row>
    <row r="1780" spans="1:1" x14ac:dyDescent="0.25">
      <c r="A1780" t="s">
        <v>286</v>
      </c>
    </row>
    <row r="1781" spans="1:1" x14ac:dyDescent="0.25">
      <c r="A1781" t="s">
        <v>287</v>
      </c>
    </row>
    <row r="1782" spans="1:1" x14ac:dyDescent="0.25">
      <c r="A1782" t="s">
        <v>288</v>
      </c>
    </row>
    <row r="1783" spans="1:1" x14ac:dyDescent="0.25">
      <c r="A1783" t="s">
        <v>289</v>
      </c>
    </row>
    <row r="1784" spans="1:1" x14ac:dyDescent="0.25">
      <c r="A1784" t="s">
        <v>290</v>
      </c>
    </row>
    <row r="1785" spans="1:1" x14ac:dyDescent="0.25">
      <c r="A1785" t="s">
        <v>291</v>
      </c>
    </row>
    <row r="1786" spans="1:1" x14ac:dyDescent="0.25">
      <c r="A1786" t="s">
        <v>292</v>
      </c>
    </row>
    <row r="1787" spans="1:1" x14ac:dyDescent="0.25">
      <c r="A1787" t="s">
        <v>293</v>
      </c>
    </row>
    <row r="1788" spans="1:1" x14ac:dyDescent="0.25">
      <c r="A1788" t="s">
        <v>294</v>
      </c>
    </row>
    <row r="1789" spans="1:1" x14ac:dyDescent="0.25">
      <c r="A1789" t="s">
        <v>295</v>
      </c>
    </row>
    <row r="1790" spans="1:1" x14ac:dyDescent="0.25">
      <c r="A1790" t="s">
        <v>296</v>
      </c>
    </row>
    <row r="1791" spans="1:1" x14ac:dyDescent="0.25">
      <c r="A1791" t="s">
        <v>297</v>
      </c>
    </row>
    <row r="1792" spans="1:1" x14ac:dyDescent="0.25">
      <c r="A1792" t="s">
        <v>298</v>
      </c>
    </row>
    <row r="1793" spans="1:1" x14ac:dyDescent="0.25">
      <c r="A1793" t="s">
        <v>299</v>
      </c>
    </row>
    <row r="1794" spans="1:1" x14ac:dyDescent="0.25">
      <c r="A1794" t="s">
        <v>300</v>
      </c>
    </row>
    <row r="1795" spans="1:1" x14ac:dyDescent="0.25">
      <c r="A1795" t="s">
        <v>301</v>
      </c>
    </row>
    <row r="1796" spans="1:1" x14ac:dyDescent="0.25">
      <c r="A1796" t="s">
        <v>302</v>
      </c>
    </row>
    <row r="1797" spans="1:1" x14ac:dyDescent="0.25">
      <c r="A1797" t="s">
        <v>303</v>
      </c>
    </row>
    <row r="1798" spans="1:1" x14ac:dyDescent="0.25">
      <c r="A1798" t="s">
        <v>304</v>
      </c>
    </row>
    <row r="1799" spans="1:1" x14ac:dyDescent="0.25">
      <c r="A1799" t="s">
        <v>305</v>
      </c>
    </row>
    <row r="1800" spans="1:1" x14ac:dyDescent="0.25">
      <c r="A1800" t="s">
        <v>306</v>
      </c>
    </row>
    <row r="1801" spans="1:1" x14ac:dyDescent="0.25">
      <c r="A1801" t="s">
        <v>307</v>
      </c>
    </row>
    <row r="1802" spans="1:1" x14ac:dyDescent="0.25">
      <c r="A1802" t="s">
        <v>308</v>
      </c>
    </row>
    <row r="1803" spans="1:1" x14ac:dyDescent="0.25">
      <c r="A1803" t="s">
        <v>309</v>
      </c>
    </row>
    <row r="1804" spans="1:1" x14ac:dyDescent="0.25">
      <c r="A1804" t="s">
        <v>310</v>
      </c>
    </row>
    <row r="1805" spans="1:1" x14ac:dyDescent="0.25">
      <c r="A1805" t="s">
        <v>311</v>
      </c>
    </row>
    <row r="1806" spans="1:1" x14ac:dyDescent="0.25">
      <c r="A1806" t="s">
        <v>312</v>
      </c>
    </row>
    <row r="1807" spans="1:1" x14ac:dyDescent="0.25">
      <c r="A1807" t="s">
        <v>313</v>
      </c>
    </row>
    <row r="1808" spans="1:1" x14ac:dyDescent="0.25">
      <c r="A1808" t="s">
        <v>314</v>
      </c>
    </row>
    <row r="1809" spans="1:1" x14ac:dyDescent="0.25">
      <c r="A1809" t="s">
        <v>315</v>
      </c>
    </row>
    <row r="1810" spans="1:1" x14ac:dyDescent="0.25">
      <c r="A1810" t="s">
        <v>316</v>
      </c>
    </row>
    <row r="1811" spans="1:1" x14ac:dyDescent="0.25">
      <c r="A1811" t="s">
        <v>317</v>
      </c>
    </row>
    <row r="1812" spans="1:1" x14ac:dyDescent="0.25">
      <c r="A1812" t="s">
        <v>318</v>
      </c>
    </row>
    <row r="1813" spans="1:1" x14ac:dyDescent="0.25">
      <c r="A1813" t="s">
        <v>319</v>
      </c>
    </row>
    <row r="1814" spans="1:1" x14ac:dyDescent="0.25">
      <c r="A1814" t="s">
        <v>320</v>
      </c>
    </row>
    <row r="1815" spans="1:1" x14ac:dyDescent="0.25">
      <c r="A1815" t="s">
        <v>321</v>
      </c>
    </row>
    <row r="1816" spans="1:1" x14ac:dyDescent="0.25">
      <c r="A1816" t="s">
        <v>322</v>
      </c>
    </row>
    <row r="1817" spans="1:1" x14ac:dyDescent="0.25">
      <c r="A1817" t="s">
        <v>323</v>
      </c>
    </row>
    <row r="1818" spans="1:1" x14ac:dyDescent="0.25">
      <c r="A1818" t="s">
        <v>324</v>
      </c>
    </row>
    <row r="1819" spans="1:1" x14ac:dyDescent="0.25">
      <c r="A1819" t="s">
        <v>325</v>
      </c>
    </row>
    <row r="1820" spans="1:1" x14ac:dyDescent="0.25">
      <c r="A1820" t="s">
        <v>326</v>
      </c>
    </row>
    <row r="1821" spans="1:1" x14ac:dyDescent="0.25">
      <c r="A1821" t="s">
        <v>327</v>
      </c>
    </row>
    <row r="1822" spans="1:1" x14ac:dyDescent="0.25">
      <c r="A1822" t="s">
        <v>328</v>
      </c>
    </row>
    <row r="1823" spans="1:1" x14ac:dyDescent="0.25">
      <c r="A1823" t="s">
        <v>329</v>
      </c>
    </row>
    <row r="1824" spans="1:1" x14ac:dyDescent="0.25">
      <c r="A1824" t="s">
        <v>330</v>
      </c>
    </row>
    <row r="1825" spans="1:1" x14ac:dyDescent="0.25">
      <c r="A1825" t="s">
        <v>331</v>
      </c>
    </row>
    <row r="1826" spans="1:1" x14ac:dyDescent="0.25">
      <c r="A1826" t="s">
        <v>332</v>
      </c>
    </row>
    <row r="1827" spans="1:1" x14ac:dyDescent="0.25">
      <c r="A1827" t="s">
        <v>333</v>
      </c>
    </row>
    <row r="1828" spans="1:1" x14ac:dyDescent="0.25">
      <c r="A1828" t="s">
        <v>334</v>
      </c>
    </row>
    <row r="1829" spans="1:1" x14ac:dyDescent="0.25">
      <c r="A1829" t="s">
        <v>335</v>
      </c>
    </row>
    <row r="1830" spans="1:1" x14ac:dyDescent="0.25">
      <c r="A1830" t="s">
        <v>336</v>
      </c>
    </row>
    <row r="1831" spans="1:1" x14ac:dyDescent="0.25">
      <c r="A1831" t="s">
        <v>337</v>
      </c>
    </row>
    <row r="1832" spans="1:1" x14ac:dyDescent="0.25">
      <c r="A1832" t="s">
        <v>338</v>
      </c>
    </row>
    <row r="1833" spans="1:1" x14ac:dyDescent="0.25">
      <c r="A1833" t="s">
        <v>339</v>
      </c>
    </row>
    <row r="1834" spans="1:1" x14ac:dyDescent="0.25">
      <c r="A1834" t="s">
        <v>340</v>
      </c>
    </row>
    <row r="1835" spans="1:1" x14ac:dyDescent="0.25">
      <c r="A1835" t="s">
        <v>341</v>
      </c>
    </row>
    <row r="1836" spans="1:1" x14ac:dyDescent="0.25">
      <c r="A1836" t="s">
        <v>342</v>
      </c>
    </row>
    <row r="1837" spans="1:1" x14ac:dyDescent="0.25">
      <c r="A1837" t="s">
        <v>343</v>
      </c>
    </row>
    <row r="1838" spans="1:1" x14ac:dyDescent="0.25">
      <c r="A1838" t="s">
        <v>344</v>
      </c>
    </row>
    <row r="1839" spans="1:1" x14ac:dyDescent="0.25">
      <c r="A1839" t="s">
        <v>345</v>
      </c>
    </row>
    <row r="1840" spans="1:1" x14ac:dyDescent="0.25">
      <c r="A1840" t="s">
        <v>346</v>
      </c>
    </row>
    <row r="1841" spans="1:1" x14ac:dyDescent="0.25">
      <c r="A1841" t="s">
        <v>347</v>
      </c>
    </row>
    <row r="1842" spans="1:1" x14ac:dyDescent="0.25">
      <c r="A1842" t="s">
        <v>348</v>
      </c>
    </row>
    <row r="1843" spans="1:1" x14ac:dyDescent="0.25">
      <c r="A1843" t="s">
        <v>349</v>
      </c>
    </row>
    <row r="1844" spans="1:1" x14ac:dyDescent="0.25">
      <c r="A1844" t="s">
        <v>350</v>
      </c>
    </row>
    <row r="1845" spans="1:1" x14ac:dyDescent="0.25">
      <c r="A1845" t="s">
        <v>351</v>
      </c>
    </row>
    <row r="1846" spans="1:1" x14ac:dyDescent="0.25">
      <c r="A1846" t="s">
        <v>352</v>
      </c>
    </row>
    <row r="1847" spans="1:1" x14ac:dyDescent="0.25">
      <c r="A1847" t="s">
        <v>353</v>
      </c>
    </row>
    <row r="1848" spans="1:1" x14ac:dyDescent="0.25">
      <c r="A1848" t="s">
        <v>354</v>
      </c>
    </row>
    <row r="1849" spans="1:1" x14ac:dyDescent="0.25">
      <c r="A1849" t="s">
        <v>355</v>
      </c>
    </row>
    <row r="1850" spans="1:1" x14ac:dyDescent="0.25">
      <c r="A1850" t="s">
        <v>356</v>
      </c>
    </row>
    <row r="1851" spans="1:1" x14ac:dyDescent="0.25">
      <c r="A1851" t="s">
        <v>357</v>
      </c>
    </row>
    <row r="1852" spans="1:1" x14ac:dyDescent="0.25">
      <c r="A1852" t="s">
        <v>358</v>
      </c>
    </row>
    <row r="1853" spans="1:1" x14ac:dyDescent="0.25">
      <c r="A1853" t="s">
        <v>359</v>
      </c>
    </row>
    <row r="1854" spans="1:1" x14ac:dyDescent="0.25">
      <c r="A1854" t="s">
        <v>360</v>
      </c>
    </row>
    <row r="1855" spans="1:1" x14ac:dyDescent="0.25">
      <c r="A1855" t="s">
        <v>361</v>
      </c>
    </row>
    <row r="1856" spans="1:1" x14ac:dyDescent="0.25">
      <c r="A1856" t="s">
        <v>362</v>
      </c>
    </row>
    <row r="1857" spans="1:1" x14ac:dyDescent="0.25">
      <c r="A1857" t="s">
        <v>363</v>
      </c>
    </row>
    <row r="1858" spans="1:1" x14ac:dyDescent="0.25">
      <c r="A1858" t="s">
        <v>364</v>
      </c>
    </row>
    <row r="1859" spans="1:1" x14ac:dyDescent="0.25">
      <c r="A1859" t="s">
        <v>365</v>
      </c>
    </row>
    <row r="1860" spans="1:1" x14ac:dyDescent="0.25">
      <c r="A1860" t="s">
        <v>366</v>
      </c>
    </row>
    <row r="1861" spans="1:1" x14ac:dyDescent="0.25">
      <c r="A1861" t="s">
        <v>367</v>
      </c>
    </row>
    <row r="1862" spans="1:1" x14ac:dyDescent="0.25">
      <c r="A1862" t="s">
        <v>368</v>
      </c>
    </row>
    <row r="1863" spans="1:1" x14ac:dyDescent="0.25">
      <c r="A1863" t="s">
        <v>369</v>
      </c>
    </row>
    <row r="1864" spans="1:1" x14ac:dyDescent="0.25">
      <c r="A1864" t="s">
        <v>370</v>
      </c>
    </row>
    <row r="1865" spans="1:1" x14ac:dyDescent="0.25">
      <c r="A1865" t="s">
        <v>371</v>
      </c>
    </row>
    <row r="1866" spans="1:1" x14ac:dyDescent="0.25">
      <c r="A1866" t="s">
        <v>372</v>
      </c>
    </row>
    <row r="1867" spans="1:1" x14ac:dyDescent="0.25">
      <c r="A1867" t="s">
        <v>373</v>
      </c>
    </row>
    <row r="1868" spans="1:1" x14ac:dyDescent="0.25">
      <c r="A1868" t="s">
        <v>374</v>
      </c>
    </row>
    <row r="1869" spans="1:1" x14ac:dyDescent="0.25">
      <c r="A1869" t="s">
        <v>375</v>
      </c>
    </row>
    <row r="1870" spans="1:1" x14ac:dyDescent="0.25">
      <c r="A1870" t="s">
        <v>376</v>
      </c>
    </row>
    <row r="1871" spans="1:1" x14ac:dyDescent="0.25">
      <c r="A1871" t="s">
        <v>377</v>
      </c>
    </row>
    <row r="1872" spans="1:1" x14ac:dyDescent="0.25">
      <c r="A1872" t="s">
        <v>378</v>
      </c>
    </row>
    <row r="1873" spans="1:1" x14ac:dyDescent="0.25">
      <c r="A1873" t="s">
        <v>379</v>
      </c>
    </row>
    <row r="1874" spans="1:1" x14ac:dyDescent="0.25">
      <c r="A1874" t="s">
        <v>380</v>
      </c>
    </row>
    <row r="1875" spans="1:1" x14ac:dyDescent="0.25">
      <c r="A1875" t="s">
        <v>381</v>
      </c>
    </row>
    <row r="1876" spans="1:1" x14ac:dyDescent="0.25">
      <c r="A1876" t="s">
        <v>382</v>
      </c>
    </row>
    <row r="1877" spans="1:1" x14ac:dyDescent="0.25">
      <c r="A1877" t="s">
        <v>383</v>
      </c>
    </row>
    <row r="1878" spans="1:1" x14ac:dyDescent="0.25">
      <c r="A1878" t="s">
        <v>384</v>
      </c>
    </row>
    <row r="1879" spans="1:1" x14ac:dyDescent="0.25">
      <c r="A1879" t="s">
        <v>385</v>
      </c>
    </row>
    <row r="1880" spans="1:1" x14ac:dyDescent="0.25">
      <c r="A1880" t="s">
        <v>386</v>
      </c>
    </row>
    <row r="1881" spans="1:1" x14ac:dyDescent="0.25">
      <c r="A1881" t="s">
        <v>387</v>
      </c>
    </row>
    <row r="1882" spans="1:1" x14ac:dyDescent="0.25">
      <c r="A1882" t="s">
        <v>388</v>
      </c>
    </row>
    <row r="1883" spans="1:1" x14ac:dyDescent="0.25">
      <c r="A1883" t="s">
        <v>389</v>
      </c>
    </row>
    <row r="1884" spans="1:1" x14ac:dyDescent="0.25">
      <c r="A1884" t="s">
        <v>390</v>
      </c>
    </row>
    <row r="1885" spans="1:1" x14ac:dyDescent="0.25">
      <c r="A1885" t="s">
        <v>391</v>
      </c>
    </row>
    <row r="1886" spans="1:1" x14ac:dyDescent="0.25">
      <c r="A1886" t="s">
        <v>392</v>
      </c>
    </row>
    <row r="1887" spans="1:1" x14ac:dyDescent="0.25">
      <c r="A1887" t="s">
        <v>393</v>
      </c>
    </row>
    <row r="1888" spans="1:1" x14ac:dyDescent="0.25">
      <c r="A1888" t="s">
        <v>394</v>
      </c>
    </row>
    <row r="1889" spans="1:1" x14ac:dyDescent="0.25">
      <c r="A1889" t="s">
        <v>395</v>
      </c>
    </row>
    <row r="1890" spans="1:1" x14ac:dyDescent="0.25">
      <c r="A1890" t="s">
        <v>396</v>
      </c>
    </row>
    <row r="1891" spans="1:1" x14ac:dyDescent="0.25">
      <c r="A1891" t="s">
        <v>397</v>
      </c>
    </row>
    <row r="1892" spans="1:1" x14ac:dyDescent="0.25">
      <c r="A1892" t="s">
        <v>398</v>
      </c>
    </row>
    <row r="1893" spans="1:1" x14ac:dyDescent="0.25">
      <c r="A1893" t="s">
        <v>399</v>
      </c>
    </row>
    <row r="1894" spans="1:1" x14ac:dyDescent="0.25">
      <c r="A1894" t="s">
        <v>400</v>
      </c>
    </row>
    <row r="1895" spans="1:1" x14ac:dyDescent="0.25">
      <c r="A1895" t="s">
        <v>401</v>
      </c>
    </row>
    <row r="1896" spans="1:1" x14ac:dyDescent="0.25">
      <c r="A1896" t="s">
        <v>402</v>
      </c>
    </row>
    <row r="1897" spans="1:1" x14ac:dyDescent="0.25">
      <c r="A1897" t="s">
        <v>403</v>
      </c>
    </row>
    <row r="1898" spans="1:1" x14ac:dyDescent="0.25">
      <c r="A1898" t="s">
        <v>404</v>
      </c>
    </row>
    <row r="1899" spans="1:1" x14ac:dyDescent="0.25">
      <c r="A1899" t="s">
        <v>405</v>
      </c>
    </row>
    <row r="1900" spans="1:1" x14ac:dyDescent="0.25">
      <c r="A1900" t="s">
        <v>406</v>
      </c>
    </row>
    <row r="1901" spans="1:1" x14ac:dyDescent="0.25">
      <c r="A1901" t="s">
        <v>407</v>
      </c>
    </row>
    <row r="1902" spans="1:1" x14ac:dyDescent="0.25">
      <c r="A1902" t="s">
        <v>408</v>
      </c>
    </row>
    <row r="1903" spans="1:1" x14ac:dyDescent="0.25">
      <c r="A1903" t="s">
        <v>409</v>
      </c>
    </row>
    <row r="1904" spans="1:1" x14ac:dyDescent="0.25">
      <c r="A1904" t="s">
        <v>410</v>
      </c>
    </row>
    <row r="1905" spans="1:1" x14ac:dyDescent="0.25">
      <c r="A1905" t="s">
        <v>411</v>
      </c>
    </row>
    <row r="1906" spans="1:1" x14ac:dyDescent="0.25">
      <c r="A1906" t="s">
        <v>416</v>
      </c>
    </row>
    <row r="1907" spans="1:1" x14ac:dyDescent="0.25">
      <c r="A1907" t="s">
        <v>37</v>
      </c>
    </row>
    <row r="1908" spans="1:1" x14ac:dyDescent="0.25">
      <c r="A1908" t="s">
        <v>38</v>
      </c>
    </row>
    <row r="1909" spans="1:1" x14ac:dyDescent="0.25">
      <c r="A1909" t="s">
        <v>39</v>
      </c>
    </row>
    <row r="1910" spans="1:1" x14ac:dyDescent="0.25">
      <c r="A1910" t="s">
        <v>31</v>
      </c>
    </row>
    <row r="1911" spans="1:1" x14ac:dyDescent="0.25">
      <c r="A1911" t="s">
        <v>40</v>
      </c>
    </row>
    <row r="1912" spans="1:1" x14ac:dyDescent="0.25">
      <c r="A1912" t="s">
        <v>23</v>
      </c>
    </row>
    <row r="1913" spans="1:1" x14ac:dyDescent="0.25">
      <c r="A1913" t="s">
        <v>41</v>
      </c>
    </row>
    <row r="1914" spans="1:1" x14ac:dyDescent="0.25">
      <c r="A1914" t="s">
        <v>42</v>
      </c>
    </row>
    <row r="1915" spans="1:1" x14ac:dyDescent="0.25">
      <c r="A1915" t="s">
        <v>43</v>
      </c>
    </row>
    <row r="1916" spans="1:1" x14ac:dyDescent="0.25">
      <c r="A1916" t="s">
        <v>44</v>
      </c>
    </row>
    <row r="1917" spans="1:1" x14ac:dyDescent="0.25">
      <c r="A1917" t="s">
        <v>45</v>
      </c>
    </row>
    <row r="1918" spans="1:1" x14ac:dyDescent="0.25">
      <c r="A1918" t="s">
        <v>46</v>
      </c>
    </row>
    <row r="1919" spans="1:1" x14ac:dyDescent="0.25">
      <c r="A1919" t="s">
        <v>47</v>
      </c>
    </row>
    <row r="1920" spans="1:1" x14ac:dyDescent="0.25">
      <c r="A1920" t="s">
        <v>48</v>
      </c>
    </row>
    <row r="1921" spans="1:1" x14ac:dyDescent="0.25">
      <c r="A1921" t="s">
        <v>49</v>
      </c>
    </row>
    <row r="1922" spans="1:1" x14ac:dyDescent="0.25">
      <c r="A1922" t="s">
        <v>50</v>
      </c>
    </row>
    <row r="1923" spans="1:1" x14ac:dyDescent="0.25">
      <c r="A1923" t="s">
        <v>51</v>
      </c>
    </row>
    <row r="1924" spans="1:1" x14ac:dyDescent="0.25">
      <c r="A1924" t="s">
        <v>52</v>
      </c>
    </row>
    <row r="1925" spans="1:1" x14ac:dyDescent="0.25">
      <c r="A1925" t="s">
        <v>53</v>
      </c>
    </row>
    <row r="1926" spans="1:1" x14ac:dyDescent="0.25">
      <c r="A1926" t="s">
        <v>54</v>
      </c>
    </row>
    <row r="1927" spans="1:1" x14ac:dyDescent="0.25">
      <c r="A1927" t="s">
        <v>55</v>
      </c>
    </row>
    <row r="1928" spans="1:1" x14ac:dyDescent="0.25">
      <c r="A1928" t="s">
        <v>56</v>
      </c>
    </row>
    <row r="1929" spans="1:1" x14ac:dyDescent="0.25">
      <c r="A1929" t="s">
        <v>25</v>
      </c>
    </row>
    <row r="1930" spans="1:1" x14ac:dyDescent="0.25">
      <c r="A1930" t="s">
        <v>57</v>
      </c>
    </row>
    <row r="1931" spans="1:1" x14ac:dyDescent="0.25">
      <c r="A1931" t="s">
        <v>27</v>
      </c>
    </row>
    <row r="1932" spans="1:1" x14ac:dyDescent="0.25">
      <c r="A1932" t="s">
        <v>58</v>
      </c>
    </row>
    <row r="1933" spans="1:1" x14ac:dyDescent="0.25">
      <c r="A1933" t="s">
        <v>59</v>
      </c>
    </row>
    <row r="1934" spans="1:1" x14ac:dyDescent="0.25">
      <c r="A1934" t="s">
        <v>60</v>
      </c>
    </row>
    <row r="1935" spans="1:1" x14ac:dyDescent="0.25">
      <c r="A1935" t="s">
        <v>61</v>
      </c>
    </row>
    <row r="1936" spans="1:1" x14ac:dyDescent="0.25">
      <c r="A1936" t="s">
        <v>62</v>
      </c>
    </row>
    <row r="1937" spans="1:1" x14ac:dyDescent="0.25">
      <c r="A1937" t="s">
        <v>63</v>
      </c>
    </row>
    <row r="1938" spans="1:1" x14ac:dyDescent="0.25">
      <c r="A1938" t="s">
        <v>64</v>
      </c>
    </row>
    <row r="1939" spans="1:1" x14ac:dyDescent="0.25">
      <c r="A1939" t="s">
        <v>65</v>
      </c>
    </row>
    <row r="1940" spans="1:1" x14ac:dyDescent="0.25">
      <c r="A1940" t="s">
        <v>66</v>
      </c>
    </row>
    <row r="1941" spans="1:1" x14ac:dyDescent="0.25">
      <c r="A1941" t="s">
        <v>67</v>
      </c>
    </row>
    <row r="1942" spans="1:1" x14ac:dyDescent="0.25">
      <c r="A1942" t="s">
        <v>68</v>
      </c>
    </row>
    <row r="1943" spans="1:1" x14ac:dyDescent="0.25">
      <c r="A1943" t="s">
        <v>69</v>
      </c>
    </row>
    <row r="1944" spans="1:1" x14ac:dyDescent="0.25">
      <c r="A1944" t="s">
        <v>70</v>
      </c>
    </row>
    <row r="1945" spans="1:1" x14ac:dyDescent="0.25">
      <c r="A1945" t="s">
        <v>71</v>
      </c>
    </row>
    <row r="1946" spans="1:1" x14ac:dyDescent="0.25">
      <c r="A1946" t="s">
        <v>72</v>
      </c>
    </row>
    <row r="1947" spans="1:1" x14ac:dyDescent="0.25">
      <c r="A1947" t="s">
        <v>73</v>
      </c>
    </row>
    <row r="1948" spans="1:1" x14ac:dyDescent="0.25">
      <c r="A1948" t="s">
        <v>74</v>
      </c>
    </row>
    <row r="1949" spans="1:1" x14ac:dyDescent="0.25">
      <c r="A1949" t="s">
        <v>75</v>
      </c>
    </row>
    <row r="1950" spans="1:1" x14ac:dyDescent="0.25">
      <c r="A1950" t="s">
        <v>76</v>
      </c>
    </row>
    <row r="1951" spans="1:1" x14ac:dyDescent="0.25">
      <c r="A1951" t="s">
        <v>77</v>
      </c>
    </row>
    <row r="1952" spans="1:1" x14ac:dyDescent="0.25">
      <c r="A1952" t="s">
        <v>78</v>
      </c>
    </row>
    <row r="1953" spans="1:1" x14ac:dyDescent="0.25">
      <c r="A1953" t="s">
        <v>79</v>
      </c>
    </row>
    <row r="1954" spans="1:1" x14ac:dyDescent="0.25">
      <c r="A1954" t="s">
        <v>80</v>
      </c>
    </row>
    <row r="1955" spans="1:1" x14ac:dyDescent="0.25">
      <c r="A1955" t="s">
        <v>81</v>
      </c>
    </row>
    <row r="1956" spans="1:1" x14ac:dyDescent="0.25">
      <c r="A1956" t="s">
        <v>82</v>
      </c>
    </row>
    <row r="1957" spans="1:1" x14ac:dyDescent="0.25">
      <c r="A1957" t="s">
        <v>83</v>
      </c>
    </row>
    <row r="1958" spans="1:1" x14ac:dyDescent="0.25">
      <c r="A1958" t="s">
        <v>84</v>
      </c>
    </row>
    <row r="1959" spans="1:1" x14ac:dyDescent="0.25">
      <c r="A1959" t="s">
        <v>85</v>
      </c>
    </row>
    <row r="1960" spans="1:1" x14ac:dyDescent="0.25">
      <c r="A1960" t="s">
        <v>86</v>
      </c>
    </row>
    <row r="1961" spans="1:1" x14ac:dyDescent="0.25">
      <c r="A1961" t="s">
        <v>87</v>
      </c>
    </row>
    <row r="1962" spans="1:1" x14ac:dyDescent="0.25">
      <c r="A1962" t="s">
        <v>88</v>
      </c>
    </row>
    <row r="1963" spans="1:1" x14ac:dyDescent="0.25">
      <c r="A1963" t="s">
        <v>89</v>
      </c>
    </row>
    <row r="1964" spans="1:1" x14ac:dyDescent="0.25">
      <c r="A1964" t="s">
        <v>90</v>
      </c>
    </row>
    <row r="1965" spans="1:1" x14ac:dyDescent="0.25">
      <c r="A1965" t="s">
        <v>91</v>
      </c>
    </row>
    <row r="1966" spans="1:1" x14ac:dyDescent="0.25">
      <c r="A1966" t="s">
        <v>92</v>
      </c>
    </row>
    <row r="1967" spans="1:1" x14ac:dyDescent="0.25">
      <c r="A1967" t="s">
        <v>93</v>
      </c>
    </row>
    <row r="1968" spans="1:1" x14ac:dyDescent="0.25">
      <c r="A1968" t="s">
        <v>94</v>
      </c>
    </row>
    <row r="1969" spans="1:1" x14ac:dyDescent="0.25">
      <c r="A1969" t="s">
        <v>95</v>
      </c>
    </row>
    <row r="1970" spans="1:1" x14ac:dyDescent="0.25">
      <c r="A1970" t="s">
        <v>96</v>
      </c>
    </row>
    <row r="1971" spans="1:1" x14ac:dyDescent="0.25">
      <c r="A1971" t="s">
        <v>97</v>
      </c>
    </row>
    <row r="1972" spans="1:1" x14ac:dyDescent="0.25">
      <c r="A1972" t="s">
        <v>98</v>
      </c>
    </row>
    <row r="1973" spans="1:1" x14ac:dyDescent="0.25">
      <c r="A1973" t="s">
        <v>99</v>
      </c>
    </row>
    <row r="1974" spans="1:1" x14ac:dyDescent="0.25">
      <c r="A1974" t="s">
        <v>100</v>
      </c>
    </row>
    <row r="1975" spans="1:1" x14ac:dyDescent="0.25">
      <c r="A1975" t="s">
        <v>101</v>
      </c>
    </row>
    <row r="1976" spans="1:1" x14ac:dyDescent="0.25">
      <c r="A1976" t="s">
        <v>102</v>
      </c>
    </row>
    <row r="1977" spans="1:1" x14ac:dyDescent="0.25">
      <c r="A1977" t="s">
        <v>103</v>
      </c>
    </row>
    <row r="1978" spans="1:1" x14ac:dyDescent="0.25">
      <c r="A1978" t="s">
        <v>104</v>
      </c>
    </row>
    <row r="1979" spans="1:1" x14ac:dyDescent="0.25">
      <c r="A1979" t="s">
        <v>105</v>
      </c>
    </row>
    <row r="1980" spans="1:1" x14ac:dyDescent="0.25">
      <c r="A1980" t="s">
        <v>106</v>
      </c>
    </row>
    <row r="1981" spans="1:1" x14ac:dyDescent="0.25">
      <c r="A1981" t="s">
        <v>107</v>
      </c>
    </row>
    <row r="1982" spans="1:1" x14ac:dyDescent="0.25">
      <c r="A1982" t="s">
        <v>108</v>
      </c>
    </row>
    <row r="1983" spans="1:1" x14ac:dyDescent="0.25">
      <c r="A1983" t="s">
        <v>109</v>
      </c>
    </row>
    <row r="1984" spans="1:1" x14ac:dyDescent="0.25">
      <c r="A1984" t="s">
        <v>110</v>
      </c>
    </row>
    <row r="1985" spans="1:1" x14ac:dyDescent="0.25">
      <c r="A1985" t="s">
        <v>111</v>
      </c>
    </row>
    <row r="1986" spans="1:1" x14ac:dyDescent="0.25">
      <c r="A1986" t="s">
        <v>112</v>
      </c>
    </row>
    <row r="1987" spans="1:1" x14ac:dyDescent="0.25">
      <c r="A1987" t="s">
        <v>113</v>
      </c>
    </row>
    <row r="1988" spans="1:1" x14ac:dyDescent="0.25">
      <c r="A1988" t="s">
        <v>114</v>
      </c>
    </row>
    <row r="1989" spans="1:1" x14ac:dyDescent="0.25">
      <c r="A1989" t="s">
        <v>115</v>
      </c>
    </row>
    <row r="1990" spans="1:1" x14ac:dyDescent="0.25">
      <c r="A1990" t="s">
        <v>116</v>
      </c>
    </row>
    <row r="1991" spans="1:1" x14ac:dyDescent="0.25">
      <c r="A1991" t="s">
        <v>117</v>
      </c>
    </row>
    <row r="1992" spans="1:1" x14ac:dyDescent="0.25">
      <c r="A1992" t="s">
        <v>118</v>
      </c>
    </row>
    <row r="1993" spans="1:1" x14ac:dyDescent="0.25">
      <c r="A1993" t="s">
        <v>119</v>
      </c>
    </row>
    <row r="1994" spans="1:1" x14ac:dyDescent="0.25">
      <c r="A1994" t="s">
        <v>120</v>
      </c>
    </row>
    <row r="1995" spans="1:1" x14ac:dyDescent="0.25">
      <c r="A1995" t="s">
        <v>121</v>
      </c>
    </row>
    <row r="1996" spans="1:1" x14ac:dyDescent="0.25">
      <c r="A1996" t="s">
        <v>122</v>
      </c>
    </row>
    <row r="1997" spans="1:1" x14ac:dyDescent="0.25">
      <c r="A1997" t="s">
        <v>123</v>
      </c>
    </row>
    <row r="1998" spans="1:1" x14ac:dyDescent="0.25">
      <c r="A1998" t="s">
        <v>124</v>
      </c>
    </row>
    <row r="1999" spans="1:1" x14ac:dyDescent="0.25">
      <c r="A1999" t="s">
        <v>125</v>
      </c>
    </row>
    <row r="2000" spans="1:1" x14ac:dyDescent="0.25">
      <c r="A2000" t="s">
        <v>126</v>
      </c>
    </row>
    <row r="2001" spans="1:1" x14ac:dyDescent="0.25">
      <c r="A2001" t="s">
        <v>127</v>
      </c>
    </row>
    <row r="2002" spans="1:1" x14ac:dyDescent="0.25">
      <c r="A2002" t="s">
        <v>128</v>
      </c>
    </row>
    <row r="2003" spans="1:1" x14ac:dyDescent="0.25">
      <c r="A2003" t="s">
        <v>129</v>
      </c>
    </row>
    <row r="2004" spans="1:1" x14ac:dyDescent="0.25">
      <c r="A2004" t="s">
        <v>130</v>
      </c>
    </row>
    <row r="2005" spans="1:1" x14ac:dyDescent="0.25">
      <c r="A2005" t="s">
        <v>131</v>
      </c>
    </row>
    <row r="2006" spans="1:1" x14ac:dyDescent="0.25">
      <c r="A2006" t="s">
        <v>132</v>
      </c>
    </row>
    <row r="2007" spans="1:1" x14ac:dyDescent="0.25">
      <c r="A2007" t="s">
        <v>133</v>
      </c>
    </row>
    <row r="2008" spans="1:1" x14ac:dyDescent="0.25">
      <c r="A2008" t="s">
        <v>134</v>
      </c>
    </row>
    <row r="2009" spans="1:1" x14ac:dyDescent="0.25">
      <c r="A2009" t="s">
        <v>135</v>
      </c>
    </row>
    <row r="2010" spans="1:1" x14ac:dyDescent="0.25">
      <c r="A2010" t="s">
        <v>136</v>
      </c>
    </row>
    <row r="2011" spans="1:1" x14ac:dyDescent="0.25">
      <c r="A2011" t="s">
        <v>137</v>
      </c>
    </row>
    <row r="2012" spans="1:1" x14ac:dyDescent="0.25">
      <c r="A2012" t="s">
        <v>138</v>
      </c>
    </row>
    <row r="2013" spans="1:1" x14ac:dyDescent="0.25">
      <c r="A2013" t="s">
        <v>139</v>
      </c>
    </row>
    <row r="2014" spans="1:1" x14ac:dyDescent="0.25">
      <c r="A2014" t="s">
        <v>140</v>
      </c>
    </row>
    <row r="2015" spans="1:1" x14ac:dyDescent="0.25">
      <c r="A2015" t="s">
        <v>141</v>
      </c>
    </row>
    <row r="2016" spans="1:1" x14ac:dyDescent="0.25">
      <c r="A2016" t="s">
        <v>142</v>
      </c>
    </row>
    <row r="2017" spans="1:1" x14ac:dyDescent="0.25">
      <c r="A2017" t="s">
        <v>143</v>
      </c>
    </row>
    <row r="2018" spans="1:1" x14ac:dyDescent="0.25">
      <c r="A2018" t="s">
        <v>144</v>
      </c>
    </row>
    <row r="2019" spans="1:1" x14ac:dyDescent="0.25">
      <c r="A2019" t="s">
        <v>145</v>
      </c>
    </row>
    <row r="2020" spans="1:1" x14ac:dyDescent="0.25">
      <c r="A2020" t="s">
        <v>146</v>
      </c>
    </row>
    <row r="2021" spans="1:1" x14ac:dyDescent="0.25">
      <c r="A2021" t="s">
        <v>147</v>
      </c>
    </row>
    <row r="2022" spans="1:1" x14ac:dyDescent="0.25">
      <c r="A2022" t="s">
        <v>148</v>
      </c>
    </row>
    <row r="2023" spans="1:1" x14ac:dyDescent="0.25">
      <c r="A2023" t="s">
        <v>149</v>
      </c>
    </row>
    <row r="2024" spans="1:1" x14ac:dyDescent="0.25">
      <c r="A2024" t="s">
        <v>150</v>
      </c>
    </row>
    <row r="2025" spans="1:1" x14ac:dyDescent="0.25">
      <c r="A2025" t="s">
        <v>151</v>
      </c>
    </row>
    <row r="2026" spans="1:1" x14ac:dyDescent="0.25">
      <c r="A2026" t="s">
        <v>152</v>
      </c>
    </row>
    <row r="2027" spans="1:1" x14ac:dyDescent="0.25">
      <c r="A2027" t="s">
        <v>153</v>
      </c>
    </row>
    <row r="2028" spans="1:1" x14ac:dyDescent="0.25">
      <c r="A2028" t="s">
        <v>154</v>
      </c>
    </row>
    <row r="2029" spans="1:1" x14ac:dyDescent="0.25">
      <c r="A2029" t="s">
        <v>155</v>
      </c>
    </row>
    <row r="2030" spans="1:1" x14ac:dyDescent="0.25">
      <c r="A2030" t="s">
        <v>156</v>
      </c>
    </row>
    <row r="2031" spans="1:1" x14ac:dyDescent="0.25">
      <c r="A2031" t="s">
        <v>157</v>
      </c>
    </row>
    <row r="2032" spans="1:1" x14ac:dyDescent="0.25">
      <c r="A2032" t="s">
        <v>158</v>
      </c>
    </row>
    <row r="2033" spans="1:1" x14ac:dyDescent="0.25">
      <c r="A2033" t="s">
        <v>159</v>
      </c>
    </row>
    <row r="2034" spans="1:1" x14ac:dyDescent="0.25">
      <c r="A2034" t="s">
        <v>160</v>
      </c>
    </row>
    <row r="2035" spans="1:1" x14ac:dyDescent="0.25">
      <c r="A2035" t="s">
        <v>161</v>
      </c>
    </row>
    <row r="2036" spans="1:1" x14ac:dyDescent="0.25">
      <c r="A2036" t="s">
        <v>162</v>
      </c>
    </row>
    <row r="2037" spans="1:1" x14ac:dyDescent="0.25">
      <c r="A2037" t="s">
        <v>163</v>
      </c>
    </row>
    <row r="2038" spans="1:1" x14ac:dyDescent="0.25">
      <c r="A2038" t="s">
        <v>164</v>
      </c>
    </row>
    <row r="2039" spans="1:1" x14ac:dyDescent="0.25">
      <c r="A2039" t="s">
        <v>165</v>
      </c>
    </row>
    <row r="2040" spans="1:1" x14ac:dyDescent="0.25">
      <c r="A2040" t="s">
        <v>166</v>
      </c>
    </row>
    <row r="2041" spans="1:1" x14ac:dyDescent="0.25">
      <c r="A2041" t="s">
        <v>167</v>
      </c>
    </row>
    <row r="2042" spans="1:1" x14ac:dyDescent="0.25">
      <c r="A2042" t="s">
        <v>168</v>
      </c>
    </row>
    <row r="2043" spans="1:1" x14ac:dyDescent="0.25">
      <c r="A2043" t="s">
        <v>169</v>
      </c>
    </row>
    <row r="2044" spans="1:1" x14ac:dyDescent="0.25">
      <c r="A2044" t="s">
        <v>170</v>
      </c>
    </row>
    <row r="2045" spans="1:1" x14ac:dyDescent="0.25">
      <c r="A2045" t="s">
        <v>171</v>
      </c>
    </row>
    <row r="2046" spans="1:1" x14ac:dyDescent="0.25">
      <c r="A2046" t="s">
        <v>172</v>
      </c>
    </row>
    <row r="2047" spans="1:1" x14ac:dyDescent="0.25">
      <c r="A2047" t="s">
        <v>173</v>
      </c>
    </row>
    <row r="2048" spans="1:1" x14ac:dyDescent="0.25">
      <c r="A2048" t="s">
        <v>174</v>
      </c>
    </row>
    <row r="2049" spans="1:1" x14ac:dyDescent="0.25">
      <c r="A2049" t="s">
        <v>175</v>
      </c>
    </row>
    <row r="2050" spans="1:1" x14ac:dyDescent="0.25">
      <c r="A2050" t="s">
        <v>176</v>
      </c>
    </row>
    <row r="2051" spans="1:1" x14ac:dyDescent="0.25">
      <c r="A2051" t="s">
        <v>177</v>
      </c>
    </row>
    <row r="2052" spans="1:1" x14ac:dyDescent="0.25">
      <c r="A2052" t="s">
        <v>178</v>
      </c>
    </row>
    <row r="2053" spans="1:1" x14ac:dyDescent="0.25">
      <c r="A2053" t="s">
        <v>179</v>
      </c>
    </row>
    <row r="2054" spans="1:1" x14ac:dyDescent="0.25">
      <c r="A2054" t="s">
        <v>180</v>
      </c>
    </row>
    <row r="2055" spans="1:1" x14ac:dyDescent="0.25">
      <c r="A2055" t="s">
        <v>181</v>
      </c>
    </row>
    <row r="2056" spans="1:1" x14ac:dyDescent="0.25">
      <c r="A2056" t="s">
        <v>182</v>
      </c>
    </row>
    <row r="2057" spans="1:1" x14ac:dyDescent="0.25">
      <c r="A2057" t="s">
        <v>183</v>
      </c>
    </row>
    <row r="2058" spans="1:1" x14ac:dyDescent="0.25">
      <c r="A2058" t="s">
        <v>184</v>
      </c>
    </row>
    <row r="2059" spans="1:1" x14ac:dyDescent="0.25">
      <c r="A2059" t="s">
        <v>185</v>
      </c>
    </row>
    <row r="2060" spans="1:1" x14ac:dyDescent="0.25">
      <c r="A2060" t="s">
        <v>186</v>
      </c>
    </row>
    <row r="2061" spans="1:1" x14ac:dyDescent="0.25">
      <c r="A2061" t="s">
        <v>187</v>
      </c>
    </row>
    <row r="2062" spans="1:1" x14ac:dyDescent="0.25">
      <c r="A2062" t="s">
        <v>188</v>
      </c>
    </row>
    <row r="2063" spans="1:1" x14ac:dyDescent="0.25">
      <c r="A2063" t="s">
        <v>189</v>
      </c>
    </row>
    <row r="2064" spans="1:1" x14ac:dyDescent="0.25">
      <c r="A2064" t="s">
        <v>190</v>
      </c>
    </row>
    <row r="2065" spans="1:1" x14ac:dyDescent="0.25">
      <c r="A2065" t="s">
        <v>191</v>
      </c>
    </row>
    <row r="2066" spans="1:1" x14ac:dyDescent="0.25">
      <c r="A2066" t="s">
        <v>192</v>
      </c>
    </row>
    <row r="2067" spans="1:1" x14ac:dyDescent="0.25">
      <c r="A2067" t="s">
        <v>193</v>
      </c>
    </row>
    <row r="2068" spans="1:1" x14ac:dyDescent="0.25">
      <c r="A2068" t="s">
        <v>194</v>
      </c>
    </row>
    <row r="2069" spans="1:1" x14ac:dyDescent="0.25">
      <c r="A2069" t="s">
        <v>195</v>
      </c>
    </row>
    <row r="2070" spans="1:1" x14ac:dyDescent="0.25">
      <c r="A2070" t="s">
        <v>196</v>
      </c>
    </row>
    <row r="2071" spans="1:1" x14ac:dyDescent="0.25">
      <c r="A2071" t="s">
        <v>197</v>
      </c>
    </row>
    <row r="2072" spans="1:1" x14ac:dyDescent="0.25">
      <c r="A2072" t="s">
        <v>198</v>
      </c>
    </row>
    <row r="2073" spans="1:1" x14ac:dyDescent="0.25">
      <c r="A2073" t="s">
        <v>199</v>
      </c>
    </row>
    <row r="2074" spans="1:1" x14ac:dyDescent="0.25">
      <c r="A2074" t="s">
        <v>200</v>
      </c>
    </row>
    <row r="2075" spans="1:1" x14ac:dyDescent="0.25">
      <c r="A2075" t="s">
        <v>201</v>
      </c>
    </row>
    <row r="2076" spans="1:1" x14ac:dyDescent="0.25">
      <c r="A2076" t="s">
        <v>202</v>
      </c>
    </row>
    <row r="2077" spans="1:1" x14ac:dyDescent="0.25">
      <c r="A2077" t="s">
        <v>203</v>
      </c>
    </row>
    <row r="2078" spans="1:1" x14ac:dyDescent="0.25">
      <c r="A2078" t="s">
        <v>204</v>
      </c>
    </row>
    <row r="2079" spans="1:1" x14ac:dyDescent="0.25">
      <c r="A2079" t="s">
        <v>205</v>
      </c>
    </row>
    <row r="2080" spans="1:1" x14ac:dyDescent="0.25">
      <c r="A2080" t="s">
        <v>206</v>
      </c>
    </row>
    <row r="2081" spans="1:1" x14ac:dyDescent="0.25">
      <c r="A2081" t="s">
        <v>207</v>
      </c>
    </row>
    <row r="2082" spans="1:1" x14ac:dyDescent="0.25">
      <c r="A2082" t="s">
        <v>208</v>
      </c>
    </row>
    <row r="2083" spans="1:1" x14ac:dyDescent="0.25">
      <c r="A2083" t="s">
        <v>209</v>
      </c>
    </row>
    <row r="2084" spans="1:1" x14ac:dyDescent="0.25">
      <c r="A2084" t="s">
        <v>210</v>
      </c>
    </row>
    <row r="2085" spans="1:1" x14ac:dyDescent="0.25">
      <c r="A2085" t="s">
        <v>211</v>
      </c>
    </row>
    <row r="2086" spans="1:1" x14ac:dyDescent="0.25">
      <c r="A2086" t="s">
        <v>212</v>
      </c>
    </row>
    <row r="2087" spans="1:1" x14ac:dyDescent="0.25">
      <c r="A2087" t="s">
        <v>213</v>
      </c>
    </row>
    <row r="2088" spans="1:1" x14ac:dyDescent="0.25">
      <c r="A2088" t="s">
        <v>214</v>
      </c>
    </row>
    <row r="2089" spans="1:1" x14ac:dyDescent="0.25">
      <c r="A2089" t="s">
        <v>215</v>
      </c>
    </row>
    <row r="2090" spans="1:1" x14ac:dyDescent="0.25">
      <c r="A2090" t="s">
        <v>216</v>
      </c>
    </row>
    <row r="2091" spans="1:1" x14ac:dyDescent="0.25">
      <c r="A2091" t="s">
        <v>217</v>
      </c>
    </row>
    <row r="2092" spans="1:1" x14ac:dyDescent="0.25">
      <c r="A2092" t="s">
        <v>218</v>
      </c>
    </row>
    <row r="2093" spans="1:1" x14ac:dyDescent="0.25">
      <c r="A2093" t="s">
        <v>219</v>
      </c>
    </row>
    <row r="2094" spans="1:1" x14ac:dyDescent="0.25">
      <c r="A2094" t="s">
        <v>220</v>
      </c>
    </row>
    <row r="2095" spans="1:1" x14ac:dyDescent="0.25">
      <c r="A2095" t="s">
        <v>221</v>
      </c>
    </row>
    <row r="2096" spans="1:1" x14ac:dyDescent="0.25">
      <c r="A2096" t="s">
        <v>222</v>
      </c>
    </row>
    <row r="2097" spans="1:1" x14ac:dyDescent="0.25">
      <c r="A2097" t="s">
        <v>223</v>
      </c>
    </row>
    <row r="2098" spans="1:1" x14ac:dyDescent="0.25">
      <c r="A2098" t="s">
        <v>224</v>
      </c>
    </row>
    <row r="2099" spans="1:1" x14ac:dyDescent="0.25">
      <c r="A2099" t="s">
        <v>225</v>
      </c>
    </row>
    <row r="2100" spans="1:1" x14ac:dyDescent="0.25">
      <c r="A2100" t="s">
        <v>226</v>
      </c>
    </row>
    <row r="2101" spans="1:1" x14ac:dyDescent="0.25">
      <c r="A2101" t="s">
        <v>227</v>
      </c>
    </row>
    <row r="2102" spans="1:1" x14ac:dyDescent="0.25">
      <c r="A2102" t="s">
        <v>228</v>
      </c>
    </row>
    <row r="2103" spans="1:1" x14ac:dyDescent="0.25">
      <c r="A2103" t="s">
        <v>229</v>
      </c>
    </row>
    <row r="2104" spans="1:1" x14ac:dyDescent="0.25">
      <c r="A2104" t="s">
        <v>230</v>
      </c>
    </row>
    <row r="2105" spans="1:1" x14ac:dyDescent="0.25">
      <c r="A2105" t="s">
        <v>231</v>
      </c>
    </row>
    <row r="2106" spans="1:1" x14ac:dyDescent="0.25">
      <c r="A2106" t="s">
        <v>232</v>
      </c>
    </row>
    <row r="2107" spans="1:1" x14ac:dyDescent="0.25">
      <c r="A2107" t="s">
        <v>233</v>
      </c>
    </row>
    <row r="2108" spans="1:1" x14ac:dyDescent="0.25">
      <c r="A2108" t="s">
        <v>234</v>
      </c>
    </row>
    <row r="2109" spans="1:1" x14ac:dyDescent="0.25">
      <c r="A2109" t="s">
        <v>235</v>
      </c>
    </row>
    <row r="2110" spans="1:1" x14ac:dyDescent="0.25">
      <c r="A2110" t="s">
        <v>236</v>
      </c>
    </row>
    <row r="2111" spans="1:1" x14ac:dyDescent="0.25">
      <c r="A2111" t="s">
        <v>237</v>
      </c>
    </row>
    <row r="2112" spans="1:1" x14ac:dyDescent="0.25">
      <c r="A2112" t="s">
        <v>238</v>
      </c>
    </row>
    <row r="2113" spans="1:1" x14ac:dyDescent="0.25">
      <c r="A2113" t="s">
        <v>239</v>
      </c>
    </row>
    <row r="2114" spans="1:1" x14ac:dyDescent="0.25">
      <c r="A2114" t="s">
        <v>240</v>
      </c>
    </row>
    <row r="2115" spans="1:1" x14ac:dyDescent="0.25">
      <c r="A2115" t="s">
        <v>241</v>
      </c>
    </row>
    <row r="2116" spans="1:1" x14ac:dyDescent="0.25">
      <c r="A2116" t="s">
        <v>242</v>
      </c>
    </row>
    <row r="2117" spans="1:1" x14ac:dyDescent="0.25">
      <c r="A2117" t="s">
        <v>243</v>
      </c>
    </row>
    <row r="2118" spans="1:1" x14ac:dyDescent="0.25">
      <c r="A2118" t="s">
        <v>244</v>
      </c>
    </row>
    <row r="2119" spans="1:1" x14ac:dyDescent="0.25">
      <c r="A2119" t="s">
        <v>245</v>
      </c>
    </row>
    <row r="2120" spans="1:1" x14ac:dyDescent="0.25">
      <c r="A2120" t="s">
        <v>246</v>
      </c>
    </row>
    <row r="2121" spans="1:1" x14ac:dyDescent="0.25">
      <c r="A2121" t="s">
        <v>247</v>
      </c>
    </row>
    <row r="2122" spans="1:1" x14ac:dyDescent="0.25">
      <c r="A2122" t="s">
        <v>248</v>
      </c>
    </row>
    <row r="2123" spans="1:1" x14ac:dyDescent="0.25">
      <c r="A2123" t="s">
        <v>249</v>
      </c>
    </row>
    <row r="2124" spans="1:1" x14ac:dyDescent="0.25">
      <c r="A2124" t="s">
        <v>250</v>
      </c>
    </row>
    <row r="2125" spans="1:1" x14ac:dyDescent="0.25">
      <c r="A2125" t="s">
        <v>251</v>
      </c>
    </row>
    <row r="2126" spans="1:1" x14ac:dyDescent="0.25">
      <c r="A2126" t="s">
        <v>252</v>
      </c>
    </row>
    <row r="2127" spans="1:1" x14ac:dyDescent="0.25">
      <c r="A2127" t="s">
        <v>32</v>
      </c>
    </row>
    <row r="2128" spans="1:1" x14ac:dyDescent="0.25">
      <c r="A2128" t="s">
        <v>253</v>
      </c>
    </row>
    <row r="2129" spans="1:1" x14ac:dyDescent="0.25">
      <c r="A2129" t="s">
        <v>254</v>
      </c>
    </row>
    <row r="2130" spans="1:1" x14ac:dyDescent="0.25">
      <c r="A2130" t="s">
        <v>255</v>
      </c>
    </row>
    <row r="2131" spans="1:1" x14ac:dyDescent="0.25">
      <c r="A2131" t="s">
        <v>256</v>
      </c>
    </row>
    <row r="2132" spans="1:1" x14ac:dyDescent="0.25">
      <c r="A2132" t="s">
        <v>257</v>
      </c>
    </row>
    <row r="2133" spans="1:1" x14ac:dyDescent="0.25">
      <c r="A2133" t="s">
        <v>258</v>
      </c>
    </row>
    <row r="2134" spans="1:1" x14ac:dyDescent="0.25">
      <c r="A2134" t="s">
        <v>259</v>
      </c>
    </row>
    <row r="2135" spans="1:1" x14ac:dyDescent="0.25">
      <c r="A2135" t="s">
        <v>260</v>
      </c>
    </row>
    <row r="2136" spans="1:1" x14ac:dyDescent="0.25">
      <c r="A2136" t="s">
        <v>261</v>
      </c>
    </row>
    <row r="2137" spans="1:1" x14ac:dyDescent="0.25">
      <c r="A2137" t="s">
        <v>262</v>
      </c>
    </row>
    <row r="2138" spans="1:1" x14ac:dyDescent="0.25">
      <c r="A2138" t="s">
        <v>263</v>
      </c>
    </row>
    <row r="2139" spans="1:1" x14ac:dyDescent="0.25">
      <c r="A2139" t="s">
        <v>264</v>
      </c>
    </row>
    <row r="2140" spans="1:1" x14ac:dyDescent="0.25">
      <c r="A2140" t="s">
        <v>265</v>
      </c>
    </row>
    <row r="2141" spans="1:1" x14ac:dyDescent="0.25">
      <c r="A2141" t="s">
        <v>266</v>
      </c>
    </row>
    <row r="2142" spans="1:1" x14ac:dyDescent="0.25">
      <c r="A2142" t="s">
        <v>267</v>
      </c>
    </row>
    <row r="2143" spans="1:1" x14ac:dyDescent="0.25">
      <c r="A2143" t="s">
        <v>268</v>
      </c>
    </row>
    <row r="2144" spans="1:1" x14ac:dyDescent="0.25">
      <c r="A2144" t="s">
        <v>269</v>
      </c>
    </row>
    <row r="2145" spans="1:1" x14ac:dyDescent="0.25">
      <c r="A2145" t="s">
        <v>270</v>
      </c>
    </row>
    <row r="2146" spans="1:1" x14ac:dyDescent="0.25">
      <c r="A2146" t="s">
        <v>271</v>
      </c>
    </row>
    <row r="2147" spans="1:1" x14ac:dyDescent="0.25">
      <c r="A2147" t="s">
        <v>272</v>
      </c>
    </row>
    <row r="2148" spans="1:1" x14ac:dyDescent="0.25">
      <c r="A2148" t="s">
        <v>273</v>
      </c>
    </row>
    <row r="2149" spans="1:1" x14ac:dyDescent="0.25">
      <c r="A2149" t="s">
        <v>274</v>
      </c>
    </row>
    <row r="2150" spans="1:1" x14ac:dyDescent="0.25">
      <c r="A2150" t="s">
        <v>275</v>
      </c>
    </row>
    <row r="2151" spans="1:1" x14ac:dyDescent="0.25">
      <c r="A2151" t="s">
        <v>276</v>
      </c>
    </row>
    <row r="2152" spans="1:1" x14ac:dyDescent="0.25">
      <c r="A2152" t="s">
        <v>277</v>
      </c>
    </row>
    <row r="2153" spans="1:1" x14ac:dyDescent="0.25">
      <c r="A2153" t="s">
        <v>278</v>
      </c>
    </row>
    <row r="2154" spans="1:1" x14ac:dyDescent="0.25">
      <c r="A2154" t="s">
        <v>279</v>
      </c>
    </row>
    <row r="2155" spans="1:1" x14ac:dyDescent="0.25">
      <c r="A2155" t="s">
        <v>280</v>
      </c>
    </row>
    <row r="2156" spans="1:1" x14ac:dyDescent="0.25">
      <c r="A2156" t="s">
        <v>281</v>
      </c>
    </row>
    <row r="2157" spans="1:1" x14ac:dyDescent="0.25">
      <c r="A2157" t="s">
        <v>282</v>
      </c>
    </row>
    <row r="2158" spans="1:1" x14ac:dyDescent="0.25">
      <c r="A2158" t="s">
        <v>283</v>
      </c>
    </row>
    <row r="2159" spans="1:1" x14ac:dyDescent="0.25">
      <c r="A2159" t="s">
        <v>284</v>
      </c>
    </row>
    <row r="2160" spans="1:1" x14ac:dyDescent="0.25">
      <c r="A2160" t="s">
        <v>285</v>
      </c>
    </row>
    <row r="2161" spans="1:1" x14ac:dyDescent="0.25">
      <c r="A2161" t="s">
        <v>286</v>
      </c>
    </row>
    <row r="2162" spans="1:1" x14ac:dyDescent="0.25">
      <c r="A2162" t="s">
        <v>287</v>
      </c>
    </row>
    <row r="2163" spans="1:1" x14ac:dyDescent="0.25">
      <c r="A2163" t="s">
        <v>288</v>
      </c>
    </row>
    <row r="2164" spans="1:1" x14ac:dyDescent="0.25">
      <c r="A2164" t="s">
        <v>289</v>
      </c>
    </row>
    <row r="2165" spans="1:1" x14ac:dyDescent="0.25">
      <c r="A2165" t="s">
        <v>290</v>
      </c>
    </row>
    <row r="2166" spans="1:1" x14ac:dyDescent="0.25">
      <c r="A2166" t="s">
        <v>291</v>
      </c>
    </row>
    <row r="2167" spans="1:1" x14ac:dyDescent="0.25">
      <c r="A2167" t="s">
        <v>292</v>
      </c>
    </row>
    <row r="2168" spans="1:1" x14ac:dyDescent="0.25">
      <c r="A2168" t="s">
        <v>293</v>
      </c>
    </row>
    <row r="2169" spans="1:1" x14ac:dyDescent="0.25">
      <c r="A2169" t="s">
        <v>294</v>
      </c>
    </row>
    <row r="2170" spans="1:1" x14ac:dyDescent="0.25">
      <c r="A2170" t="s">
        <v>295</v>
      </c>
    </row>
    <row r="2171" spans="1:1" x14ac:dyDescent="0.25">
      <c r="A2171" t="s">
        <v>296</v>
      </c>
    </row>
    <row r="2172" spans="1:1" x14ac:dyDescent="0.25">
      <c r="A2172" t="s">
        <v>297</v>
      </c>
    </row>
    <row r="2173" spans="1:1" x14ac:dyDescent="0.25">
      <c r="A2173" t="s">
        <v>298</v>
      </c>
    </row>
    <row r="2174" spans="1:1" x14ac:dyDescent="0.25">
      <c r="A2174" t="s">
        <v>299</v>
      </c>
    </row>
    <row r="2175" spans="1:1" x14ac:dyDescent="0.25">
      <c r="A2175" t="s">
        <v>300</v>
      </c>
    </row>
    <row r="2176" spans="1:1" x14ac:dyDescent="0.25">
      <c r="A2176" t="s">
        <v>301</v>
      </c>
    </row>
    <row r="2177" spans="1:1" x14ac:dyDescent="0.25">
      <c r="A2177" t="s">
        <v>302</v>
      </c>
    </row>
    <row r="2178" spans="1:1" x14ac:dyDescent="0.25">
      <c r="A2178" t="s">
        <v>303</v>
      </c>
    </row>
    <row r="2179" spans="1:1" x14ac:dyDescent="0.25">
      <c r="A2179" t="s">
        <v>304</v>
      </c>
    </row>
    <row r="2180" spans="1:1" x14ac:dyDescent="0.25">
      <c r="A2180" t="s">
        <v>305</v>
      </c>
    </row>
    <row r="2181" spans="1:1" x14ac:dyDescent="0.25">
      <c r="A2181" t="s">
        <v>306</v>
      </c>
    </row>
    <row r="2182" spans="1:1" x14ac:dyDescent="0.25">
      <c r="A2182" t="s">
        <v>307</v>
      </c>
    </row>
    <row r="2183" spans="1:1" x14ac:dyDescent="0.25">
      <c r="A2183" t="s">
        <v>308</v>
      </c>
    </row>
    <row r="2184" spans="1:1" x14ac:dyDescent="0.25">
      <c r="A2184" t="s">
        <v>309</v>
      </c>
    </row>
    <row r="2185" spans="1:1" x14ac:dyDescent="0.25">
      <c r="A2185" t="s">
        <v>310</v>
      </c>
    </row>
    <row r="2186" spans="1:1" x14ac:dyDescent="0.25">
      <c r="A2186" t="s">
        <v>311</v>
      </c>
    </row>
    <row r="2187" spans="1:1" x14ac:dyDescent="0.25">
      <c r="A2187" t="s">
        <v>312</v>
      </c>
    </row>
    <row r="2188" spans="1:1" x14ac:dyDescent="0.25">
      <c r="A2188" t="s">
        <v>313</v>
      </c>
    </row>
    <row r="2189" spans="1:1" x14ac:dyDescent="0.25">
      <c r="A2189" t="s">
        <v>314</v>
      </c>
    </row>
    <row r="2190" spans="1:1" x14ac:dyDescent="0.25">
      <c r="A2190" t="s">
        <v>315</v>
      </c>
    </row>
    <row r="2191" spans="1:1" x14ac:dyDescent="0.25">
      <c r="A2191" t="s">
        <v>316</v>
      </c>
    </row>
    <row r="2192" spans="1:1" x14ac:dyDescent="0.25">
      <c r="A2192" t="s">
        <v>317</v>
      </c>
    </row>
    <row r="2193" spans="1:1" x14ac:dyDescent="0.25">
      <c r="A2193" t="s">
        <v>318</v>
      </c>
    </row>
    <row r="2194" spans="1:1" x14ac:dyDescent="0.25">
      <c r="A2194" t="s">
        <v>319</v>
      </c>
    </row>
    <row r="2195" spans="1:1" x14ac:dyDescent="0.25">
      <c r="A2195" t="s">
        <v>320</v>
      </c>
    </row>
    <row r="2196" spans="1:1" x14ac:dyDescent="0.25">
      <c r="A2196" t="s">
        <v>321</v>
      </c>
    </row>
    <row r="2197" spans="1:1" x14ac:dyDescent="0.25">
      <c r="A2197" t="s">
        <v>322</v>
      </c>
    </row>
    <row r="2198" spans="1:1" x14ac:dyDescent="0.25">
      <c r="A2198" t="s">
        <v>323</v>
      </c>
    </row>
    <row r="2199" spans="1:1" x14ac:dyDescent="0.25">
      <c r="A2199" t="s">
        <v>324</v>
      </c>
    </row>
    <row r="2200" spans="1:1" x14ac:dyDescent="0.25">
      <c r="A2200" t="s">
        <v>325</v>
      </c>
    </row>
    <row r="2201" spans="1:1" x14ac:dyDescent="0.25">
      <c r="A2201" t="s">
        <v>326</v>
      </c>
    </row>
    <row r="2202" spans="1:1" x14ac:dyDescent="0.25">
      <c r="A2202" t="s">
        <v>327</v>
      </c>
    </row>
    <row r="2203" spans="1:1" x14ac:dyDescent="0.25">
      <c r="A2203" t="s">
        <v>328</v>
      </c>
    </row>
    <row r="2204" spans="1:1" x14ac:dyDescent="0.25">
      <c r="A2204" t="s">
        <v>329</v>
      </c>
    </row>
    <row r="2205" spans="1:1" x14ac:dyDescent="0.25">
      <c r="A2205" t="s">
        <v>330</v>
      </c>
    </row>
    <row r="2206" spans="1:1" x14ac:dyDescent="0.25">
      <c r="A2206" t="s">
        <v>331</v>
      </c>
    </row>
    <row r="2207" spans="1:1" x14ac:dyDescent="0.25">
      <c r="A2207" t="s">
        <v>332</v>
      </c>
    </row>
    <row r="2208" spans="1:1" x14ac:dyDescent="0.25">
      <c r="A2208" t="s">
        <v>333</v>
      </c>
    </row>
    <row r="2209" spans="1:1" x14ac:dyDescent="0.25">
      <c r="A2209" t="s">
        <v>334</v>
      </c>
    </row>
    <row r="2210" spans="1:1" x14ac:dyDescent="0.25">
      <c r="A2210" t="s">
        <v>335</v>
      </c>
    </row>
    <row r="2211" spans="1:1" x14ac:dyDescent="0.25">
      <c r="A2211" t="s">
        <v>336</v>
      </c>
    </row>
    <row r="2212" spans="1:1" x14ac:dyDescent="0.25">
      <c r="A2212" t="s">
        <v>337</v>
      </c>
    </row>
    <row r="2213" spans="1:1" x14ac:dyDescent="0.25">
      <c r="A2213" t="s">
        <v>338</v>
      </c>
    </row>
    <row r="2214" spans="1:1" x14ac:dyDescent="0.25">
      <c r="A2214" t="s">
        <v>339</v>
      </c>
    </row>
    <row r="2215" spans="1:1" x14ac:dyDescent="0.25">
      <c r="A2215" t="s">
        <v>340</v>
      </c>
    </row>
    <row r="2216" spans="1:1" x14ac:dyDescent="0.25">
      <c r="A2216" t="s">
        <v>341</v>
      </c>
    </row>
    <row r="2217" spans="1:1" x14ac:dyDescent="0.25">
      <c r="A2217" t="s">
        <v>342</v>
      </c>
    </row>
    <row r="2218" spans="1:1" x14ac:dyDescent="0.25">
      <c r="A2218" t="s">
        <v>343</v>
      </c>
    </row>
    <row r="2219" spans="1:1" x14ac:dyDescent="0.25">
      <c r="A2219" t="s">
        <v>344</v>
      </c>
    </row>
    <row r="2220" spans="1:1" x14ac:dyDescent="0.25">
      <c r="A2220" t="s">
        <v>345</v>
      </c>
    </row>
    <row r="2221" spans="1:1" x14ac:dyDescent="0.25">
      <c r="A2221" t="s">
        <v>346</v>
      </c>
    </row>
    <row r="2222" spans="1:1" x14ac:dyDescent="0.25">
      <c r="A2222" t="s">
        <v>347</v>
      </c>
    </row>
    <row r="2223" spans="1:1" x14ac:dyDescent="0.25">
      <c r="A2223" t="s">
        <v>348</v>
      </c>
    </row>
    <row r="2224" spans="1:1" x14ac:dyDescent="0.25">
      <c r="A2224" t="s">
        <v>349</v>
      </c>
    </row>
    <row r="2225" spans="1:1" x14ac:dyDescent="0.25">
      <c r="A2225" t="s">
        <v>350</v>
      </c>
    </row>
    <row r="2226" spans="1:1" x14ac:dyDescent="0.25">
      <c r="A2226" t="s">
        <v>351</v>
      </c>
    </row>
    <row r="2227" spans="1:1" x14ac:dyDescent="0.25">
      <c r="A2227" t="s">
        <v>352</v>
      </c>
    </row>
    <row r="2228" spans="1:1" x14ac:dyDescent="0.25">
      <c r="A2228" t="s">
        <v>353</v>
      </c>
    </row>
    <row r="2229" spans="1:1" x14ac:dyDescent="0.25">
      <c r="A2229" t="s">
        <v>354</v>
      </c>
    </row>
    <row r="2230" spans="1:1" x14ac:dyDescent="0.25">
      <c r="A2230" t="s">
        <v>355</v>
      </c>
    </row>
    <row r="2231" spans="1:1" x14ac:dyDescent="0.25">
      <c r="A2231" t="s">
        <v>356</v>
      </c>
    </row>
    <row r="2232" spans="1:1" x14ac:dyDescent="0.25">
      <c r="A2232" t="s">
        <v>357</v>
      </c>
    </row>
    <row r="2233" spans="1:1" x14ac:dyDescent="0.25">
      <c r="A2233" t="s">
        <v>358</v>
      </c>
    </row>
    <row r="2234" spans="1:1" x14ac:dyDescent="0.25">
      <c r="A2234" t="s">
        <v>359</v>
      </c>
    </row>
    <row r="2235" spans="1:1" x14ac:dyDescent="0.25">
      <c r="A2235" t="s">
        <v>360</v>
      </c>
    </row>
    <row r="2236" spans="1:1" x14ac:dyDescent="0.25">
      <c r="A2236" t="s">
        <v>361</v>
      </c>
    </row>
    <row r="2237" spans="1:1" x14ac:dyDescent="0.25">
      <c r="A2237" t="s">
        <v>362</v>
      </c>
    </row>
    <row r="2238" spans="1:1" x14ac:dyDescent="0.25">
      <c r="A2238" t="s">
        <v>363</v>
      </c>
    </row>
    <row r="2239" spans="1:1" x14ac:dyDescent="0.25">
      <c r="A2239" t="s">
        <v>364</v>
      </c>
    </row>
    <row r="2240" spans="1:1" x14ac:dyDescent="0.25">
      <c r="A2240" t="s">
        <v>365</v>
      </c>
    </row>
    <row r="2241" spans="1:1" x14ac:dyDescent="0.25">
      <c r="A2241" t="s">
        <v>366</v>
      </c>
    </row>
    <row r="2242" spans="1:1" x14ac:dyDescent="0.25">
      <c r="A2242" t="s">
        <v>367</v>
      </c>
    </row>
    <row r="2243" spans="1:1" x14ac:dyDescent="0.25">
      <c r="A2243" t="s">
        <v>368</v>
      </c>
    </row>
    <row r="2244" spans="1:1" x14ac:dyDescent="0.25">
      <c r="A2244" t="s">
        <v>369</v>
      </c>
    </row>
    <row r="2245" spans="1:1" x14ac:dyDescent="0.25">
      <c r="A2245" t="s">
        <v>370</v>
      </c>
    </row>
    <row r="2246" spans="1:1" x14ac:dyDescent="0.25">
      <c r="A2246" t="s">
        <v>371</v>
      </c>
    </row>
    <row r="2247" spans="1:1" x14ac:dyDescent="0.25">
      <c r="A2247" t="s">
        <v>372</v>
      </c>
    </row>
    <row r="2248" spans="1:1" x14ac:dyDescent="0.25">
      <c r="A2248" t="s">
        <v>373</v>
      </c>
    </row>
    <row r="2249" spans="1:1" x14ac:dyDescent="0.25">
      <c r="A2249" t="s">
        <v>374</v>
      </c>
    </row>
    <row r="2250" spans="1:1" x14ac:dyDescent="0.25">
      <c r="A2250" t="s">
        <v>375</v>
      </c>
    </row>
    <row r="2251" spans="1:1" x14ac:dyDescent="0.25">
      <c r="A2251" t="s">
        <v>376</v>
      </c>
    </row>
    <row r="2252" spans="1:1" x14ac:dyDescent="0.25">
      <c r="A2252" t="s">
        <v>377</v>
      </c>
    </row>
    <row r="2253" spans="1:1" x14ac:dyDescent="0.25">
      <c r="A2253" t="s">
        <v>378</v>
      </c>
    </row>
    <row r="2254" spans="1:1" x14ac:dyDescent="0.25">
      <c r="A2254" t="s">
        <v>379</v>
      </c>
    </row>
    <row r="2255" spans="1:1" x14ac:dyDescent="0.25">
      <c r="A2255" t="s">
        <v>380</v>
      </c>
    </row>
    <row r="2256" spans="1:1" x14ac:dyDescent="0.25">
      <c r="A2256" t="s">
        <v>381</v>
      </c>
    </row>
    <row r="2257" spans="1:1" x14ac:dyDescent="0.25">
      <c r="A2257" t="s">
        <v>382</v>
      </c>
    </row>
    <row r="2258" spans="1:1" x14ac:dyDescent="0.25">
      <c r="A2258" t="s">
        <v>383</v>
      </c>
    </row>
    <row r="2259" spans="1:1" x14ac:dyDescent="0.25">
      <c r="A2259" t="s">
        <v>384</v>
      </c>
    </row>
    <row r="2260" spans="1:1" x14ac:dyDescent="0.25">
      <c r="A2260" t="s">
        <v>385</v>
      </c>
    </row>
    <row r="2261" spans="1:1" x14ac:dyDescent="0.25">
      <c r="A2261" t="s">
        <v>386</v>
      </c>
    </row>
    <row r="2262" spans="1:1" x14ac:dyDescent="0.25">
      <c r="A2262" t="s">
        <v>387</v>
      </c>
    </row>
    <row r="2263" spans="1:1" x14ac:dyDescent="0.25">
      <c r="A2263" t="s">
        <v>388</v>
      </c>
    </row>
    <row r="2264" spans="1:1" x14ac:dyDescent="0.25">
      <c r="A2264" t="s">
        <v>389</v>
      </c>
    </row>
    <row r="2265" spans="1:1" x14ac:dyDescent="0.25">
      <c r="A2265" t="s">
        <v>390</v>
      </c>
    </row>
    <row r="2266" spans="1:1" x14ac:dyDescent="0.25">
      <c r="A2266" t="s">
        <v>391</v>
      </c>
    </row>
    <row r="2267" spans="1:1" x14ac:dyDescent="0.25">
      <c r="A2267" t="s">
        <v>392</v>
      </c>
    </row>
    <row r="2268" spans="1:1" x14ac:dyDescent="0.25">
      <c r="A2268" t="s">
        <v>393</v>
      </c>
    </row>
    <row r="2269" spans="1:1" x14ac:dyDescent="0.25">
      <c r="A2269" t="s">
        <v>394</v>
      </c>
    </row>
    <row r="2270" spans="1:1" x14ac:dyDescent="0.25">
      <c r="A2270" t="s">
        <v>395</v>
      </c>
    </row>
    <row r="2271" spans="1:1" x14ac:dyDescent="0.25">
      <c r="A2271" t="s">
        <v>396</v>
      </c>
    </row>
    <row r="2272" spans="1:1" x14ac:dyDescent="0.25">
      <c r="A2272" t="s">
        <v>397</v>
      </c>
    </row>
    <row r="2273" spans="1:1" x14ac:dyDescent="0.25">
      <c r="A2273" t="s">
        <v>398</v>
      </c>
    </row>
    <row r="2274" spans="1:1" x14ac:dyDescent="0.25">
      <c r="A2274" t="s">
        <v>399</v>
      </c>
    </row>
    <row r="2275" spans="1:1" x14ac:dyDescent="0.25">
      <c r="A2275" t="s">
        <v>400</v>
      </c>
    </row>
    <row r="2276" spans="1:1" x14ac:dyDescent="0.25">
      <c r="A2276" t="s">
        <v>401</v>
      </c>
    </row>
    <row r="2277" spans="1:1" x14ac:dyDescent="0.25">
      <c r="A2277" t="s">
        <v>402</v>
      </c>
    </row>
    <row r="2278" spans="1:1" x14ac:dyDescent="0.25">
      <c r="A2278" t="s">
        <v>403</v>
      </c>
    </row>
    <row r="2279" spans="1:1" x14ac:dyDescent="0.25">
      <c r="A2279" t="s">
        <v>404</v>
      </c>
    </row>
    <row r="2280" spans="1:1" x14ac:dyDescent="0.25">
      <c r="A2280" t="s">
        <v>405</v>
      </c>
    </row>
    <row r="2281" spans="1:1" x14ac:dyDescent="0.25">
      <c r="A2281" t="s">
        <v>406</v>
      </c>
    </row>
    <row r="2282" spans="1:1" x14ac:dyDescent="0.25">
      <c r="A2282" t="s">
        <v>407</v>
      </c>
    </row>
    <row r="2283" spans="1:1" x14ac:dyDescent="0.25">
      <c r="A2283" t="s">
        <v>408</v>
      </c>
    </row>
    <row r="2284" spans="1:1" x14ac:dyDescent="0.25">
      <c r="A2284" t="s">
        <v>409</v>
      </c>
    </row>
    <row r="2285" spans="1:1" x14ac:dyDescent="0.25">
      <c r="A2285" t="s">
        <v>410</v>
      </c>
    </row>
    <row r="2286" spans="1:1" x14ac:dyDescent="0.25">
      <c r="A2286" t="s">
        <v>411</v>
      </c>
    </row>
    <row r="2287" spans="1:1" x14ac:dyDescent="0.25">
      <c r="A2287" t="s">
        <v>417</v>
      </c>
    </row>
    <row r="2288" spans="1:1" x14ac:dyDescent="0.25">
      <c r="A2288" t="s">
        <v>37</v>
      </c>
    </row>
    <row r="2289" spans="1:1" x14ac:dyDescent="0.25">
      <c r="A2289" t="s">
        <v>38</v>
      </c>
    </row>
    <row r="2290" spans="1:1" x14ac:dyDescent="0.25">
      <c r="A2290" t="s">
        <v>39</v>
      </c>
    </row>
    <row r="2291" spans="1:1" x14ac:dyDescent="0.25">
      <c r="A2291" t="s">
        <v>31</v>
      </c>
    </row>
    <row r="2292" spans="1:1" x14ac:dyDescent="0.25">
      <c r="A2292" t="s">
        <v>40</v>
      </c>
    </row>
    <row r="2293" spans="1:1" x14ac:dyDescent="0.25">
      <c r="A2293" t="s">
        <v>23</v>
      </c>
    </row>
    <row r="2294" spans="1:1" x14ac:dyDescent="0.25">
      <c r="A2294" t="s">
        <v>41</v>
      </c>
    </row>
    <row r="2295" spans="1:1" x14ac:dyDescent="0.25">
      <c r="A2295" t="s">
        <v>42</v>
      </c>
    </row>
    <row r="2296" spans="1:1" x14ac:dyDescent="0.25">
      <c r="A2296" t="s">
        <v>43</v>
      </c>
    </row>
    <row r="2297" spans="1:1" x14ac:dyDescent="0.25">
      <c r="A2297" t="s">
        <v>44</v>
      </c>
    </row>
    <row r="2298" spans="1:1" x14ac:dyDescent="0.25">
      <c r="A2298" t="s">
        <v>45</v>
      </c>
    </row>
    <row r="2299" spans="1:1" x14ac:dyDescent="0.25">
      <c r="A2299" t="s">
        <v>46</v>
      </c>
    </row>
    <row r="2300" spans="1:1" x14ac:dyDescent="0.25">
      <c r="A2300" t="s">
        <v>47</v>
      </c>
    </row>
    <row r="2301" spans="1:1" x14ac:dyDescent="0.25">
      <c r="A2301" t="s">
        <v>48</v>
      </c>
    </row>
    <row r="2302" spans="1:1" x14ac:dyDescent="0.25">
      <c r="A2302" t="s">
        <v>49</v>
      </c>
    </row>
    <row r="2303" spans="1:1" x14ac:dyDescent="0.25">
      <c r="A2303" t="s">
        <v>50</v>
      </c>
    </row>
    <row r="2304" spans="1:1" x14ac:dyDescent="0.25">
      <c r="A2304" t="s">
        <v>51</v>
      </c>
    </row>
    <row r="2305" spans="1:1" x14ac:dyDescent="0.25">
      <c r="A2305" t="s">
        <v>52</v>
      </c>
    </row>
    <row r="2306" spans="1:1" x14ac:dyDescent="0.25">
      <c r="A2306" t="s">
        <v>53</v>
      </c>
    </row>
    <row r="2307" spans="1:1" x14ac:dyDescent="0.25">
      <c r="A2307" t="s">
        <v>54</v>
      </c>
    </row>
    <row r="2308" spans="1:1" x14ac:dyDescent="0.25">
      <c r="A2308" t="s">
        <v>55</v>
      </c>
    </row>
    <row r="2309" spans="1:1" x14ac:dyDescent="0.25">
      <c r="A2309" t="s">
        <v>56</v>
      </c>
    </row>
    <row r="2310" spans="1:1" x14ac:dyDescent="0.25">
      <c r="A2310" t="s">
        <v>25</v>
      </c>
    </row>
    <row r="2311" spans="1:1" x14ac:dyDescent="0.25">
      <c r="A2311" t="s">
        <v>57</v>
      </c>
    </row>
    <row r="2312" spans="1:1" x14ac:dyDescent="0.25">
      <c r="A2312" t="s">
        <v>27</v>
      </c>
    </row>
    <row r="2313" spans="1:1" x14ac:dyDescent="0.25">
      <c r="A2313" t="s">
        <v>58</v>
      </c>
    </row>
    <row r="2314" spans="1:1" x14ac:dyDescent="0.25">
      <c r="A2314" t="s">
        <v>59</v>
      </c>
    </row>
    <row r="2315" spans="1:1" x14ac:dyDescent="0.25">
      <c r="A2315" t="s">
        <v>60</v>
      </c>
    </row>
    <row r="2316" spans="1:1" x14ac:dyDescent="0.25">
      <c r="A2316" t="s">
        <v>61</v>
      </c>
    </row>
    <row r="2317" spans="1:1" x14ac:dyDescent="0.25">
      <c r="A2317" t="s">
        <v>62</v>
      </c>
    </row>
    <row r="2318" spans="1:1" x14ac:dyDescent="0.25">
      <c r="A2318" t="s">
        <v>63</v>
      </c>
    </row>
    <row r="2319" spans="1:1" x14ac:dyDescent="0.25">
      <c r="A2319" t="s">
        <v>64</v>
      </c>
    </row>
    <row r="2320" spans="1:1" x14ac:dyDescent="0.25">
      <c r="A2320" t="s">
        <v>65</v>
      </c>
    </row>
    <row r="2321" spans="1:1" x14ac:dyDescent="0.25">
      <c r="A2321" t="s">
        <v>66</v>
      </c>
    </row>
    <row r="2322" spans="1:1" x14ac:dyDescent="0.25">
      <c r="A2322" t="s">
        <v>67</v>
      </c>
    </row>
    <row r="2323" spans="1:1" x14ac:dyDescent="0.25">
      <c r="A2323" t="s">
        <v>68</v>
      </c>
    </row>
    <row r="2324" spans="1:1" x14ac:dyDescent="0.25">
      <c r="A2324" t="s">
        <v>69</v>
      </c>
    </row>
    <row r="2325" spans="1:1" x14ac:dyDescent="0.25">
      <c r="A2325" t="s">
        <v>70</v>
      </c>
    </row>
    <row r="2326" spans="1:1" x14ac:dyDescent="0.25">
      <c r="A2326" t="s">
        <v>71</v>
      </c>
    </row>
    <row r="2327" spans="1:1" x14ac:dyDescent="0.25">
      <c r="A2327" t="s">
        <v>72</v>
      </c>
    </row>
    <row r="2328" spans="1:1" x14ac:dyDescent="0.25">
      <c r="A2328" t="s">
        <v>73</v>
      </c>
    </row>
    <row r="2329" spans="1:1" x14ac:dyDescent="0.25">
      <c r="A2329" t="s">
        <v>74</v>
      </c>
    </row>
    <row r="2330" spans="1:1" x14ac:dyDescent="0.25">
      <c r="A2330" t="s">
        <v>75</v>
      </c>
    </row>
    <row r="2331" spans="1:1" x14ac:dyDescent="0.25">
      <c r="A2331" t="s">
        <v>76</v>
      </c>
    </row>
    <row r="2332" spans="1:1" x14ac:dyDescent="0.25">
      <c r="A2332" t="s">
        <v>77</v>
      </c>
    </row>
    <row r="2333" spans="1:1" x14ac:dyDescent="0.25">
      <c r="A2333" t="s">
        <v>78</v>
      </c>
    </row>
    <row r="2334" spans="1:1" x14ac:dyDescent="0.25">
      <c r="A2334" t="s">
        <v>79</v>
      </c>
    </row>
    <row r="2335" spans="1:1" x14ac:dyDescent="0.25">
      <c r="A2335" t="s">
        <v>80</v>
      </c>
    </row>
    <row r="2336" spans="1:1" x14ac:dyDescent="0.25">
      <c r="A2336" t="s">
        <v>81</v>
      </c>
    </row>
    <row r="2337" spans="1:1" x14ac:dyDescent="0.25">
      <c r="A2337" t="s">
        <v>82</v>
      </c>
    </row>
    <row r="2338" spans="1:1" x14ac:dyDescent="0.25">
      <c r="A2338" t="s">
        <v>83</v>
      </c>
    </row>
    <row r="2339" spans="1:1" x14ac:dyDescent="0.25">
      <c r="A2339" t="s">
        <v>84</v>
      </c>
    </row>
    <row r="2340" spans="1:1" x14ac:dyDescent="0.25">
      <c r="A2340" t="s">
        <v>85</v>
      </c>
    </row>
    <row r="2341" spans="1:1" x14ac:dyDescent="0.25">
      <c r="A2341" t="s">
        <v>86</v>
      </c>
    </row>
    <row r="2342" spans="1:1" x14ac:dyDescent="0.25">
      <c r="A2342" t="s">
        <v>87</v>
      </c>
    </row>
    <row r="2343" spans="1:1" x14ac:dyDescent="0.25">
      <c r="A2343" t="s">
        <v>88</v>
      </c>
    </row>
    <row r="2344" spans="1:1" x14ac:dyDescent="0.25">
      <c r="A2344" t="s">
        <v>89</v>
      </c>
    </row>
    <row r="2345" spans="1:1" x14ac:dyDescent="0.25">
      <c r="A2345" t="s">
        <v>90</v>
      </c>
    </row>
    <row r="2346" spans="1:1" x14ac:dyDescent="0.25">
      <c r="A2346" t="s">
        <v>91</v>
      </c>
    </row>
    <row r="2347" spans="1:1" x14ac:dyDescent="0.25">
      <c r="A2347" t="s">
        <v>92</v>
      </c>
    </row>
    <row r="2348" spans="1:1" x14ac:dyDescent="0.25">
      <c r="A2348" t="s">
        <v>93</v>
      </c>
    </row>
    <row r="2349" spans="1:1" x14ac:dyDescent="0.25">
      <c r="A2349" t="s">
        <v>94</v>
      </c>
    </row>
    <row r="2350" spans="1:1" x14ac:dyDescent="0.25">
      <c r="A2350" t="s">
        <v>95</v>
      </c>
    </row>
    <row r="2351" spans="1:1" x14ac:dyDescent="0.25">
      <c r="A2351" t="s">
        <v>96</v>
      </c>
    </row>
    <row r="2352" spans="1:1" x14ac:dyDescent="0.25">
      <c r="A2352" t="s">
        <v>97</v>
      </c>
    </row>
    <row r="2353" spans="1:1" x14ac:dyDescent="0.25">
      <c r="A2353" t="s">
        <v>98</v>
      </c>
    </row>
    <row r="2354" spans="1:1" x14ac:dyDescent="0.25">
      <c r="A2354" t="s">
        <v>99</v>
      </c>
    </row>
    <row r="2355" spans="1:1" x14ac:dyDescent="0.25">
      <c r="A2355" t="s">
        <v>100</v>
      </c>
    </row>
    <row r="2356" spans="1:1" x14ac:dyDescent="0.25">
      <c r="A2356" t="s">
        <v>101</v>
      </c>
    </row>
    <row r="2357" spans="1:1" x14ac:dyDescent="0.25">
      <c r="A2357" t="s">
        <v>102</v>
      </c>
    </row>
    <row r="2358" spans="1:1" x14ac:dyDescent="0.25">
      <c r="A2358" t="s">
        <v>103</v>
      </c>
    </row>
    <row r="2359" spans="1:1" x14ac:dyDescent="0.25">
      <c r="A2359" t="s">
        <v>104</v>
      </c>
    </row>
    <row r="2360" spans="1:1" x14ac:dyDescent="0.25">
      <c r="A2360" t="s">
        <v>105</v>
      </c>
    </row>
    <row r="2361" spans="1:1" x14ac:dyDescent="0.25">
      <c r="A2361" t="s">
        <v>106</v>
      </c>
    </row>
    <row r="2362" spans="1:1" x14ac:dyDescent="0.25">
      <c r="A2362" t="s">
        <v>107</v>
      </c>
    </row>
    <row r="2363" spans="1:1" x14ac:dyDescent="0.25">
      <c r="A2363" t="s">
        <v>108</v>
      </c>
    </row>
    <row r="2364" spans="1:1" x14ac:dyDescent="0.25">
      <c r="A2364" t="s">
        <v>109</v>
      </c>
    </row>
    <row r="2365" spans="1:1" x14ac:dyDescent="0.25">
      <c r="A2365" t="s">
        <v>110</v>
      </c>
    </row>
    <row r="2366" spans="1:1" x14ac:dyDescent="0.25">
      <c r="A2366" t="s">
        <v>111</v>
      </c>
    </row>
    <row r="2367" spans="1:1" x14ac:dyDescent="0.25">
      <c r="A2367" t="s">
        <v>112</v>
      </c>
    </row>
    <row r="2368" spans="1:1" x14ac:dyDescent="0.25">
      <c r="A2368" t="s">
        <v>113</v>
      </c>
    </row>
    <row r="2369" spans="1:1" x14ac:dyDescent="0.25">
      <c r="A2369" t="s">
        <v>114</v>
      </c>
    </row>
    <row r="2370" spans="1:1" x14ac:dyDescent="0.25">
      <c r="A2370" t="s">
        <v>115</v>
      </c>
    </row>
    <row r="2371" spans="1:1" x14ac:dyDescent="0.25">
      <c r="A2371" t="s">
        <v>116</v>
      </c>
    </row>
    <row r="2372" spans="1:1" x14ac:dyDescent="0.25">
      <c r="A2372" t="s">
        <v>117</v>
      </c>
    </row>
    <row r="2373" spans="1:1" x14ac:dyDescent="0.25">
      <c r="A2373" t="s">
        <v>118</v>
      </c>
    </row>
    <row r="2374" spans="1:1" x14ac:dyDescent="0.25">
      <c r="A2374" t="s">
        <v>119</v>
      </c>
    </row>
    <row r="2375" spans="1:1" x14ac:dyDescent="0.25">
      <c r="A2375" t="s">
        <v>120</v>
      </c>
    </row>
    <row r="2376" spans="1:1" x14ac:dyDescent="0.25">
      <c r="A2376" t="s">
        <v>121</v>
      </c>
    </row>
    <row r="2377" spans="1:1" x14ac:dyDescent="0.25">
      <c r="A2377" t="s">
        <v>122</v>
      </c>
    </row>
    <row r="2378" spans="1:1" x14ac:dyDescent="0.25">
      <c r="A2378" t="s">
        <v>123</v>
      </c>
    </row>
    <row r="2379" spans="1:1" x14ac:dyDescent="0.25">
      <c r="A2379" t="s">
        <v>124</v>
      </c>
    </row>
    <row r="2380" spans="1:1" x14ac:dyDescent="0.25">
      <c r="A2380" t="s">
        <v>125</v>
      </c>
    </row>
    <row r="2381" spans="1:1" x14ac:dyDescent="0.25">
      <c r="A2381" t="s">
        <v>126</v>
      </c>
    </row>
    <row r="2382" spans="1:1" x14ac:dyDescent="0.25">
      <c r="A2382" t="s">
        <v>127</v>
      </c>
    </row>
    <row r="2383" spans="1:1" x14ac:dyDescent="0.25">
      <c r="A2383" t="s">
        <v>128</v>
      </c>
    </row>
    <row r="2384" spans="1:1" x14ac:dyDescent="0.25">
      <c r="A2384" t="s">
        <v>129</v>
      </c>
    </row>
    <row r="2385" spans="1:1" x14ac:dyDescent="0.25">
      <c r="A2385" t="s">
        <v>130</v>
      </c>
    </row>
    <row r="2386" spans="1:1" x14ac:dyDescent="0.25">
      <c r="A2386" t="s">
        <v>131</v>
      </c>
    </row>
    <row r="2387" spans="1:1" x14ac:dyDescent="0.25">
      <c r="A2387" t="s">
        <v>132</v>
      </c>
    </row>
    <row r="2388" spans="1:1" x14ac:dyDescent="0.25">
      <c r="A2388" t="s">
        <v>133</v>
      </c>
    </row>
    <row r="2389" spans="1:1" x14ac:dyDescent="0.25">
      <c r="A2389" t="s">
        <v>134</v>
      </c>
    </row>
    <row r="2390" spans="1:1" x14ac:dyDescent="0.25">
      <c r="A2390" t="s">
        <v>135</v>
      </c>
    </row>
    <row r="2391" spans="1:1" x14ac:dyDescent="0.25">
      <c r="A2391" t="s">
        <v>136</v>
      </c>
    </row>
    <row r="2392" spans="1:1" x14ac:dyDescent="0.25">
      <c r="A2392" t="s">
        <v>137</v>
      </c>
    </row>
    <row r="2393" spans="1:1" x14ac:dyDescent="0.25">
      <c r="A2393" t="s">
        <v>138</v>
      </c>
    </row>
    <row r="2394" spans="1:1" x14ac:dyDescent="0.25">
      <c r="A2394" t="s">
        <v>139</v>
      </c>
    </row>
    <row r="2395" spans="1:1" x14ac:dyDescent="0.25">
      <c r="A2395" t="s">
        <v>140</v>
      </c>
    </row>
    <row r="2396" spans="1:1" x14ac:dyDescent="0.25">
      <c r="A2396" t="s">
        <v>141</v>
      </c>
    </row>
    <row r="2397" spans="1:1" x14ac:dyDescent="0.25">
      <c r="A2397" t="s">
        <v>142</v>
      </c>
    </row>
    <row r="2398" spans="1:1" x14ac:dyDescent="0.25">
      <c r="A2398" t="s">
        <v>143</v>
      </c>
    </row>
    <row r="2399" spans="1:1" x14ac:dyDescent="0.25">
      <c r="A2399" t="s">
        <v>144</v>
      </c>
    </row>
    <row r="2400" spans="1:1" x14ac:dyDescent="0.25">
      <c r="A2400" t="s">
        <v>145</v>
      </c>
    </row>
    <row r="2401" spans="1:1" x14ac:dyDescent="0.25">
      <c r="A2401" t="s">
        <v>146</v>
      </c>
    </row>
    <row r="2402" spans="1:1" x14ac:dyDescent="0.25">
      <c r="A2402" t="s">
        <v>147</v>
      </c>
    </row>
    <row r="2403" spans="1:1" x14ac:dyDescent="0.25">
      <c r="A2403" t="s">
        <v>148</v>
      </c>
    </row>
    <row r="2404" spans="1:1" x14ac:dyDescent="0.25">
      <c r="A2404" t="s">
        <v>149</v>
      </c>
    </row>
    <row r="2405" spans="1:1" x14ac:dyDescent="0.25">
      <c r="A2405" t="s">
        <v>150</v>
      </c>
    </row>
    <row r="2406" spans="1:1" x14ac:dyDescent="0.25">
      <c r="A2406" t="s">
        <v>151</v>
      </c>
    </row>
    <row r="2407" spans="1:1" x14ac:dyDescent="0.25">
      <c r="A2407" t="s">
        <v>152</v>
      </c>
    </row>
    <row r="2408" spans="1:1" x14ac:dyDescent="0.25">
      <c r="A2408" t="s">
        <v>153</v>
      </c>
    </row>
    <row r="2409" spans="1:1" x14ac:dyDescent="0.25">
      <c r="A2409" t="s">
        <v>154</v>
      </c>
    </row>
    <row r="2410" spans="1:1" x14ac:dyDescent="0.25">
      <c r="A2410" t="s">
        <v>155</v>
      </c>
    </row>
    <row r="2411" spans="1:1" x14ac:dyDescent="0.25">
      <c r="A2411" t="s">
        <v>156</v>
      </c>
    </row>
    <row r="2412" spans="1:1" x14ac:dyDescent="0.25">
      <c r="A2412" t="s">
        <v>157</v>
      </c>
    </row>
    <row r="2413" spans="1:1" x14ac:dyDescent="0.25">
      <c r="A2413" t="s">
        <v>158</v>
      </c>
    </row>
    <row r="2414" spans="1:1" x14ac:dyDescent="0.25">
      <c r="A2414" t="s">
        <v>159</v>
      </c>
    </row>
    <row r="2415" spans="1:1" x14ac:dyDescent="0.25">
      <c r="A2415" t="s">
        <v>160</v>
      </c>
    </row>
    <row r="2416" spans="1:1" x14ac:dyDescent="0.25">
      <c r="A2416" t="s">
        <v>161</v>
      </c>
    </row>
    <row r="2417" spans="1:1" x14ac:dyDescent="0.25">
      <c r="A2417" t="s">
        <v>162</v>
      </c>
    </row>
    <row r="2418" spans="1:1" x14ac:dyDescent="0.25">
      <c r="A2418" t="s">
        <v>163</v>
      </c>
    </row>
    <row r="2419" spans="1:1" x14ac:dyDescent="0.25">
      <c r="A2419" t="s">
        <v>164</v>
      </c>
    </row>
    <row r="2420" spans="1:1" x14ac:dyDescent="0.25">
      <c r="A2420" t="s">
        <v>165</v>
      </c>
    </row>
    <row r="2421" spans="1:1" x14ac:dyDescent="0.25">
      <c r="A2421" t="s">
        <v>166</v>
      </c>
    </row>
    <row r="2422" spans="1:1" x14ac:dyDescent="0.25">
      <c r="A2422" t="s">
        <v>167</v>
      </c>
    </row>
    <row r="2423" spans="1:1" x14ac:dyDescent="0.25">
      <c r="A2423" t="s">
        <v>168</v>
      </c>
    </row>
    <row r="2424" spans="1:1" x14ac:dyDescent="0.25">
      <c r="A2424" t="s">
        <v>169</v>
      </c>
    </row>
    <row r="2425" spans="1:1" x14ac:dyDescent="0.25">
      <c r="A2425" t="s">
        <v>170</v>
      </c>
    </row>
    <row r="2426" spans="1:1" x14ac:dyDescent="0.25">
      <c r="A2426" t="s">
        <v>171</v>
      </c>
    </row>
    <row r="2427" spans="1:1" x14ac:dyDescent="0.25">
      <c r="A2427" t="s">
        <v>172</v>
      </c>
    </row>
    <row r="2428" spans="1:1" x14ac:dyDescent="0.25">
      <c r="A2428" t="s">
        <v>173</v>
      </c>
    </row>
    <row r="2429" spans="1:1" x14ac:dyDescent="0.25">
      <c r="A2429" t="s">
        <v>174</v>
      </c>
    </row>
    <row r="2430" spans="1:1" x14ac:dyDescent="0.25">
      <c r="A2430" t="s">
        <v>175</v>
      </c>
    </row>
    <row r="2431" spans="1:1" x14ac:dyDescent="0.25">
      <c r="A2431" t="s">
        <v>176</v>
      </c>
    </row>
    <row r="2432" spans="1:1" x14ac:dyDescent="0.25">
      <c r="A2432" t="s">
        <v>177</v>
      </c>
    </row>
    <row r="2433" spans="1:1" x14ac:dyDescent="0.25">
      <c r="A2433" t="s">
        <v>178</v>
      </c>
    </row>
    <row r="2434" spans="1:1" x14ac:dyDescent="0.25">
      <c r="A2434" t="s">
        <v>179</v>
      </c>
    </row>
    <row r="2435" spans="1:1" x14ac:dyDescent="0.25">
      <c r="A2435" t="s">
        <v>180</v>
      </c>
    </row>
    <row r="2436" spans="1:1" x14ac:dyDescent="0.25">
      <c r="A2436" t="s">
        <v>181</v>
      </c>
    </row>
    <row r="2437" spans="1:1" x14ac:dyDescent="0.25">
      <c r="A2437" t="s">
        <v>182</v>
      </c>
    </row>
    <row r="2438" spans="1:1" x14ac:dyDescent="0.25">
      <c r="A2438" t="s">
        <v>183</v>
      </c>
    </row>
    <row r="2439" spans="1:1" x14ac:dyDescent="0.25">
      <c r="A2439" t="s">
        <v>184</v>
      </c>
    </row>
    <row r="2440" spans="1:1" x14ac:dyDescent="0.25">
      <c r="A2440" t="s">
        <v>185</v>
      </c>
    </row>
    <row r="2441" spans="1:1" x14ac:dyDescent="0.25">
      <c r="A2441" t="s">
        <v>186</v>
      </c>
    </row>
    <row r="2442" spans="1:1" x14ac:dyDescent="0.25">
      <c r="A2442" t="s">
        <v>187</v>
      </c>
    </row>
    <row r="2443" spans="1:1" x14ac:dyDescent="0.25">
      <c r="A2443" t="s">
        <v>188</v>
      </c>
    </row>
    <row r="2444" spans="1:1" x14ac:dyDescent="0.25">
      <c r="A2444" t="s">
        <v>189</v>
      </c>
    </row>
    <row r="2445" spans="1:1" x14ac:dyDescent="0.25">
      <c r="A2445" t="s">
        <v>190</v>
      </c>
    </row>
    <row r="2446" spans="1:1" x14ac:dyDescent="0.25">
      <c r="A2446" t="s">
        <v>191</v>
      </c>
    </row>
    <row r="2447" spans="1:1" x14ac:dyDescent="0.25">
      <c r="A2447" t="s">
        <v>192</v>
      </c>
    </row>
    <row r="2448" spans="1:1" x14ac:dyDescent="0.25">
      <c r="A2448" t="s">
        <v>193</v>
      </c>
    </row>
    <row r="2449" spans="1:1" x14ac:dyDescent="0.25">
      <c r="A2449" t="s">
        <v>194</v>
      </c>
    </row>
    <row r="2450" spans="1:1" x14ac:dyDescent="0.25">
      <c r="A2450" t="s">
        <v>195</v>
      </c>
    </row>
    <row r="2451" spans="1:1" x14ac:dyDescent="0.25">
      <c r="A2451" t="s">
        <v>196</v>
      </c>
    </row>
    <row r="2452" spans="1:1" x14ac:dyDescent="0.25">
      <c r="A2452" t="s">
        <v>197</v>
      </c>
    </row>
    <row r="2453" spans="1:1" x14ac:dyDescent="0.25">
      <c r="A2453" t="s">
        <v>198</v>
      </c>
    </row>
    <row r="2454" spans="1:1" x14ac:dyDescent="0.25">
      <c r="A2454" t="s">
        <v>199</v>
      </c>
    </row>
    <row r="2455" spans="1:1" x14ac:dyDescent="0.25">
      <c r="A2455" t="s">
        <v>200</v>
      </c>
    </row>
    <row r="2456" spans="1:1" x14ac:dyDescent="0.25">
      <c r="A2456" t="s">
        <v>201</v>
      </c>
    </row>
    <row r="2457" spans="1:1" x14ac:dyDescent="0.25">
      <c r="A2457" t="s">
        <v>202</v>
      </c>
    </row>
    <row r="2458" spans="1:1" x14ac:dyDescent="0.25">
      <c r="A2458" t="s">
        <v>203</v>
      </c>
    </row>
    <row r="2459" spans="1:1" x14ac:dyDescent="0.25">
      <c r="A2459" t="s">
        <v>204</v>
      </c>
    </row>
    <row r="2460" spans="1:1" x14ac:dyDescent="0.25">
      <c r="A2460" t="s">
        <v>205</v>
      </c>
    </row>
    <row r="2461" spans="1:1" x14ac:dyDescent="0.25">
      <c r="A2461" t="s">
        <v>206</v>
      </c>
    </row>
    <row r="2462" spans="1:1" x14ac:dyDescent="0.25">
      <c r="A2462" t="s">
        <v>207</v>
      </c>
    </row>
    <row r="2463" spans="1:1" x14ac:dyDescent="0.25">
      <c r="A2463" t="s">
        <v>208</v>
      </c>
    </row>
    <row r="2464" spans="1:1" x14ac:dyDescent="0.25">
      <c r="A2464" t="s">
        <v>209</v>
      </c>
    </row>
    <row r="2465" spans="1:1" x14ac:dyDescent="0.25">
      <c r="A2465" t="s">
        <v>210</v>
      </c>
    </row>
    <row r="2466" spans="1:1" x14ac:dyDescent="0.25">
      <c r="A2466" t="s">
        <v>211</v>
      </c>
    </row>
    <row r="2467" spans="1:1" x14ac:dyDescent="0.25">
      <c r="A2467" t="s">
        <v>212</v>
      </c>
    </row>
    <row r="2468" spans="1:1" x14ac:dyDescent="0.25">
      <c r="A2468" t="s">
        <v>213</v>
      </c>
    </row>
    <row r="2469" spans="1:1" x14ac:dyDescent="0.25">
      <c r="A2469" t="s">
        <v>214</v>
      </c>
    </row>
    <row r="2470" spans="1:1" x14ac:dyDescent="0.25">
      <c r="A2470" t="s">
        <v>215</v>
      </c>
    </row>
    <row r="2471" spans="1:1" x14ac:dyDescent="0.25">
      <c r="A2471" t="s">
        <v>216</v>
      </c>
    </row>
    <row r="2472" spans="1:1" x14ac:dyDescent="0.25">
      <c r="A2472" t="s">
        <v>217</v>
      </c>
    </row>
    <row r="2473" spans="1:1" x14ac:dyDescent="0.25">
      <c r="A2473" t="s">
        <v>218</v>
      </c>
    </row>
    <row r="2474" spans="1:1" x14ac:dyDescent="0.25">
      <c r="A2474" t="s">
        <v>219</v>
      </c>
    </row>
    <row r="2475" spans="1:1" x14ac:dyDescent="0.25">
      <c r="A2475" t="s">
        <v>220</v>
      </c>
    </row>
    <row r="2476" spans="1:1" x14ac:dyDescent="0.25">
      <c r="A2476" t="s">
        <v>221</v>
      </c>
    </row>
    <row r="2477" spans="1:1" x14ac:dyDescent="0.25">
      <c r="A2477" t="s">
        <v>222</v>
      </c>
    </row>
    <row r="2478" spans="1:1" x14ac:dyDescent="0.25">
      <c r="A2478" t="s">
        <v>223</v>
      </c>
    </row>
    <row r="2479" spans="1:1" x14ac:dyDescent="0.25">
      <c r="A2479" t="s">
        <v>224</v>
      </c>
    </row>
    <row r="2480" spans="1:1" x14ac:dyDescent="0.25">
      <c r="A2480" t="s">
        <v>225</v>
      </c>
    </row>
    <row r="2481" spans="1:1" x14ac:dyDescent="0.25">
      <c r="A2481" t="s">
        <v>226</v>
      </c>
    </row>
    <row r="2482" spans="1:1" x14ac:dyDescent="0.25">
      <c r="A2482" t="s">
        <v>227</v>
      </c>
    </row>
    <row r="2483" spans="1:1" x14ac:dyDescent="0.25">
      <c r="A2483" t="s">
        <v>228</v>
      </c>
    </row>
    <row r="2484" spans="1:1" x14ac:dyDescent="0.25">
      <c r="A2484" t="s">
        <v>229</v>
      </c>
    </row>
    <row r="2485" spans="1:1" x14ac:dyDescent="0.25">
      <c r="A2485" t="s">
        <v>230</v>
      </c>
    </row>
    <row r="2486" spans="1:1" x14ac:dyDescent="0.25">
      <c r="A2486" t="s">
        <v>231</v>
      </c>
    </row>
    <row r="2487" spans="1:1" x14ac:dyDescent="0.25">
      <c r="A2487" t="s">
        <v>232</v>
      </c>
    </row>
    <row r="2488" spans="1:1" x14ac:dyDescent="0.25">
      <c r="A2488" t="s">
        <v>233</v>
      </c>
    </row>
    <row r="2489" spans="1:1" x14ac:dyDescent="0.25">
      <c r="A2489" t="s">
        <v>234</v>
      </c>
    </row>
    <row r="2490" spans="1:1" x14ac:dyDescent="0.25">
      <c r="A2490" t="s">
        <v>235</v>
      </c>
    </row>
    <row r="2491" spans="1:1" x14ac:dyDescent="0.25">
      <c r="A2491" t="s">
        <v>236</v>
      </c>
    </row>
    <row r="2492" spans="1:1" x14ac:dyDescent="0.25">
      <c r="A2492" t="s">
        <v>237</v>
      </c>
    </row>
    <row r="2493" spans="1:1" x14ac:dyDescent="0.25">
      <c r="A2493" t="s">
        <v>238</v>
      </c>
    </row>
    <row r="2494" spans="1:1" x14ac:dyDescent="0.25">
      <c r="A2494" t="s">
        <v>239</v>
      </c>
    </row>
    <row r="2495" spans="1:1" x14ac:dyDescent="0.25">
      <c r="A2495" t="s">
        <v>240</v>
      </c>
    </row>
    <row r="2496" spans="1:1" x14ac:dyDescent="0.25">
      <c r="A2496" t="s">
        <v>241</v>
      </c>
    </row>
    <row r="2497" spans="1:1" x14ac:dyDescent="0.25">
      <c r="A2497" t="s">
        <v>242</v>
      </c>
    </row>
    <row r="2498" spans="1:1" x14ac:dyDescent="0.25">
      <c r="A2498" t="s">
        <v>243</v>
      </c>
    </row>
    <row r="2499" spans="1:1" x14ac:dyDescent="0.25">
      <c r="A2499" t="s">
        <v>244</v>
      </c>
    </row>
    <row r="2500" spans="1:1" x14ac:dyDescent="0.25">
      <c r="A2500" t="s">
        <v>245</v>
      </c>
    </row>
    <row r="2501" spans="1:1" x14ac:dyDescent="0.25">
      <c r="A2501" t="s">
        <v>246</v>
      </c>
    </row>
    <row r="2502" spans="1:1" x14ac:dyDescent="0.25">
      <c r="A2502" t="s">
        <v>247</v>
      </c>
    </row>
    <row r="2503" spans="1:1" x14ac:dyDescent="0.25">
      <c r="A2503" t="s">
        <v>248</v>
      </c>
    </row>
    <row r="2504" spans="1:1" x14ac:dyDescent="0.25">
      <c r="A2504" t="s">
        <v>249</v>
      </c>
    </row>
    <row r="2505" spans="1:1" x14ac:dyDescent="0.25">
      <c r="A2505" t="s">
        <v>250</v>
      </c>
    </row>
    <row r="2506" spans="1:1" x14ac:dyDescent="0.25">
      <c r="A2506" t="s">
        <v>251</v>
      </c>
    </row>
    <row r="2507" spans="1:1" x14ac:dyDescent="0.25">
      <c r="A2507" t="s">
        <v>252</v>
      </c>
    </row>
    <row r="2508" spans="1:1" x14ac:dyDescent="0.25">
      <c r="A2508" t="s">
        <v>32</v>
      </c>
    </row>
    <row r="2509" spans="1:1" x14ac:dyDescent="0.25">
      <c r="A2509" t="s">
        <v>253</v>
      </c>
    </row>
    <row r="2510" spans="1:1" x14ac:dyDescent="0.25">
      <c r="A2510" t="s">
        <v>254</v>
      </c>
    </row>
    <row r="2511" spans="1:1" x14ac:dyDescent="0.25">
      <c r="A2511" t="s">
        <v>255</v>
      </c>
    </row>
    <row r="2512" spans="1:1" x14ac:dyDescent="0.25">
      <c r="A2512" t="s">
        <v>256</v>
      </c>
    </row>
    <row r="2513" spans="1:1" x14ac:dyDescent="0.25">
      <c r="A2513" t="s">
        <v>257</v>
      </c>
    </row>
    <row r="2514" spans="1:1" x14ac:dyDescent="0.25">
      <c r="A2514" t="s">
        <v>258</v>
      </c>
    </row>
    <row r="2515" spans="1:1" x14ac:dyDescent="0.25">
      <c r="A2515" t="s">
        <v>259</v>
      </c>
    </row>
    <row r="2516" spans="1:1" x14ac:dyDescent="0.25">
      <c r="A2516" t="s">
        <v>260</v>
      </c>
    </row>
    <row r="2517" spans="1:1" x14ac:dyDescent="0.25">
      <c r="A2517" t="s">
        <v>261</v>
      </c>
    </row>
    <row r="2518" spans="1:1" x14ac:dyDescent="0.25">
      <c r="A2518" t="s">
        <v>262</v>
      </c>
    </row>
    <row r="2519" spans="1:1" x14ac:dyDescent="0.25">
      <c r="A2519" t="s">
        <v>263</v>
      </c>
    </row>
    <row r="2520" spans="1:1" x14ac:dyDescent="0.25">
      <c r="A2520" t="s">
        <v>264</v>
      </c>
    </row>
    <row r="2521" spans="1:1" x14ac:dyDescent="0.25">
      <c r="A2521" t="s">
        <v>265</v>
      </c>
    </row>
    <row r="2522" spans="1:1" x14ac:dyDescent="0.25">
      <c r="A2522" t="s">
        <v>266</v>
      </c>
    </row>
    <row r="2523" spans="1:1" x14ac:dyDescent="0.25">
      <c r="A2523" t="s">
        <v>267</v>
      </c>
    </row>
    <row r="2524" spans="1:1" x14ac:dyDescent="0.25">
      <c r="A2524" t="s">
        <v>268</v>
      </c>
    </row>
    <row r="2525" spans="1:1" x14ac:dyDescent="0.25">
      <c r="A2525" t="s">
        <v>269</v>
      </c>
    </row>
    <row r="2526" spans="1:1" x14ac:dyDescent="0.25">
      <c r="A2526" t="s">
        <v>270</v>
      </c>
    </row>
    <row r="2527" spans="1:1" x14ac:dyDescent="0.25">
      <c r="A2527" t="s">
        <v>271</v>
      </c>
    </row>
    <row r="2528" spans="1:1" x14ac:dyDescent="0.25">
      <c r="A2528" t="s">
        <v>272</v>
      </c>
    </row>
    <row r="2529" spans="1:1" x14ac:dyDescent="0.25">
      <c r="A2529" t="s">
        <v>273</v>
      </c>
    </row>
    <row r="2530" spans="1:1" x14ac:dyDescent="0.25">
      <c r="A2530" t="s">
        <v>274</v>
      </c>
    </row>
    <row r="2531" spans="1:1" x14ac:dyDescent="0.25">
      <c r="A2531" t="s">
        <v>275</v>
      </c>
    </row>
    <row r="2532" spans="1:1" x14ac:dyDescent="0.25">
      <c r="A2532" t="s">
        <v>276</v>
      </c>
    </row>
    <row r="2533" spans="1:1" x14ac:dyDescent="0.25">
      <c r="A2533" t="s">
        <v>277</v>
      </c>
    </row>
    <row r="2534" spans="1:1" x14ac:dyDescent="0.25">
      <c r="A2534" t="s">
        <v>278</v>
      </c>
    </row>
    <row r="2535" spans="1:1" x14ac:dyDescent="0.25">
      <c r="A2535" t="s">
        <v>279</v>
      </c>
    </row>
    <row r="2536" spans="1:1" x14ac:dyDescent="0.25">
      <c r="A2536" t="s">
        <v>280</v>
      </c>
    </row>
    <row r="2537" spans="1:1" x14ac:dyDescent="0.25">
      <c r="A2537" t="s">
        <v>281</v>
      </c>
    </row>
    <row r="2538" spans="1:1" x14ac:dyDescent="0.25">
      <c r="A2538" t="s">
        <v>282</v>
      </c>
    </row>
    <row r="2539" spans="1:1" x14ac:dyDescent="0.25">
      <c r="A2539" t="s">
        <v>283</v>
      </c>
    </row>
    <row r="2540" spans="1:1" x14ac:dyDescent="0.25">
      <c r="A2540" t="s">
        <v>284</v>
      </c>
    </row>
    <row r="2541" spans="1:1" x14ac:dyDescent="0.25">
      <c r="A2541" t="s">
        <v>285</v>
      </c>
    </row>
    <row r="2542" spans="1:1" x14ac:dyDescent="0.25">
      <c r="A2542" t="s">
        <v>286</v>
      </c>
    </row>
    <row r="2543" spans="1:1" x14ac:dyDescent="0.25">
      <c r="A2543" t="s">
        <v>287</v>
      </c>
    </row>
    <row r="2544" spans="1:1" x14ac:dyDescent="0.25">
      <c r="A2544" t="s">
        <v>288</v>
      </c>
    </row>
    <row r="2545" spans="1:1" x14ac:dyDescent="0.25">
      <c r="A2545" t="s">
        <v>289</v>
      </c>
    </row>
    <row r="2546" spans="1:1" x14ac:dyDescent="0.25">
      <c r="A2546" t="s">
        <v>290</v>
      </c>
    </row>
    <row r="2547" spans="1:1" x14ac:dyDescent="0.25">
      <c r="A2547" t="s">
        <v>291</v>
      </c>
    </row>
    <row r="2548" spans="1:1" x14ac:dyDescent="0.25">
      <c r="A2548" t="s">
        <v>292</v>
      </c>
    </row>
    <row r="2549" spans="1:1" x14ac:dyDescent="0.25">
      <c r="A2549" t="s">
        <v>293</v>
      </c>
    </row>
    <row r="2550" spans="1:1" x14ac:dyDescent="0.25">
      <c r="A2550" t="s">
        <v>294</v>
      </c>
    </row>
    <row r="2551" spans="1:1" x14ac:dyDescent="0.25">
      <c r="A2551" t="s">
        <v>295</v>
      </c>
    </row>
    <row r="2552" spans="1:1" x14ac:dyDescent="0.25">
      <c r="A2552" t="s">
        <v>296</v>
      </c>
    </row>
    <row r="2553" spans="1:1" x14ac:dyDescent="0.25">
      <c r="A2553" t="s">
        <v>297</v>
      </c>
    </row>
    <row r="2554" spans="1:1" x14ac:dyDescent="0.25">
      <c r="A2554" t="s">
        <v>298</v>
      </c>
    </row>
    <row r="2555" spans="1:1" x14ac:dyDescent="0.25">
      <c r="A2555" t="s">
        <v>299</v>
      </c>
    </row>
    <row r="2556" spans="1:1" x14ac:dyDescent="0.25">
      <c r="A2556" t="s">
        <v>300</v>
      </c>
    </row>
    <row r="2557" spans="1:1" x14ac:dyDescent="0.25">
      <c r="A2557" t="s">
        <v>301</v>
      </c>
    </row>
    <row r="2558" spans="1:1" x14ac:dyDescent="0.25">
      <c r="A2558" t="s">
        <v>302</v>
      </c>
    </row>
    <row r="2559" spans="1:1" x14ac:dyDescent="0.25">
      <c r="A2559" t="s">
        <v>303</v>
      </c>
    </row>
    <row r="2560" spans="1:1" x14ac:dyDescent="0.25">
      <c r="A2560" t="s">
        <v>304</v>
      </c>
    </row>
    <row r="2561" spans="1:1" x14ac:dyDescent="0.25">
      <c r="A2561" t="s">
        <v>305</v>
      </c>
    </row>
    <row r="2562" spans="1:1" x14ac:dyDescent="0.25">
      <c r="A2562" t="s">
        <v>306</v>
      </c>
    </row>
    <row r="2563" spans="1:1" x14ac:dyDescent="0.25">
      <c r="A2563" t="s">
        <v>307</v>
      </c>
    </row>
    <row r="2564" spans="1:1" x14ac:dyDescent="0.25">
      <c r="A2564" t="s">
        <v>308</v>
      </c>
    </row>
    <row r="2565" spans="1:1" x14ac:dyDescent="0.25">
      <c r="A2565" t="s">
        <v>309</v>
      </c>
    </row>
    <row r="2566" spans="1:1" x14ac:dyDescent="0.25">
      <c r="A2566" t="s">
        <v>310</v>
      </c>
    </row>
    <row r="2567" spans="1:1" x14ac:dyDescent="0.25">
      <c r="A2567" t="s">
        <v>311</v>
      </c>
    </row>
    <row r="2568" spans="1:1" x14ac:dyDescent="0.25">
      <c r="A2568" t="s">
        <v>312</v>
      </c>
    </row>
    <row r="2569" spans="1:1" x14ac:dyDescent="0.25">
      <c r="A2569" t="s">
        <v>313</v>
      </c>
    </row>
    <row r="2570" spans="1:1" x14ac:dyDescent="0.25">
      <c r="A2570" t="s">
        <v>314</v>
      </c>
    </row>
    <row r="2571" spans="1:1" x14ac:dyDescent="0.25">
      <c r="A2571" t="s">
        <v>315</v>
      </c>
    </row>
    <row r="2572" spans="1:1" x14ac:dyDescent="0.25">
      <c r="A2572" t="s">
        <v>316</v>
      </c>
    </row>
    <row r="2573" spans="1:1" x14ac:dyDescent="0.25">
      <c r="A2573" t="s">
        <v>317</v>
      </c>
    </row>
    <row r="2574" spans="1:1" x14ac:dyDescent="0.25">
      <c r="A2574" t="s">
        <v>318</v>
      </c>
    </row>
    <row r="2575" spans="1:1" x14ac:dyDescent="0.25">
      <c r="A2575" t="s">
        <v>319</v>
      </c>
    </row>
    <row r="2576" spans="1:1" x14ac:dyDescent="0.25">
      <c r="A2576" t="s">
        <v>320</v>
      </c>
    </row>
    <row r="2577" spans="1:1" x14ac:dyDescent="0.25">
      <c r="A2577" t="s">
        <v>321</v>
      </c>
    </row>
    <row r="2578" spans="1:1" x14ac:dyDescent="0.25">
      <c r="A2578" t="s">
        <v>322</v>
      </c>
    </row>
    <row r="2579" spans="1:1" x14ac:dyDescent="0.25">
      <c r="A2579" t="s">
        <v>323</v>
      </c>
    </row>
    <row r="2580" spans="1:1" x14ac:dyDescent="0.25">
      <c r="A2580" t="s">
        <v>324</v>
      </c>
    </row>
    <row r="2581" spans="1:1" x14ac:dyDescent="0.25">
      <c r="A2581" t="s">
        <v>325</v>
      </c>
    </row>
    <row r="2582" spans="1:1" x14ac:dyDescent="0.25">
      <c r="A2582" t="s">
        <v>326</v>
      </c>
    </row>
    <row r="2583" spans="1:1" x14ac:dyDescent="0.25">
      <c r="A2583" t="s">
        <v>327</v>
      </c>
    </row>
    <row r="2584" spans="1:1" x14ac:dyDescent="0.25">
      <c r="A2584" t="s">
        <v>328</v>
      </c>
    </row>
    <row r="2585" spans="1:1" x14ac:dyDescent="0.25">
      <c r="A2585" t="s">
        <v>329</v>
      </c>
    </row>
    <row r="2586" spans="1:1" x14ac:dyDescent="0.25">
      <c r="A2586" t="s">
        <v>330</v>
      </c>
    </row>
    <row r="2587" spans="1:1" x14ac:dyDescent="0.25">
      <c r="A2587" t="s">
        <v>331</v>
      </c>
    </row>
    <row r="2588" spans="1:1" x14ac:dyDescent="0.25">
      <c r="A2588" t="s">
        <v>332</v>
      </c>
    </row>
    <row r="2589" spans="1:1" x14ac:dyDescent="0.25">
      <c r="A2589" t="s">
        <v>333</v>
      </c>
    </row>
    <row r="2590" spans="1:1" x14ac:dyDescent="0.25">
      <c r="A2590" t="s">
        <v>334</v>
      </c>
    </row>
    <row r="2591" spans="1:1" x14ac:dyDescent="0.25">
      <c r="A2591" t="s">
        <v>335</v>
      </c>
    </row>
    <row r="2592" spans="1:1" x14ac:dyDescent="0.25">
      <c r="A2592" t="s">
        <v>336</v>
      </c>
    </row>
    <row r="2593" spans="1:1" x14ac:dyDescent="0.25">
      <c r="A2593" t="s">
        <v>337</v>
      </c>
    </row>
    <row r="2594" spans="1:1" x14ac:dyDescent="0.25">
      <c r="A2594" t="s">
        <v>338</v>
      </c>
    </row>
    <row r="2595" spans="1:1" x14ac:dyDescent="0.25">
      <c r="A2595" t="s">
        <v>339</v>
      </c>
    </row>
    <row r="2596" spans="1:1" x14ac:dyDescent="0.25">
      <c r="A2596" t="s">
        <v>340</v>
      </c>
    </row>
    <row r="2597" spans="1:1" x14ac:dyDescent="0.25">
      <c r="A2597" t="s">
        <v>341</v>
      </c>
    </row>
    <row r="2598" spans="1:1" x14ac:dyDescent="0.25">
      <c r="A2598" t="s">
        <v>342</v>
      </c>
    </row>
    <row r="2599" spans="1:1" x14ac:dyDescent="0.25">
      <c r="A2599" t="s">
        <v>343</v>
      </c>
    </row>
    <row r="2600" spans="1:1" x14ac:dyDescent="0.25">
      <c r="A2600" t="s">
        <v>344</v>
      </c>
    </row>
    <row r="2601" spans="1:1" x14ac:dyDescent="0.25">
      <c r="A2601" t="s">
        <v>345</v>
      </c>
    </row>
    <row r="2602" spans="1:1" x14ac:dyDescent="0.25">
      <c r="A2602" t="s">
        <v>346</v>
      </c>
    </row>
    <row r="2603" spans="1:1" x14ac:dyDescent="0.25">
      <c r="A2603" t="s">
        <v>347</v>
      </c>
    </row>
    <row r="2604" spans="1:1" x14ac:dyDescent="0.25">
      <c r="A2604" t="s">
        <v>348</v>
      </c>
    </row>
    <row r="2605" spans="1:1" x14ac:dyDescent="0.25">
      <c r="A2605" t="s">
        <v>349</v>
      </c>
    </row>
    <row r="2606" spans="1:1" x14ac:dyDescent="0.25">
      <c r="A2606" t="s">
        <v>350</v>
      </c>
    </row>
    <row r="2607" spans="1:1" x14ac:dyDescent="0.25">
      <c r="A2607" t="s">
        <v>351</v>
      </c>
    </row>
    <row r="2608" spans="1:1" x14ac:dyDescent="0.25">
      <c r="A2608" t="s">
        <v>352</v>
      </c>
    </row>
    <row r="2609" spans="1:1" x14ac:dyDescent="0.25">
      <c r="A2609" t="s">
        <v>353</v>
      </c>
    </row>
    <row r="2610" spans="1:1" x14ac:dyDescent="0.25">
      <c r="A2610" t="s">
        <v>354</v>
      </c>
    </row>
    <row r="2611" spans="1:1" x14ac:dyDescent="0.25">
      <c r="A2611" t="s">
        <v>355</v>
      </c>
    </row>
    <row r="2612" spans="1:1" x14ac:dyDescent="0.25">
      <c r="A2612" t="s">
        <v>356</v>
      </c>
    </row>
    <row r="2613" spans="1:1" x14ac:dyDescent="0.25">
      <c r="A2613" t="s">
        <v>357</v>
      </c>
    </row>
    <row r="2614" spans="1:1" x14ac:dyDescent="0.25">
      <c r="A2614" t="s">
        <v>358</v>
      </c>
    </row>
    <row r="2615" spans="1:1" x14ac:dyDescent="0.25">
      <c r="A2615" t="s">
        <v>359</v>
      </c>
    </row>
    <row r="2616" spans="1:1" x14ac:dyDescent="0.25">
      <c r="A2616" t="s">
        <v>360</v>
      </c>
    </row>
    <row r="2617" spans="1:1" x14ac:dyDescent="0.25">
      <c r="A2617" t="s">
        <v>361</v>
      </c>
    </row>
    <row r="2618" spans="1:1" x14ac:dyDescent="0.25">
      <c r="A2618" t="s">
        <v>362</v>
      </c>
    </row>
    <row r="2619" spans="1:1" x14ac:dyDescent="0.25">
      <c r="A2619" t="s">
        <v>363</v>
      </c>
    </row>
    <row r="2620" spans="1:1" x14ac:dyDescent="0.25">
      <c r="A2620" t="s">
        <v>364</v>
      </c>
    </row>
    <row r="2621" spans="1:1" x14ac:dyDescent="0.25">
      <c r="A2621" t="s">
        <v>365</v>
      </c>
    </row>
    <row r="2622" spans="1:1" x14ac:dyDescent="0.25">
      <c r="A2622" t="s">
        <v>366</v>
      </c>
    </row>
    <row r="2623" spans="1:1" x14ac:dyDescent="0.25">
      <c r="A2623" t="s">
        <v>367</v>
      </c>
    </row>
    <row r="2624" spans="1:1" x14ac:dyDescent="0.25">
      <c r="A2624" t="s">
        <v>368</v>
      </c>
    </row>
    <row r="2625" spans="1:1" x14ac:dyDescent="0.25">
      <c r="A2625" t="s">
        <v>369</v>
      </c>
    </row>
    <row r="2626" spans="1:1" x14ac:dyDescent="0.25">
      <c r="A2626" t="s">
        <v>370</v>
      </c>
    </row>
    <row r="2627" spans="1:1" x14ac:dyDescent="0.25">
      <c r="A2627" t="s">
        <v>371</v>
      </c>
    </row>
    <row r="2628" spans="1:1" x14ac:dyDescent="0.25">
      <c r="A2628" t="s">
        <v>372</v>
      </c>
    </row>
    <row r="2629" spans="1:1" x14ac:dyDescent="0.25">
      <c r="A2629" t="s">
        <v>373</v>
      </c>
    </row>
    <row r="2630" spans="1:1" x14ac:dyDescent="0.25">
      <c r="A2630" t="s">
        <v>374</v>
      </c>
    </row>
    <row r="2631" spans="1:1" x14ac:dyDescent="0.25">
      <c r="A2631" t="s">
        <v>375</v>
      </c>
    </row>
    <row r="2632" spans="1:1" x14ac:dyDescent="0.25">
      <c r="A2632" t="s">
        <v>376</v>
      </c>
    </row>
    <row r="2633" spans="1:1" x14ac:dyDescent="0.25">
      <c r="A2633" t="s">
        <v>377</v>
      </c>
    </row>
    <row r="2634" spans="1:1" x14ac:dyDescent="0.25">
      <c r="A2634" t="s">
        <v>378</v>
      </c>
    </row>
    <row r="2635" spans="1:1" x14ac:dyDescent="0.25">
      <c r="A2635" t="s">
        <v>379</v>
      </c>
    </row>
    <row r="2636" spans="1:1" x14ac:dyDescent="0.25">
      <c r="A2636" t="s">
        <v>380</v>
      </c>
    </row>
    <row r="2637" spans="1:1" x14ac:dyDescent="0.25">
      <c r="A2637" t="s">
        <v>381</v>
      </c>
    </row>
    <row r="2638" spans="1:1" x14ac:dyDescent="0.25">
      <c r="A2638" t="s">
        <v>382</v>
      </c>
    </row>
    <row r="2639" spans="1:1" x14ac:dyDescent="0.25">
      <c r="A2639" t="s">
        <v>383</v>
      </c>
    </row>
    <row r="2640" spans="1:1" x14ac:dyDescent="0.25">
      <c r="A2640" t="s">
        <v>384</v>
      </c>
    </row>
    <row r="2641" spans="1:1" x14ac:dyDescent="0.25">
      <c r="A2641" t="s">
        <v>385</v>
      </c>
    </row>
    <row r="2642" spans="1:1" x14ac:dyDescent="0.25">
      <c r="A2642" t="s">
        <v>386</v>
      </c>
    </row>
    <row r="2643" spans="1:1" x14ac:dyDescent="0.25">
      <c r="A2643" t="s">
        <v>387</v>
      </c>
    </row>
    <row r="2644" spans="1:1" x14ac:dyDescent="0.25">
      <c r="A2644" t="s">
        <v>388</v>
      </c>
    </row>
    <row r="2645" spans="1:1" x14ac:dyDescent="0.25">
      <c r="A2645" t="s">
        <v>389</v>
      </c>
    </row>
    <row r="2646" spans="1:1" x14ac:dyDescent="0.25">
      <c r="A2646" t="s">
        <v>390</v>
      </c>
    </row>
    <row r="2647" spans="1:1" x14ac:dyDescent="0.25">
      <c r="A2647" t="s">
        <v>391</v>
      </c>
    </row>
    <row r="2648" spans="1:1" x14ac:dyDescent="0.25">
      <c r="A2648" t="s">
        <v>392</v>
      </c>
    </row>
    <row r="2649" spans="1:1" x14ac:dyDescent="0.25">
      <c r="A2649" t="s">
        <v>393</v>
      </c>
    </row>
    <row r="2650" spans="1:1" x14ac:dyDescent="0.25">
      <c r="A2650" t="s">
        <v>394</v>
      </c>
    </row>
    <row r="2651" spans="1:1" x14ac:dyDescent="0.25">
      <c r="A2651" t="s">
        <v>395</v>
      </c>
    </row>
    <row r="2652" spans="1:1" x14ac:dyDescent="0.25">
      <c r="A2652" t="s">
        <v>396</v>
      </c>
    </row>
    <row r="2653" spans="1:1" x14ac:dyDescent="0.25">
      <c r="A2653" t="s">
        <v>397</v>
      </c>
    </row>
    <row r="2654" spans="1:1" x14ac:dyDescent="0.25">
      <c r="A2654" t="s">
        <v>398</v>
      </c>
    </row>
    <row r="2655" spans="1:1" x14ac:dyDescent="0.25">
      <c r="A2655" t="s">
        <v>399</v>
      </c>
    </row>
    <row r="2656" spans="1:1" x14ac:dyDescent="0.25">
      <c r="A2656" t="s">
        <v>400</v>
      </c>
    </row>
    <row r="2657" spans="1:1" x14ac:dyDescent="0.25">
      <c r="A2657" t="s">
        <v>401</v>
      </c>
    </row>
    <row r="2658" spans="1:1" x14ac:dyDescent="0.25">
      <c r="A2658" t="s">
        <v>402</v>
      </c>
    </row>
    <row r="2659" spans="1:1" x14ac:dyDescent="0.25">
      <c r="A2659" t="s">
        <v>403</v>
      </c>
    </row>
    <row r="2660" spans="1:1" x14ac:dyDescent="0.25">
      <c r="A2660" t="s">
        <v>404</v>
      </c>
    </row>
    <row r="2661" spans="1:1" x14ac:dyDescent="0.25">
      <c r="A2661" t="s">
        <v>405</v>
      </c>
    </row>
    <row r="2662" spans="1:1" x14ac:dyDescent="0.25">
      <c r="A2662" t="s">
        <v>406</v>
      </c>
    </row>
    <row r="2663" spans="1:1" x14ac:dyDescent="0.25">
      <c r="A2663" t="s">
        <v>407</v>
      </c>
    </row>
    <row r="2664" spans="1:1" x14ac:dyDescent="0.25">
      <c r="A2664" t="s">
        <v>408</v>
      </c>
    </row>
    <row r="2665" spans="1:1" x14ac:dyDescent="0.25">
      <c r="A2665" t="s">
        <v>409</v>
      </c>
    </row>
    <row r="2666" spans="1:1" x14ac:dyDescent="0.25">
      <c r="A2666" t="s">
        <v>410</v>
      </c>
    </row>
    <row r="2667" spans="1:1" x14ac:dyDescent="0.25">
      <c r="A2667" t="s">
        <v>411</v>
      </c>
    </row>
    <row r="2668" spans="1:1" x14ac:dyDescent="0.25">
      <c r="A2668" t="s">
        <v>418</v>
      </c>
    </row>
    <row r="2669" spans="1:1" x14ac:dyDescent="0.25">
      <c r="A2669" t="s">
        <v>37</v>
      </c>
    </row>
    <row r="2670" spans="1:1" x14ac:dyDescent="0.25">
      <c r="A2670" t="s">
        <v>38</v>
      </c>
    </row>
    <row r="2671" spans="1:1" x14ac:dyDescent="0.25">
      <c r="A2671" t="s">
        <v>39</v>
      </c>
    </row>
    <row r="2672" spans="1:1" x14ac:dyDescent="0.25">
      <c r="A2672" t="s">
        <v>31</v>
      </c>
    </row>
    <row r="2673" spans="1:1" x14ac:dyDescent="0.25">
      <c r="A2673" t="s">
        <v>40</v>
      </c>
    </row>
    <row r="2674" spans="1:1" x14ac:dyDescent="0.25">
      <c r="A2674" t="s">
        <v>23</v>
      </c>
    </row>
    <row r="2675" spans="1:1" x14ac:dyDescent="0.25">
      <c r="A2675" t="s">
        <v>41</v>
      </c>
    </row>
    <row r="2676" spans="1:1" x14ac:dyDescent="0.25">
      <c r="A2676" t="s">
        <v>42</v>
      </c>
    </row>
    <row r="2677" spans="1:1" x14ac:dyDescent="0.25">
      <c r="A2677" t="s">
        <v>43</v>
      </c>
    </row>
    <row r="2678" spans="1:1" x14ac:dyDescent="0.25">
      <c r="A2678" t="s">
        <v>44</v>
      </c>
    </row>
    <row r="2679" spans="1:1" x14ac:dyDescent="0.25">
      <c r="A2679" t="s">
        <v>45</v>
      </c>
    </row>
    <row r="2680" spans="1:1" x14ac:dyDescent="0.25">
      <c r="A2680" t="s">
        <v>46</v>
      </c>
    </row>
    <row r="2681" spans="1:1" x14ac:dyDescent="0.25">
      <c r="A2681" t="s">
        <v>47</v>
      </c>
    </row>
    <row r="2682" spans="1:1" x14ac:dyDescent="0.25">
      <c r="A2682" t="s">
        <v>48</v>
      </c>
    </row>
    <row r="2683" spans="1:1" x14ac:dyDescent="0.25">
      <c r="A2683" t="s">
        <v>49</v>
      </c>
    </row>
    <row r="2684" spans="1:1" x14ac:dyDescent="0.25">
      <c r="A2684" t="s">
        <v>50</v>
      </c>
    </row>
    <row r="2685" spans="1:1" x14ac:dyDescent="0.25">
      <c r="A2685" t="s">
        <v>51</v>
      </c>
    </row>
    <row r="2686" spans="1:1" x14ac:dyDescent="0.25">
      <c r="A2686" t="s">
        <v>52</v>
      </c>
    </row>
    <row r="2687" spans="1:1" x14ac:dyDescent="0.25">
      <c r="A2687" t="s">
        <v>53</v>
      </c>
    </row>
    <row r="2688" spans="1:1" x14ac:dyDescent="0.25">
      <c r="A2688" t="s">
        <v>54</v>
      </c>
    </row>
    <row r="2689" spans="1:1" x14ac:dyDescent="0.25">
      <c r="A2689" t="s">
        <v>55</v>
      </c>
    </row>
    <row r="2690" spans="1:1" x14ac:dyDescent="0.25">
      <c r="A2690" t="s">
        <v>56</v>
      </c>
    </row>
    <row r="2691" spans="1:1" x14ac:dyDescent="0.25">
      <c r="A2691" t="s">
        <v>25</v>
      </c>
    </row>
    <row r="2692" spans="1:1" x14ac:dyDescent="0.25">
      <c r="A2692" t="s">
        <v>57</v>
      </c>
    </row>
    <row r="2693" spans="1:1" x14ac:dyDescent="0.25">
      <c r="A2693" t="s">
        <v>27</v>
      </c>
    </row>
    <row r="2694" spans="1:1" x14ac:dyDescent="0.25">
      <c r="A2694" t="s">
        <v>58</v>
      </c>
    </row>
    <row r="2695" spans="1:1" x14ac:dyDescent="0.25">
      <c r="A2695" t="s">
        <v>59</v>
      </c>
    </row>
    <row r="2696" spans="1:1" x14ac:dyDescent="0.25">
      <c r="A2696" t="s">
        <v>60</v>
      </c>
    </row>
    <row r="2697" spans="1:1" x14ac:dyDescent="0.25">
      <c r="A2697" t="s">
        <v>61</v>
      </c>
    </row>
    <row r="2698" spans="1:1" x14ac:dyDescent="0.25">
      <c r="A2698" t="s">
        <v>62</v>
      </c>
    </row>
    <row r="2699" spans="1:1" x14ac:dyDescent="0.25">
      <c r="A2699" t="s">
        <v>63</v>
      </c>
    </row>
    <row r="2700" spans="1:1" x14ac:dyDescent="0.25">
      <c r="A2700" t="s">
        <v>64</v>
      </c>
    </row>
    <row r="2701" spans="1:1" x14ac:dyDescent="0.25">
      <c r="A2701" t="s">
        <v>65</v>
      </c>
    </row>
    <row r="2702" spans="1:1" x14ac:dyDescent="0.25">
      <c r="A2702" t="s">
        <v>66</v>
      </c>
    </row>
    <row r="2703" spans="1:1" x14ac:dyDescent="0.25">
      <c r="A2703" t="s">
        <v>67</v>
      </c>
    </row>
    <row r="2704" spans="1:1" x14ac:dyDescent="0.25">
      <c r="A2704" t="s">
        <v>68</v>
      </c>
    </row>
    <row r="2705" spans="1:1" x14ac:dyDescent="0.25">
      <c r="A2705" t="s">
        <v>69</v>
      </c>
    </row>
    <row r="2706" spans="1:1" x14ac:dyDescent="0.25">
      <c r="A2706" t="s">
        <v>70</v>
      </c>
    </row>
    <row r="2707" spans="1:1" x14ac:dyDescent="0.25">
      <c r="A2707" t="s">
        <v>71</v>
      </c>
    </row>
    <row r="2708" spans="1:1" x14ac:dyDescent="0.25">
      <c r="A2708" t="s">
        <v>72</v>
      </c>
    </row>
    <row r="2709" spans="1:1" x14ac:dyDescent="0.25">
      <c r="A2709" t="s">
        <v>73</v>
      </c>
    </row>
    <row r="2710" spans="1:1" x14ac:dyDescent="0.25">
      <c r="A2710" t="s">
        <v>74</v>
      </c>
    </row>
    <row r="2711" spans="1:1" x14ac:dyDescent="0.25">
      <c r="A2711" t="s">
        <v>75</v>
      </c>
    </row>
    <row r="2712" spans="1:1" x14ac:dyDescent="0.25">
      <c r="A2712" t="s">
        <v>76</v>
      </c>
    </row>
    <row r="2713" spans="1:1" x14ac:dyDescent="0.25">
      <c r="A2713" t="s">
        <v>77</v>
      </c>
    </row>
    <row r="2714" spans="1:1" x14ac:dyDescent="0.25">
      <c r="A2714" t="s">
        <v>78</v>
      </c>
    </row>
    <row r="2715" spans="1:1" x14ac:dyDescent="0.25">
      <c r="A2715" t="s">
        <v>79</v>
      </c>
    </row>
    <row r="2716" spans="1:1" x14ac:dyDescent="0.25">
      <c r="A2716" t="s">
        <v>80</v>
      </c>
    </row>
    <row r="2717" spans="1:1" x14ac:dyDescent="0.25">
      <c r="A2717" t="s">
        <v>81</v>
      </c>
    </row>
    <row r="2718" spans="1:1" x14ac:dyDescent="0.25">
      <c r="A2718" t="s">
        <v>82</v>
      </c>
    </row>
    <row r="2719" spans="1:1" x14ac:dyDescent="0.25">
      <c r="A2719" t="s">
        <v>83</v>
      </c>
    </row>
    <row r="2720" spans="1:1" x14ac:dyDescent="0.25">
      <c r="A2720" t="s">
        <v>84</v>
      </c>
    </row>
    <row r="2721" spans="1:1" x14ac:dyDescent="0.25">
      <c r="A2721" t="s">
        <v>85</v>
      </c>
    </row>
    <row r="2722" spans="1:1" x14ac:dyDescent="0.25">
      <c r="A2722" t="s">
        <v>86</v>
      </c>
    </row>
    <row r="2723" spans="1:1" x14ac:dyDescent="0.25">
      <c r="A2723" t="s">
        <v>87</v>
      </c>
    </row>
    <row r="2724" spans="1:1" x14ac:dyDescent="0.25">
      <c r="A2724" t="s">
        <v>88</v>
      </c>
    </row>
    <row r="2725" spans="1:1" x14ac:dyDescent="0.25">
      <c r="A2725" t="s">
        <v>89</v>
      </c>
    </row>
    <row r="2726" spans="1:1" x14ac:dyDescent="0.25">
      <c r="A2726" t="s">
        <v>90</v>
      </c>
    </row>
    <row r="2727" spans="1:1" x14ac:dyDescent="0.25">
      <c r="A2727" t="s">
        <v>91</v>
      </c>
    </row>
    <row r="2728" spans="1:1" x14ac:dyDescent="0.25">
      <c r="A2728" t="s">
        <v>92</v>
      </c>
    </row>
    <row r="2729" spans="1:1" x14ac:dyDescent="0.25">
      <c r="A2729" t="s">
        <v>93</v>
      </c>
    </row>
    <row r="2730" spans="1:1" x14ac:dyDescent="0.25">
      <c r="A2730" t="s">
        <v>94</v>
      </c>
    </row>
    <row r="2731" spans="1:1" x14ac:dyDescent="0.25">
      <c r="A2731" t="s">
        <v>95</v>
      </c>
    </row>
    <row r="2732" spans="1:1" x14ac:dyDescent="0.25">
      <c r="A2732" t="s">
        <v>96</v>
      </c>
    </row>
    <row r="2733" spans="1:1" x14ac:dyDescent="0.25">
      <c r="A2733" t="s">
        <v>97</v>
      </c>
    </row>
    <row r="2734" spans="1:1" x14ac:dyDescent="0.25">
      <c r="A2734" t="s">
        <v>98</v>
      </c>
    </row>
    <row r="2735" spans="1:1" x14ac:dyDescent="0.25">
      <c r="A2735" t="s">
        <v>99</v>
      </c>
    </row>
    <row r="2736" spans="1:1" x14ac:dyDescent="0.25">
      <c r="A2736" t="s">
        <v>100</v>
      </c>
    </row>
    <row r="2737" spans="1:1" x14ac:dyDescent="0.25">
      <c r="A2737" t="s">
        <v>101</v>
      </c>
    </row>
    <row r="2738" spans="1:1" x14ac:dyDescent="0.25">
      <c r="A2738" t="s">
        <v>102</v>
      </c>
    </row>
    <row r="2739" spans="1:1" x14ac:dyDescent="0.25">
      <c r="A2739" t="s">
        <v>103</v>
      </c>
    </row>
    <row r="2740" spans="1:1" x14ac:dyDescent="0.25">
      <c r="A2740" t="s">
        <v>104</v>
      </c>
    </row>
    <row r="2741" spans="1:1" x14ac:dyDescent="0.25">
      <c r="A2741" t="s">
        <v>105</v>
      </c>
    </row>
    <row r="2742" spans="1:1" x14ac:dyDescent="0.25">
      <c r="A2742" t="s">
        <v>106</v>
      </c>
    </row>
    <row r="2743" spans="1:1" x14ac:dyDescent="0.25">
      <c r="A2743" t="s">
        <v>107</v>
      </c>
    </row>
    <row r="2744" spans="1:1" x14ac:dyDescent="0.25">
      <c r="A2744" t="s">
        <v>108</v>
      </c>
    </row>
    <row r="2745" spans="1:1" x14ac:dyDescent="0.25">
      <c r="A2745" t="s">
        <v>109</v>
      </c>
    </row>
    <row r="2746" spans="1:1" x14ac:dyDescent="0.25">
      <c r="A2746" t="s">
        <v>110</v>
      </c>
    </row>
    <row r="2747" spans="1:1" x14ac:dyDescent="0.25">
      <c r="A2747" t="s">
        <v>111</v>
      </c>
    </row>
    <row r="2748" spans="1:1" x14ac:dyDescent="0.25">
      <c r="A2748" t="s">
        <v>112</v>
      </c>
    </row>
    <row r="2749" spans="1:1" x14ac:dyDescent="0.25">
      <c r="A2749" t="s">
        <v>113</v>
      </c>
    </row>
    <row r="2750" spans="1:1" x14ac:dyDescent="0.25">
      <c r="A2750" t="s">
        <v>114</v>
      </c>
    </row>
    <row r="2751" spans="1:1" x14ac:dyDescent="0.25">
      <c r="A2751" t="s">
        <v>115</v>
      </c>
    </row>
    <row r="2752" spans="1:1" x14ac:dyDescent="0.25">
      <c r="A2752" t="s">
        <v>116</v>
      </c>
    </row>
    <row r="2753" spans="1:1" x14ac:dyDescent="0.25">
      <c r="A2753" t="s">
        <v>117</v>
      </c>
    </row>
    <row r="2754" spans="1:1" x14ac:dyDescent="0.25">
      <c r="A2754" t="s">
        <v>118</v>
      </c>
    </row>
    <row r="2755" spans="1:1" x14ac:dyDescent="0.25">
      <c r="A2755" t="s">
        <v>119</v>
      </c>
    </row>
    <row r="2756" spans="1:1" x14ac:dyDescent="0.25">
      <c r="A2756" t="s">
        <v>120</v>
      </c>
    </row>
    <row r="2757" spans="1:1" x14ac:dyDescent="0.25">
      <c r="A2757" t="s">
        <v>121</v>
      </c>
    </row>
    <row r="2758" spans="1:1" x14ac:dyDescent="0.25">
      <c r="A2758" t="s">
        <v>122</v>
      </c>
    </row>
    <row r="2759" spans="1:1" x14ac:dyDescent="0.25">
      <c r="A2759" t="s">
        <v>123</v>
      </c>
    </row>
    <row r="2760" spans="1:1" x14ac:dyDescent="0.25">
      <c r="A2760" t="s">
        <v>124</v>
      </c>
    </row>
    <row r="2761" spans="1:1" x14ac:dyDescent="0.25">
      <c r="A2761" t="s">
        <v>125</v>
      </c>
    </row>
    <row r="2762" spans="1:1" x14ac:dyDescent="0.25">
      <c r="A2762" t="s">
        <v>126</v>
      </c>
    </row>
    <row r="2763" spans="1:1" x14ac:dyDescent="0.25">
      <c r="A2763" t="s">
        <v>127</v>
      </c>
    </row>
    <row r="2764" spans="1:1" x14ac:dyDescent="0.25">
      <c r="A2764" t="s">
        <v>128</v>
      </c>
    </row>
    <row r="2765" spans="1:1" x14ac:dyDescent="0.25">
      <c r="A2765" t="s">
        <v>129</v>
      </c>
    </row>
    <row r="2766" spans="1:1" x14ac:dyDescent="0.25">
      <c r="A2766" t="s">
        <v>130</v>
      </c>
    </row>
    <row r="2767" spans="1:1" x14ac:dyDescent="0.25">
      <c r="A2767" t="s">
        <v>131</v>
      </c>
    </row>
    <row r="2768" spans="1:1" x14ac:dyDescent="0.25">
      <c r="A2768" t="s">
        <v>132</v>
      </c>
    </row>
    <row r="2769" spans="1:1" x14ac:dyDescent="0.25">
      <c r="A2769" t="s">
        <v>133</v>
      </c>
    </row>
    <row r="2770" spans="1:1" x14ac:dyDescent="0.25">
      <c r="A2770" t="s">
        <v>134</v>
      </c>
    </row>
    <row r="2771" spans="1:1" x14ac:dyDescent="0.25">
      <c r="A2771" t="s">
        <v>135</v>
      </c>
    </row>
    <row r="2772" spans="1:1" x14ac:dyDescent="0.25">
      <c r="A2772" t="s">
        <v>136</v>
      </c>
    </row>
    <row r="2773" spans="1:1" x14ac:dyDescent="0.25">
      <c r="A2773" t="s">
        <v>137</v>
      </c>
    </row>
    <row r="2774" spans="1:1" x14ac:dyDescent="0.25">
      <c r="A2774" t="s">
        <v>138</v>
      </c>
    </row>
    <row r="2775" spans="1:1" x14ac:dyDescent="0.25">
      <c r="A2775" t="s">
        <v>139</v>
      </c>
    </row>
    <row r="2776" spans="1:1" x14ac:dyDescent="0.25">
      <c r="A2776" t="s">
        <v>140</v>
      </c>
    </row>
    <row r="2777" spans="1:1" x14ac:dyDescent="0.25">
      <c r="A2777" t="s">
        <v>141</v>
      </c>
    </row>
    <row r="2778" spans="1:1" x14ac:dyDescent="0.25">
      <c r="A2778" t="s">
        <v>142</v>
      </c>
    </row>
    <row r="2779" spans="1:1" x14ac:dyDescent="0.25">
      <c r="A2779" t="s">
        <v>143</v>
      </c>
    </row>
    <row r="2780" spans="1:1" x14ac:dyDescent="0.25">
      <c r="A2780" t="s">
        <v>144</v>
      </c>
    </row>
    <row r="2781" spans="1:1" x14ac:dyDescent="0.25">
      <c r="A2781" t="s">
        <v>145</v>
      </c>
    </row>
    <row r="2782" spans="1:1" x14ac:dyDescent="0.25">
      <c r="A2782" t="s">
        <v>146</v>
      </c>
    </row>
    <row r="2783" spans="1:1" x14ac:dyDescent="0.25">
      <c r="A2783" t="s">
        <v>147</v>
      </c>
    </row>
    <row r="2784" spans="1:1" x14ac:dyDescent="0.25">
      <c r="A2784" t="s">
        <v>148</v>
      </c>
    </row>
    <row r="2785" spans="1:1" x14ac:dyDescent="0.25">
      <c r="A2785" t="s">
        <v>149</v>
      </c>
    </row>
    <row r="2786" spans="1:1" x14ac:dyDescent="0.25">
      <c r="A2786" t="s">
        <v>150</v>
      </c>
    </row>
    <row r="2787" spans="1:1" x14ac:dyDescent="0.25">
      <c r="A2787" t="s">
        <v>151</v>
      </c>
    </row>
    <row r="2788" spans="1:1" x14ac:dyDescent="0.25">
      <c r="A2788" t="s">
        <v>152</v>
      </c>
    </row>
    <row r="2789" spans="1:1" x14ac:dyDescent="0.25">
      <c r="A2789" t="s">
        <v>153</v>
      </c>
    </row>
    <row r="2790" spans="1:1" x14ac:dyDescent="0.25">
      <c r="A2790" t="s">
        <v>154</v>
      </c>
    </row>
    <row r="2791" spans="1:1" x14ac:dyDescent="0.25">
      <c r="A2791" t="s">
        <v>155</v>
      </c>
    </row>
    <row r="2792" spans="1:1" x14ac:dyDescent="0.25">
      <c r="A2792" t="s">
        <v>156</v>
      </c>
    </row>
    <row r="2793" spans="1:1" x14ac:dyDescent="0.25">
      <c r="A2793" t="s">
        <v>157</v>
      </c>
    </row>
    <row r="2794" spans="1:1" x14ac:dyDescent="0.25">
      <c r="A2794" t="s">
        <v>158</v>
      </c>
    </row>
    <row r="2795" spans="1:1" x14ac:dyDescent="0.25">
      <c r="A2795" t="s">
        <v>159</v>
      </c>
    </row>
    <row r="2796" spans="1:1" x14ac:dyDescent="0.25">
      <c r="A2796" t="s">
        <v>160</v>
      </c>
    </row>
    <row r="2797" spans="1:1" x14ac:dyDescent="0.25">
      <c r="A2797" t="s">
        <v>161</v>
      </c>
    </row>
    <row r="2798" spans="1:1" x14ac:dyDescent="0.25">
      <c r="A2798" t="s">
        <v>162</v>
      </c>
    </row>
    <row r="2799" spans="1:1" x14ac:dyDescent="0.25">
      <c r="A2799" t="s">
        <v>163</v>
      </c>
    </row>
    <row r="2800" spans="1:1" x14ac:dyDescent="0.25">
      <c r="A2800" t="s">
        <v>164</v>
      </c>
    </row>
    <row r="2801" spans="1:1" x14ac:dyDescent="0.25">
      <c r="A2801" t="s">
        <v>165</v>
      </c>
    </row>
    <row r="2802" spans="1:1" x14ac:dyDescent="0.25">
      <c r="A2802" t="s">
        <v>166</v>
      </c>
    </row>
    <row r="2803" spans="1:1" x14ac:dyDescent="0.25">
      <c r="A2803" t="s">
        <v>167</v>
      </c>
    </row>
    <row r="2804" spans="1:1" x14ac:dyDescent="0.25">
      <c r="A2804" t="s">
        <v>168</v>
      </c>
    </row>
    <row r="2805" spans="1:1" x14ac:dyDescent="0.25">
      <c r="A2805" t="s">
        <v>169</v>
      </c>
    </row>
    <row r="2806" spans="1:1" x14ac:dyDescent="0.25">
      <c r="A2806" t="s">
        <v>170</v>
      </c>
    </row>
    <row r="2807" spans="1:1" x14ac:dyDescent="0.25">
      <c r="A2807" t="s">
        <v>171</v>
      </c>
    </row>
    <row r="2808" spans="1:1" x14ac:dyDescent="0.25">
      <c r="A2808" t="s">
        <v>172</v>
      </c>
    </row>
    <row r="2809" spans="1:1" x14ac:dyDescent="0.25">
      <c r="A2809" t="s">
        <v>173</v>
      </c>
    </row>
    <row r="2810" spans="1:1" x14ac:dyDescent="0.25">
      <c r="A2810" t="s">
        <v>174</v>
      </c>
    </row>
    <row r="2811" spans="1:1" x14ac:dyDescent="0.25">
      <c r="A2811" t="s">
        <v>175</v>
      </c>
    </row>
    <row r="2812" spans="1:1" x14ac:dyDescent="0.25">
      <c r="A2812" t="s">
        <v>176</v>
      </c>
    </row>
    <row r="2813" spans="1:1" x14ac:dyDescent="0.25">
      <c r="A2813" t="s">
        <v>177</v>
      </c>
    </row>
    <row r="2814" spans="1:1" x14ac:dyDescent="0.25">
      <c r="A2814" t="s">
        <v>178</v>
      </c>
    </row>
    <row r="2815" spans="1:1" x14ac:dyDescent="0.25">
      <c r="A2815" t="s">
        <v>179</v>
      </c>
    </row>
    <row r="2816" spans="1:1" x14ac:dyDescent="0.25">
      <c r="A2816" t="s">
        <v>180</v>
      </c>
    </row>
    <row r="2817" spans="1:1" x14ac:dyDescent="0.25">
      <c r="A2817" t="s">
        <v>181</v>
      </c>
    </row>
    <row r="2818" spans="1:1" x14ac:dyDescent="0.25">
      <c r="A2818" t="s">
        <v>182</v>
      </c>
    </row>
    <row r="2819" spans="1:1" x14ac:dyDescent="0.25">
      <c r="A2819" t="s">
        <v>183</v>
      </c>
    </row>
    <row r="2820" spans="1:1" x14ac:dyDescent="0.25">
      <c r="A2820" t="s">
        <v>184</v>
      </c>
    </row>
    <row r="2821" spans="1:1" x14ac:dyDescent="0.25">
      <c r="A2821" t="s">
        <v>185</v>
      </c>
    </row>
    <row r="2822" spans="1:1" x14ac:dyDescent="0.25">
      <c r="A2822" t="s">
        <v>186</v>
      </c>
    </row>
    <row r="2823" spans="1:1" x14ac:dyDescent="0.25">
      <c r="A2823" t="s">
        <v>187</v>
      </c>
    </row>
    <row r="2824" spans="1:1" x14ac:dyDescent="0.25">
      <c r="A2824" t="s">
        <v>188</v>
      </c>
    </row>
    <row r="2825" spans="1:1" x14ac:dyDescent="0.25">
      <c r="A2825" t="s">
        <v>189</v>
      </c>
    </row>
    <row r="2826" spans="1:1" x14ac:dyDescent="0.25">
      <c r="A2826" t="s">
        <v>190</v>
      </c>
    </row>
    <row r="2827" spans="1:1" x14ac:dyDescent="0.25">
      <c r="A2827" t="s">
        <v>191</v>
      </c>
    </row>
    <row r="2828" spans="1:1" x14ac:dyDescent="0.25">
      <c r="A2828" t="s">
        <v>192</v>
      </c>
    </row>
    <row r="2829" spans="1:1" x14ac:dyDescent="0.25">
      <c r="A2829" t="s">
        <v>193</v>
      </c>
    </row>
    <row r="2830" spans="1:1" x14ac:dyDescent="0.25">
      <c r="A2830" t="s">
        <v>194</v>
      </c>
    </row>
    <row r="2831" spans="1:1" x14ac:dyDescent="0.25">
      <c r="A2831" t="s">
        <v>195</v>
      </c>
    </row>
    <row r="2832" spans="1:1" x14ac:dyDescent="0.25">
      <c r="A2832" t="s">
        <v>196</v>
      </c>
    </row>
    <row r="2833" spans="1:1" x14ac:dyDescent="0.25">
      <c r="A2833" t="s">
        <v>197</v>
      </c>
    </row>
    <row r="2834" spans="1:1" x14ac:dyDescent="0.25">
      <c r="A2834" t="s">
        <v>198</v>
      </c>
    </row>
    <row r="2835" spans="1:1" x14ac:dyDescent="0.25">
      <c r="A2835" t="s">
        <v>199</v>
      </c>
    </row>
    <row r="2836" spans="1:1" x14ac:dyDescent="0.25">
      <c r="A2836" t="s">
        <v>200</v>
      </c>
    </row>
    <row r="2837" spans="1:1" x14ac:dyDescent="0.25">
      <c r="A2837" t="s">
        <v>201</v>
      </c>
    </row>
    <row r="2838" spans="1:1" x14ac:dyDescent="0.25">
      <c r="A2838" t="s">
        <v>202</v>
      </c>
    </row>
    <row r="2839" spans="1:1" x14ac:dyDescent="0.25">
      <c r="A2839" t="s">
        <v>203</v>
      </c>
    </row>
    <row r="2840" spans="1:1" x14ac:dyDescent="0.25">
      <c r="A2840" t="s">
        <v>204</v>
      </c>
    </row>
    <row r="2841" spans="1:1" x14ac:dyDescent="0.25">
      <c r="A2841" t="s">
        <v>205</v>
      </c>
    </row>
    <row r="2842" spans="1:1" x14ac:dyDescent="0.25">
      <c r="A2842" t="s">
        <v>206</v>
      </c>
    </row>
    <row r="2843" spans="1:1" x14ac:dyDescent="0.25">
      <c r="A2843" t="s">
        <v>207</v>
      </c>
    </row>
    <row r="2844" spans="1:1" x14ac:dyDescent="0.25">
      <c r="A2844" t="s">
        <v>208</v>
      </c>
    </row>
    <row r="2845" spans="1:1" x14ac:dyDescent="0.25">
      <c r="A2845" t="s">
        <v>209</v>
      </c>
    </row>
    <row r="2846" spans="1:1" x14ac:dyDescent="0.25">
      <c r="A2846" t="s">
        <v>210</v>
      </c>
    </row>
    <row r="2847" spans="1:1" x14ac:dyDescent="0.25">
      <c r="A2847" t="s">
        <v>211</v>
      </c>
    </row>
    <row r="2848" spans="1:1" x14ac:dyDescent="0.25">
      <c r="A2848" t="s">
        <v>212</v>
      </c>
    </row>
    <row r="2849" spans="1:1" x14ac:dyDescent="0.25">
      <c r="A2849" t="s">
        <v>213</v>
      </c>
    </row>
    <row r="2850" spans="1:1" x14ac:dyDescent="0.25">
      <c r="A2850" t="s">
        <v>214</v>
      </c>
    </row>
    <row r="2851" spans="1:1" x14ac:dyDescent="0.25">
      <c r="A2851" t="s">
        <v>215</v>
      </c>
    </row>
    <row r="2852" spans="1:1" x14ac:dyDescent="0.25">
      <c r="A2852" t="s">
        <v>216</v>
      </c>
    </row>
    <row r="2853" spans="1:1" x14ac:dyDescent="0.25">
      <c r="A2853" t="s">
        <v>217</v>
      </c>
    </row>
    <row r="2854" spans="1:1" x14ac:dyDescent="0.25">
      <c r="A2854" t="s">
        <v>218</v>
      </c>
    </row>
    <row r="2855" spans="1:1" x14ac:dyDescent="0.25">
      <c r="A2855" t="s">
        <v>219</v>
      </c>
    </row>
    <row r="2856" spans="1:1" x14ac:dyDescent="0.25">
      <c r="A2856" t="s">
        <v>220</v>
      </c>
    </row>
    <row r="2857" spans="1:1" x14ac:dyDescent="0.25">
      <c r="A2857" t="s">
        <v>221</v>
      </c>
    </row>
    <row r="2858" spans="1:1" x14ac:dyDescent="0.25">
      <c r="A2858" t="s">
        <v>222</v>
      </c>
    </row>
    <row r="2859" spans="1:1" x14ac:dyDescent="0.25">
      <c r="A2859" t="s">
        <v>223</v>
      </c>
    </row>
    <row r="2860" spans="1:1" x14ac:dyDescent="0.25">
      <c r="A2860" t="s">
        <v>224</v>
      </c>
    </row>
    <row r="2861" spans="1:1" x14ac:dyDescent="0.25">
      <c r="A2861" t="s">
        <v>225</v>
      </c>
    </row>
    <row r="2862" spans="1:1" x14ac:dyDescent="0.25">
      <c r="A2862" t="s">
        <v>226</v>
      </c>
    </row>
    <row r="2863" spans="1:1" x14ac:dyDescent="0.25">
      <c r="A2863" t="s">
        <v>227</v>
      </c>
    </row>
    <row r="2864" spans="1:1" x14ac:dyDescent="0.25">
      <c r="A2864" t="s">
        <v>228</v>
      </c>
    </row>
    <row r="2865" spans="1:1" x14ac:dyDescent="0.25">
      <c r="A2865" t="s">
        <v>229</v>
      </c>
    </row>
    <row r="2866" spans="1:1" x14ac:dyDescent="0.25">
      <c r="A2866" t="s">
        <v>230</v>
      </c>
    </row>
    <row r="2867" spans="1:1" x14ac:dyDescent="0.25">
      <c r="A2867" t="s">
        <v>231</v>
      </c>
    </row>
    <row r="2868" spans="1:1" x14ac:dyDescent="0.25">
      <c r="A2868" t="s">
        <v>232</v>
      </c>
    </row>
    <row r="2869" spans="1:1" x14ac:dyDescent="0.25">
      <c r="A2869" t="s">
        <v>233</v>
      </c>
    </row>
    <row r="2870" spans="1:1" x14ac:dyDescent="0.25">
      <c r="A2870" t="s">
        <v>234</v>
      </c>
    </row>
    <row r="2871" spans="1:1" x14ac:dyDescent="0.25">
      <c r="A2871" t="s">
        <v>235</v>
      </c>
    </row>
    <row r="2872" spans="1:1" x14ac:dyDescent="0.25">
      <c r="A2872" t="s">
        <v>236</v>
      </c>
    </row>
    <row r="2873" spans="1:1" x14ac:dyDescent="0.25">
      <c r="A2873" t="s">
        <v>237</v>
      </c>
    </row>
    <row r="2874" spans="1:1" x14ac:dyDescent="0.25">
      <c r="A2874" t="s">
        <v>238</v>
      </c>
    </row>
    <row r="2875" spans="1:1" x14ac:dyDescent="0.25">
      <c r="A2875" t="s">
        <v>239</v>
      </c>
    </row>
    <row r="2876" spans="1:1" x14ac:dyDescent="0.25">
      <c r="A2876" t="s">
        <v>240</v>
      </c>
    </row>
    <row r="2877" spans="1:1" x14ac:dyDescent="0.25">
      <c r="A2877" t="s">
        <v>241</v>
      </c>
    </row>
    <row r="2878" spans="1:1" x14ac:dyDescent="0.25">
      <c r="A2878" t="s">
        <v>242</v>
      </c>
    </row>
    <row r="2879" spans="1:1" x14ac:dyDescent="0.25">
      <c r="A2879" t="s">
        <v>243</v>
      </c>
    </row>
    <row r="2880" spans="1:1" x14ac:dyDescent="0.25">
      <c r="A2880" t="s">
        <v>244</v>
      </c>
    </row>
    <row r="2881" spans="1:1" x14ac:dyDescent="0.25">
      <c r="A2881" t="s">
        <v>245</v>
      </c>
    </row>
    <row r="2882" spans="1:1" x14ac:dyDescent="0.25">
      <c r="A2882" t="s">
        <v>246</v>
      </c>
    </row>
    <row r="2883" spans="1:1" x14ac:dyDescent="0.25">
      <c r="A2883" t="s">
        <v>247</v>
      </c>
    </row>
    <row r="2884" spans="1:1" x14ac:dyDescent="0.25">
      <c r="A2884" t="s">
        <v>248</v>
      </c>
    </row>
    <row r="2885" spans="1:1" x14ac:dyDescent="0.25">
      <c r="A2885" t="s">
        <v>249</v>
      </c>
    </row>
    <row r="2886" spans="1:1" x14ac:dyDescent="0.25">
      <c r="A2886" t="s">
        <v>250</v>
      </c>
    </row>
    <row r="2887" spans="1:1" x14ac:dyDescent="0.25">
      <c r="A2887" t="s">
        <v>251</v>
      </c>
    </row>
    <row r="2888" spans="1:1" x14ac:dyDescent="0.25">
      <c r="A2888" t="s">
        <v>252</v>
      </c>
    </row>
    <row r="2889" spans="1:1" x14ac:dyDescent="0.25">
      <c r="A2889" t="s">
        <v>32</v>
      </c>
    </row>
    <row r="2890" spans="1:1" x14ac:dyDescent="0.25">
      <c r="A2890" t="s">
        <v>253</v>
      </c>
    </row>
    <row r="2891" spans="1:1" x14ac:dyDescent="0.25">
      <c r="A2891" t="s">
        <v>254</v>
      </c>
    </row>
    <row r="2892" spans="1:1" x14ac:dyDescent="0.25">
      <c r="A2892" t="s">
        <v>255</v>
      </c>
    </row>
    <row r="2893" spans="1:1" x14ac:dyDescent="0.25">
      <c r="A2893" t="s">
        <v>256</v>
      </c>
    </row>
    <row r="2894" spans="1:1" x14ac:dyDescent="0.25">
      <c r="A2894" t="s">
        <v>257</v>
      </c>
    </row>
    <row r="2895" spans="1:1" x14ac:dyDescent="0.25">
      <c r="A2895" t="s">
        <v>258</v>
      </c>
    </row>
    <row r="2896" spans="1:1" x14ac:dyDescent="0.25">
      <c r="A2896" t="s">
        <v>259</v>
      </c>
    </row>
    <row r="2897" spans="1:1" x14ac:dyDescent="0.25">
      <c r="A2897" t="s">
        <v>260</v>
      </c>
    </row>
    <row r="2898" spans="1:1" x14ac:dyDescent="0.25">
      <c r="A2898" t="s">
        <v>261</v>
      </c>
    </row>
    <row r="2899" spans="1:1" x14ac:dyDescent="0.25">
      <c r="A2899" t="s">
        <v>262</v>
      </c>
    </row>
    <row r="2900" spans="1:1" x14ac:dyDescent="0.25">
      <c r="A2900" t="s">
        <v>263</v>
      </c>
    </row>
    <row r="2901" spans="1:1" x14ac:dyDescent="0.25">
      <c r="A2901" t="s">
        <v>264</v>
      </c>
    </row>
    <row r="2902" spans="1:1" x14ac:dyDescent="0.25">
      <c r="A2902" t="s">
        <v>265</v>
      </c>
    </row>
    <row r="2903" spans="1:1" x14ac:dyDescent="0.25">
      <c r="A2903" t="s">
        <v>266</v>
      </c>
    </row>
    <row r="2904" spans="1:1" x14ac:dyDescent="0.25">
      <c r="A2904" t="s">
        <v>267</v>
      </c>
    </row>
    <row r="2905" spans="1:1" x14ac:dyDescent="0.25">
      <c r="A2905" t="s">
        <v>268</v>
      </c>
    </row>
    <row r="2906" spans="1:1" x14ac:dyDescent="0.25">
      <c r="A2906" t="s">
        <v>269</v>
      </c>
    </row>
    <row r="2907" spans="1:1" x14ac:dyDescent="0.25">
      <c r="A2907" t="s">
        <v>270</v>
      </c>
    </row>
    <row r="2908" spans="1:1" x14ac:dyDescent="0.25">
      <c r="A2908" t="s">
        <v>271</v>
      </c>
    </row>
    <row r="2909" spans="1:1" x14ac:dyDescent="0.25">
      <c r="A2909" t="s">
        <v>272</v>
      </c>
    </row>
    <row r="2910" spans="1:1" x14ac:dyDescent="0.25">
      <c r="A2910" t="s">
        <v>273</v>
      </c>
    </row>
    <row r="2911" spans="1:1" x14ac:dyDescent="0.25">
      <c r="A2911" t="s">
        <v>274</v>
      </c>
    </row>
    <row r="2912" spans="1:1" x14ac:dyDescent="0.25">
      <c r="A2912" t="s">
        <v>275</v>
      </c>
    </row>
    <row r="2913" spans="1:1" x14ac:dyDescent="0.25">
      <c r="A2913" t="s">
        <v>276</v>
      </c>
    </row>
    <row r="2914" spans="1:1" x14ac:dyDescent="0.25">
      <c r="A2914" t="s">
        <v>277</v>
      </c>
    </row>
    <row r="2915" spans="1:1" x14ac:dyDescent="0.25">
      <c r="A2915" t="s">
        <v>278</v>
      </c>
    </row>
    <row r="2916" spans="1:1" x14ac:dyDescent="0.25">
      <c r="A2916" t="s">
        <v>279</v>
      </c>
    </row>
    <row r="2917" spans="1:1" x14ac:dyDescent="0.25">
      <c r="A2917" t="s">
        <v>280</v>
      </c>
    </row>
    <row r="2918" spans="1:1" x14ac:dyDescent="0.25">
      <c r="A2918" t="s">
        <v>281</v>
      </c>
    </row>
    <row r="2919" spans="1:1" x14ac:dyDescent="0.25">
      <c r="A2919" t="s">
        <v>282</v>
      </c>
    </row>
    <row r="2920" spans="1:1" x14ac:dyDescent="0.25">
      <c r="A2920" t="s">
        <v>283</v>
      </c>
    </row>
    <row r="2921" spans="1:1" x14ac:dyDescent="0.25">
      <c r="A2921" t="s">
        <v>284</v>
      </c>
    </row>
    <row r="2922" spans="1:1" x14ac:dyDescent="0.25">
      <c r="A2922" t="s">
        <v>285</v>
      </c>
    </row>
    <row r="2923" spans="1:1" x14ac:dyDescent="0.25">
      <c r="A2923" t="s">
        <v>286</v>
      </c>
    </row>
    <row r="2924" spans="1:1" x14ac:dyDescent="0.25">
      <c r="A2924" t="s">
        <v>287</v>
      </c>
    </row>
    <row r="2925" spans="1:1" x14ac:dyDescent="0.25">
      <c r="A2925" t="s">
        <v>288</v>
      </c>
    </row>
    <row r="2926" spans="1:1" x14ac:dyDescent="0.25">
      <c r="A2926" t="s">
        <v>289</v>
      </c>
    </row>
    <row r="2927" spans="1:1" x14ac:dyDescent="0.25">
      <c r="A2927" t="s">
        <v>290</v>
      </c>
    </row>
    <row r="2928" spans="1:1" x14ac:dyDescent="0.25">
      <c r="A2928" t="s">
        <v>291</v>
      </c>
    </row>
    <row r="2929" spans="1:1" x14ac:dyDescent="0.25">
      <c r="A2929" t="s">
        <v>292</v>
      </c>
    </row>
    <row r="2930" spans="1:1" x14ac:dyDescent="0.25">
      <c r="A2930" t="s">
        <v>293</v>
      </c>
    </row>
    <row r="2931" spans="1:1" x14ac:dyDescent="0.25">
      <c r="A2931" t="s">
        <v>294</v>
      </c>
    </row>
    <row r="2932" spans="1:1" x14ac:dyDescent="0.25">
      <c r="A2932" t="s">
        <v>295</v>
      </c>
    </row>
    <row r="2933" spans="1:1" x14ac:dyDescent="0.25">
      <c r="A2933" t="s">
        <v>296</v>
      </c>
    </row>
    <row r="2934" spans="1:1" x14ac:dyDescent="0.25">
      <c r="A2934" t="s">
        <v>297</v>
      </c>
    </row>
    <row r="2935" spans="1:1" x14ac:dyDescent="0.25">
      <c r="A2935" t="s">
        <v>298</v>
      </c>
    </row>
    <row r="2936" spans="1:1" x14ac:dyDescent="0.25">
      <c r="A2936" t="s">
        <v>299</v>
      </c>
    </row>
    <row r="2937" spans="1:1" x14ac:dyDescent="0.25">
      <c r="A2937" t="s">
        <v>300</v>
      </c>
    </row>
    <row r="2938" spans="1:1" x14ac:dyDescent="0.25">
      <c r="A2938" t="s">
        <v>301</v>
      </c>
    </row>
    <row r="2939" spans="1:1" x14ac:dyDescent="0.25">
      <c r="A2939" t="s">
        <v>302</v>
      </c>
    </row>
    <row r="2940" spans="1:1" x14ac:dyDescent="0.25">
      <c r="A2940" t="s">
        <v>303</v>
      </c>
    </row>
    <row r="2941" spans="1:1" x14ac:dyDescent="0.25">
      <c r="A2941" t="s">
        <v>304</v>
      </c>
    </row>
    <row r="2942" spans="1:1" x14ac:dyDescent="0.25">
      <c r="A2942" t="s">
        <v>305</v>
      </c>
    </row>
    <row r="2943" spans="1:1" x14ac:dyDescent="0.25">
      <c r="A2943" t="s">
        <v>306</v>
      </c>
    </row>
    <row r="2944" spans="1:1" x14ac:dyDescent="0.25">
      <c r="A2944" t="s">
        <v>307</v>
      </c>
    </row>
    <row r="2945" spans="1:1" x14ac:dyDescent="0.25">
      <c r="A2945" t="s">
        <v>308</v>
      </c>
    </row>
    <row r="2946" spans="1:1" x14ac:dyDescent="0.25">
      <c r="A2946" t="s">
        <v>309</v>
      </c>
    </row>
    <row r="2947" spans="1:1" x14ac:dyDescent="0.25">
      <c r="A2947" t="s">
        <v>310</v>
      </c>
    </row>
    <row r="2948" spans="1:1" x14ac:dyDescent="0.25">
      <c r="A2948" t="s">
        <v>311</v>
      </c>
    </row>
    <row r="2949" spans="1:1" x14ac:dyDescent="0.25">
      <c r="A2949" t="s">
        <v>312</v>
      </c>
    </row>
    <row r="2950" spans="1:1" x14ac:dyDescent="0.25">
      <c r="A2950" t="s">
        <v>313</v>
      </c>
    </row>
    <row r="2951" spans="1:1" x14ac:dyDescent="0.25">
      <c r="A2951" t="s">
        <v>314</v>
      </c>
    </row>
    <row r="2952" spans="1:1" x14ac:dyDescent="0.25">
      <c r="A2952" t="s">
        <v>315</v>
      </c>
    </row>
    <row r="2953" spans="1:1" x14ac:dyDescent="0.25">
      <c r="A2953" t="s">
        <v>316</v>
      </c>
    </row>
    <row r="2954" spans="1:1" x14ac:dyDescent="0.25">
      <c r="A2954" t="s">
        <v>317</v>
      </c>
    </row>
    <row r="2955" spans="1:1" x14ac:dyDescent="0.25">
      <c r="A2955" t="s">
        <v>318</v>
      </c>
    </row>
    <row r="2956" spans="1:1" x14ac:dyDescent="0.25">
      <c r="A2956" t="s">
        <v>319</v>
      </c>
    </row>
    <row r="2957" spans="1:1" x14ac:dyDescent="0.25">
      <c r="A2957" t="s">
        <v>320</v>
      </c>
    </row>
    <row r="2958" spans="1:1" x14ac:dyDescent="0.25">
      <c r="A2958" t="s">
        <v>321</v>
      </c>
    </row>
    <row r="2959" spans="1:1" x14ac:dyDescent="0.25">
      <c r="A2959" t="s">
        <v>322</v>
      </c>
    </row>
    <row r="2960" spans="1:1" x14ac:dyDescent="0.25">
      <c r="A2960" t="s">
        <v>323</v>
      </c>
    </row>
    <row r="2961" spans="1:1" x14ac:dyDescent="0.25">
      <c r="A2961" t="s">
        <v>324</v>
      </c>
    </row>
    <row r="2962" spans="1:1" x14ac:dyDescent="0.25">
      <c r="A2962" t="s">
        <v>325</v>
      </c>
    </row>
    <row r="2963" spans="1:1" x14ac:dyDescent="0.25">
      <c r="A2963" t="s">
        <v>326</v>
      </c>
    </row>
    <row r="2964" spans="1:1" x14ac:dyDescent="0.25">
      <c r="A2964" t="s">
        <v>327</v>
      </c>
    </row>
    <row r="2965" spans="1:1" x14ac:dyDescent="0.25">
      <c r="A2965" t="s">
        <v>328</v>
      </c>
    </row>
    <row r="2966" spans="1:1" x14ac:dyDescent="0.25">
      <c r="A2966" t="s">
        <v>329</v>
      </c>
    </row>
    <row r="2967" spans="1:1" x14ac:dyDescent="0.25">
      <c r="A2967" t="s">
        <v>330</v>
      </c>
    </row>
    <row r="2968" spans="1:1" x14ac:dyDescent="0.25">
      <c r="A2968" t="s">
        <v>331</v>
      </c>
    </row>
    <row r="2969" spans="1:1" x14ac:dyDescent="0.25">
      <c r="A2969" t="s">
        <v>332</v>
      </c>
    </row>
    <row r="2970" spans="1:1" x14ac:dyDescent="0.25">
      <c r="A2970" t="s">
        <v>333</v>
      </c>
    </row>
    <row r="2971" spans="1:1" x14ac:dyDescent="0.25">
      <c r="A2971" t="s">
        <v>334</v>
      </c>
    </row>
    <row r="2972" spans="1:1" x14ac:dyDescent="0.25">
      <c r="A2972" t="s">
        <v>335</v>
      </c>
    </row>
    <row r="2973" spans="1:1" x14ac:dyDescent="0.25">
      <c r="A2973" t="s">
        <v>336</v>
      </c>
    </row>
    <row r="2974" spans="1:1" x14ac:dyDescent="0.25">
      <c r="A2974" t="s">
        <v>337</v>
      </c>
    </row>
    <row r="2975" spans="1:1" x14ac:dyDescent="0.25">
      <c r="A2975" t="s">
        <v>338</v>
      </c>
    </row>
    <row r="2976" spans="1:1" x14ac:dyDescent="0.25">
      <c r="A2976" t="s">
        <v>339</v>
      </c>
    </row>
    <row r="2977" spans="1:1" x14ac:dyDescent="0.25">
      <c r="A2977" t="s">
        <v>340</v>
      </c>
    </row>
    <row r="2978" spans="1:1" x14ac:dyDescent="0.25">
      <c r="A2978" t="s">
        <v>341</v>
      </c>
    </row>
    <row r="2979" spans="1:1" x14ac:dyDescent="0.25">
      <c r="A2979" t="s">
        <v>342</v>
      </c>
    </row>
    <row r="2980" spans="1:1" x14ac:dyDescent="0.25">
      <c r="A2980" t="s">
        <v>343</v>
      </c>
    </row>
    <row r="2981" spans="1:1" x14ac:dyDescent="0.25">
      <c r="A2981" t="s">
        <v>344</v>
      </c>
    </row>
    <row r="2982" spans="1:1" x14ac:dyDescent="0.25">
      <c r="A2982" t="s">
        <v>345</v>
      </c>
    </row>
    <row r="2983" spans="1:1" x14ac:dyDescent="0.25">
      <c r="A2983" t="s">
        <v>346</v>
      </c>
    </row>
    <row r="2984" spans="1:1" x14ac:dyDescent="0.25">
      <c r="A2984" t="s">
        <v>347</v>
      </c>
    </row>
    <row r="2985" spans="1:1" x14ac:dyDescent="0.25">
      <c r="A2985" t="s">
        <v>348</v>
      </c>
    </row>
    <row r="2986" spans="1:1" x14ac:dyDescent="0.25">
      <c r="A2986" t="s">
        <v>349</v>
      </c>
    </row>
    <row r="2987" spans="1:1" x14ac:dyDescent="0.25">
      <c r="A2987" t="s">
        <v>350</v>
      </c>
    </row>
    <row r="2988" spans="1:1" x14ac:dyDescent="0.25">
      <c r="A2988" t="s">
        <v>351</v>
      </c>
    </row>
    <row r="2989" spans="1:1" x14ac:dyDescent="0.25">
      <c r="A2989" t="s">
        <v>352</v>
      </c>
    </row>
    <row r="2990" spans="1:1" x14ac:dyDescent="0.25">
      <c r="A2990" t="s">
        <v>353</v>
      </c>
    </row>
    <row r="2991" spans="1:1" x14ac:dyDescent="0.25">
      <c r="A2991" t="s">
        <v>354</v>
      </c>
    </row>
    <row r="2992" spans="1:1" x14ac:dyDescent="0.25">
      <c r="A2992" t="s">
        <v>355</v>
      </c>
    </row>
    <row r="2993" spans="1:1" x14ac:dyDescent="0.25">
      <c r="A2993" t="s">
        <v>356</v>
      </c>
    </row>
    <row r="2994" spans="1:1" x14ac:dyDescent="0.25">
      <c r="A2994" t="s">
        <v>357</v>
      </c>
    </row>
    <row r="2995" spans="1:1" x14ac:dyDescent="0.25">
      <c r="A2995" t="s">
        <v>358</v>
      </c>
    </row>
    <row r="2996" spans="1:1" x14ac:dyDescent="0.25">
      <c r="A2996" t="s">
        <v>359</v>
      </c>
    </row>
    <row r="2997" spans="1:1" x14ac:dyDescent="0.25">
      <c r="A2997" t="s">
        <v>360</v>
      </c>
    </row>
    <row r="2998" spans="1:1" x14ac:dyDescent="0.25">
      <c r="A2998" t="s">
        <v>361</v>
      </c>
    </row>
    <row r="2999" spans="1:1" x14ac:dyDescent="0.25">
      <c r="A2999" t="s">
        <v>362</v>
      </c>
    </row>
    <row r="3000" spans="1:1" x14ac:dyDescent="0.25">
      <c r="A3000" t="s">
        <v>363</v>
      </c>
    </row>
    <row r="3001" spans="1:1" x14ac:dyDescent="0.25">
      <c r="A3001" t="s">
        <v>364</v>
      </c>
    </row>
    <row r="3002" spans="1:1" x14ac:dyDescent="0.25">
      <c r="A3002" t="s">
        <v>365</v>
      </c>
    </row>
    <row r="3003" spans="1:1" x14ac:dyDescent="0.25">
      <c r="A3003" t="s">
        <v>366</v>
      </c>
    </row>
    <row r="3004" spans="1:1" x14ac:dyDescent="0.25">
      <c r="A3004" t="s">
        <v>367</v>
      </c>
    </row>
    <row r="3005" spans="1:1" x14ac:dyDescent="0.25">
      <c r="A3005" t="s">
        <v>368</v>
      </c>
    </row>
    <row r="3006" spans="1:1" x14ac:dyDescent="0.25">
      <c r="A3006" t="s">
        <v>369</v>
      </c>
    </row>
    <row r="3007" spans="1:1" x14ac:dyDescent="0.25">
      <c r="A3007" t="s">
        <v>370</v>
      </c>
    </row>
    <row r="3008" spans="1:1" x14ac:dyDescent="0.25">
      <c r="A3008" t="s">
        <v>371</v>
      </c>
    </row>
    <row r="3009" spans="1:1" x14ac:dyDescent="0.25">
      <c r="A3009" t="s">
        <v>372</v>
      </c>
    </row>
    <row r="3010" spans="1:1" x14ac:dyDescent="0.25">
      <c r="A3010" t="s">
        <v>373</v>
      </c>
    </row>
    <row r="3011" spans="1:1" x14ac:dyDescent="0.25">
      <c r="A3011" t="s">
        <v>374</v>
      </c>
    </row>
    <row r="3012" spans="1:1" x14ac:dyDescent="0.25">
      <c r="A3012" t="s">
        <v>375</v>
      </c>
    </row>
    <row r="3013" spans="1:1" x14ac:dyDescent="0.25">
      <c r="A3013" t="s">
        <v>376</v>
      </c>
    </row>
    <row r="3014" spans="1:1" x14ac:dyDescent="0.25">
      <c r="A3014" t="s">
        <v>377</v>
      </c>
    </row>
    <row r="3015" spans="1:1" x14ac:dyDescent="0.25">
      <c r="A3015" t="s">
        <v>378</v>
      </c>
    </row>
    <row r="3016" spans="1:1" x14ac:dyDescent="0.25">
      <c r="A3016" t="s">
        <v>379</v>
      </c>
    </row>
    <row r="3017" spans="1:1" x14ac:dyDescent="0.25">
      <c r="A3017" t="s">
        <v>380</v>
      </c>
    </row>
    <row r="3018" spans="1:1" x14ac:dyDescent="0.25">
      <c r="A3018" t="s">
        <v>381</v>
      </c>
    </row>
    <row r="3019" spans="1:1" x14ac:dyDescent="0.25">
      <c r="A3019" t="s">
        <v>382</v>
      </c>
    </row>
    <row r="3020" spans="1:1" x14ac:dyDescent="0.25">
      <c r="A3020" t="s">
        <v>383</v>
      </c>
    </row>
    <row r="3021" spans="1:1" x14ac:dyDescent="0.25">
      <c r="A3021" t="s">
        <v>384</v>
      </c>
    </row>
    <row r="3022" spans="1:1" x14ac:dyDescent="0.25">
      <c r="A3022" t="s">
        <v>385</v>
      </c>
    </row>
    <row r="3023" spans="1:1" x14ac:dyDescent="0.25">
      <c r="A3023" t="s">
        <v>386</v>
      </c>
    </row>
    <row r="3024" spans="1:1" x14ac:dyDescent="0.25">
      <c r="A3024" t="s">
        <v>387</v>
      </c>
    </row>
    <row r="3025" spans="1:1" x14ac:dyDescent="0.25">
      <c r="A3025" t="s">
        <v>388</v>
      </c>
    </row>
    <row r="3026" spans="1:1" x14ac:dyDescent="0.25">
      <c r="A3026" t="s">
        <v>389</v>
      </c>
    </row>
    <row r="3027" spans="1:1" x14ac:dyDescent="0.25">
      <c r="A3027" t="s">
        <v>390</v>
      </c>
    </row>
    <row r="3028" spans="1:1" x14ac:dyDescent="0.25">
      <c r="A3028" t="s">
        <v>391</v>
      </c>
    </row>
    <row r="3029" spans="1:1" x14ac:dyDescent="0.25">
      <c r="A3029" t="s">
        <v>392</v>
      </c>
    </row>
    <row r="3030" spans="1:1" x14ac:dyDescent="0.25">
      <c r="A3030" t="s">
        <v>393</v>
      </c>
    </row>
    <row r="3031" spans="1:1" x14ac:dyDescent="0.25">
      <c r="A3031" t="s">
        <v>394</v>
      </c>
    </row>
    <row r="3032" spans="1:1" x14ac:dyDescent="0.25">
      <c r="A3032" t="s">
        <v>395</v>
      </c>
    </row>
    <row r="3033" spans="1:1" x14ac:dyDescent="0.25">
      <c r="A3033" t="s">
        <v>396</v>
      </c>
    </row>
    <row r="3034" spans="1:1" x14ac:dyDescent="0.25">
      <c r="A3034" t="s">
        <v>397</v>
      </c>
    </row>
    <row r="3035" spans="1:1" x14ac:dyDescent="0.25">
      <c r="A3035" t="s">
        <v>398</v>
      </c>
    </row>
    <row r="3036" spans="1:1" x14ac:dyDescent="0.25">
      <c r="A3036" t="s">
        <v>399</v>
      </c>
    </row>
    <row r="3037" spans="1:1" x14ac:dyDescent="0.25">
      <c r="A3037" t="s">
        <v>400</v>
      </c>
    </row>
    <row r="3038" spans="1:1" x14ac:dyDescent="0.25">
      <c r="A3038" t="s">
        <v>401</v>
      </c>
    </row>
    <row r="3039" spans="1:1" x14ac:dyDescent="0.25">
      <c r="A3039" t="s">
        <v>402</v>
      </c>
    </row>
    <row r="3040" spans="1:1" x14ac:dyDescent="0.25">
      <c r="A3040" t="s">
        <v>403</v>
      </c>
    </row>
    <row r="3041" spans="1:1" x14ac:dyDescent="0.25">
      <c r="A3041" t="s">
        <v>404</v>
      </c>
    </row>
    <row r="3042" spans="1:1" x14ac:dyDescent="0.25">
      <c r="A3042" t="s">
        <v>405</v>
      </c>
    </row>
    <row r="3043" spans="1:1" x14ac:dyDescent="0.25">
      <c r="A3043" t="s">
        <v>406</v>
      </c>
    </row>
    <row r="3044" spans="1:1" x14ac:dyDescent="0.25">
      <c r="A3044" t="s">
        <v>407</v>
      </c>
    </row>
    <row r="3045" spans="1:1" x14ac:dyDescent="0.25">
      <c r="A3045" t="s">
        <v>408</v>
      </c>
    </row>
    <row r="3046" spans="1:1" x14ac:dyDescent="0.25">
      <c r="A3046" t="s">
        <v>409</v>
      </c>
    </row>
    <row r="3047" spans="1:1" x14ac:dyDescent="0.25">
      <c r="A3047" t="s">
        <v>410</v>
      </c>
    </row>
    <row r="3048" spans="1:1" x14ac:dyDescent="0.25">
      <c r="A3048" t="s">
        <v>411</v>
      </c>
    </row>
    <row r="3049" spans="1:1" x14ac:dyDescent="0.25">
      <c r="A3049" t="s">
        <v>419</v>
      </c>
    </row>
    <row r="3050" spans="1:1" x14ac:dyDescent="0.25">
      <c r="A3050" t="s">
        <v>37</v>
      </c>
    </row>
    <row r="3051" spans="1:1" x14ac:dyDescent="0.25">
      <c r="A3051" t="s">
        <v>38</v>
      </c>
    </row>
    <row r="3052" spans="1:1" x14ac:dyDescent="0.25">
      <c r="A3052" t="s">
        <v>39</v>
      </c>
    </row>
    <row r="3053" spans="1:1" x14ac:dyDescent="0.25">
      <c r="A3053" t="s">
        <v>31</v>
      </c>
    </row>
    <row r="3054" spans="1:1" x14ac:dyDescent="0.25">
      <c r="A3054" t="s">
        <v>40</v>
      </c>
    </row>
    <row r="3055" spans="1:1" x14ac:dyDescent="0.25">
      <c r="A3055" t="s">
        <v>23</v>
      </c>
    </row>
    <row r="3056" spans="1:1" x14ac:dyDescent="0.25">
      <c r="A3056" t="s">
        <v>41</v>
      </c>
    </row>
    <row r="3057" spans="1:1" x14ac:dyDescent="0.25">
      <c r="A3057" t="s">
        <v>42</v>
      </c>
    </row>
    <row r="3058" spans="1:1" x14ac:dyDescent="0.25">
      <c r="A3058" t="s">
        <v>43</v>
      </c>
    </row>
    <row r="3059" spans="1:1" x14ac:dyDescent="0.25">
      <c r="A3059" t="s">
        <v>44</v>
      </c>
    </row>
    <row r="3060" spans="1:1" x14ac:dyDescent="0.25">
      <c r="A3060" t="s">
        <v>45</v>
      </c>
    </row>
    <row r="3061" spans="1:1" x14ac:dyDescent="0.25">
      <c r="A3061" t="s">
        <v>46</v>
      </c>
    </row>
    <row r="3062" spans="1:1" x14ac:dyDescent="0.25">
      <c r="A3062" t="s">
        <v>47</v>
      </c>
    </row>
    <row r="3063" spans="1:1" x14ac:dyDescent="0.25">
      <c r="A3063" t="s">
        <v>48</v>
      </c>
    </row>
    <row r="3064" spans="1:1" x14ac:dyDescent="0.25">
      <c r="A3064" t="s">
        <v>49</v>
      </c>
    </row>
    <row r="3065" spans="1:1" x14ac:dyDescent="0.25">
      <c r="A3065" t="s">
        <v>50</v>
      </c>
    </row>
    <row r="3066" spans="1:1" x14ac:dyDescent="0.25">
      <c r="A3066" t="s">
        <v>51</v>
      </c>
    </row>
    <row r="3067" spans="1:1" x14ac:dyDescent="0.25">
      <c r="A3067" t="s">
        <v>52</v>
      </c>
    </row>
    <row r="3068" spans="1:1" x14ac:dyDescent="0.25">
      <c r="A3068" t="s">
        <v>53</v>
      </c>
    </row>
    <row r="3069" spans="1:1" x14ac:dyDescent="0.25">
      <c r="A3069" t="s">
        <v>54</v>
      </c>
    </row>
    <row r="3070" spans="1:1" x14ac:dyDescent="0.25">
      <c r="A3070" t="s">
        <v>55</v>
      </c>
    </row>
    <row r="3071" spans="1:1" x14ac:dyDescent="0.25">
      <c r="A3071" t="s">
        <v>56</v>
      </c>
    </row>
    <row r="3072" spans="1:1" x14ac:dyDescent="0.25">
      <c r="A3072" t="s">
        <v>25</v>
      </c>
    </row>
    <row r="3073" spans="1:1" x14ac:dyDescent="0.25">
      <c r="A3073" t="s">
        <v>57</v>
      </c>
    </row>
    <row r="3074" spans="1:1" x14ac:dyDescent="0.25">
      <c r="A3074" t="s">
        <v>27</v>
      </c>
    </row>
    <row r="3075" spans="1:1" x14ac:dyDescent="0.25">
      <c r="A3075" t="s">
        <v>58</v>
      </c>
    </row>
    <row r="3076" spans="1:1" x14ac:dyDescent="0.25">
      <c r="A3076" t="s">
        <v>59</v>
      </c>
    </row>
    <row r="3077" spans="1:1" x14ac:dyDescent="0.25">
      <c r="A3077" t="s">
        <v>60</v>
      </c>
    </row>
    <row r="3078" spans="1:1" x14ac:dyDescent="0.25">
      <c r="A3078" t="s">
        <v>61</v>
      </c>
    </row>
    <row r="3079" spans="1:1" x14ac:dyDescent="0.25">
      <c r="A3079" t="s">
        <v>62</v>
      </c>
    </row>
    <row r="3080" spans="1:1" x14ac:dyDescent="0.25">
      <c r="A3080" t="s">
        <v>63</v>
      </c>
    </row>
    <row r="3081" spans="1:1" x14ac:dyDescent="0.25">
      <c r="A3081" t="s">
        <v>64</v>
      </c>
    </row>
    <row r="3082" spans="1:1" x14ac:dyDescent="0.25">
      <c r="A3082" t="s">
        <v>65</v>
      </c>
    </row>
    <row r="3083" spans="1:1" x14ac:dyDescent="0.25">
      <c r="A3083" t="s">
        <v>66</v>
      </c>
    </row>
    <row r="3084" spans="1:1" x14ac:dyDescent="0.25">
      <c r="A3084" t="s">
        <v>67</v>
      </c>
    </row>
    <row r="3085" spans="1:1" x14ac:dyDescent="0.25">
      <c r="A3085" t="s">
        <v>68</v>
      </c>
    </row>
    <row r="3086" spans="1:1" x14ac:dyDescent="0.25">
      <c r="A3086" t="s">
        <v>69</v>
      </c>
    </row>
    <row r="3087" spans="1:1" x14ac:dyDescent="0.25">
      <c r="A3087" t="s">
        <v>70</v>
      </c>
    </row>
    <row r="3088" spans="1:1" x14ac:dyDescent="0.25">
      <c r="A3088" t="s">
        <v>71</v>
      </c>
    </row>
    <row r="3089" spans="1:1" x14ac:dyDescent="0.25">
      <c r="A3089" t="s">
        <v>72</v>
      </c>
    </row>
    <row r="3090" spans="1:1" x14ac:dyDescent="0.25">
      <c r="A3090" t="s">
        <v>73</v>
      </c>
    </row>
    <row r="3091" spans="1:1" x14ac:dyDescent="0.25">
      <c r="A3091" t="s">
        <v>74</v>
      </c>
    </row>
    <row r="3092" spans="1:1" x14ac:dyDescent="0.25">
      <c r="A3092" t="s">
        <v>75</v>
      </c>
    </row>
    <row r="3093" spans="1:1" x14ac:dyDescent="0.25">
      <c r="A3093" t="s">
        <v>76</v>
      </c>
    </row>
    <row r="3094" spans="1:1" x14ac:dyDescent="0.25">
      <c r="A3094" t="s">
        <v>77</v>
      </c>
    </row>
    <row r="3095" spans="1:1" x14ac:dyDescent="0.25">
      <c r="A3095" t="s">
        <v>78</v>
      </c>
    </row>
    <row r="3096" spans="1:1" x14ac:dyDescent="0.25">
      <c r="A3096" t="s">
        <v>79</v>
      </c>
    </row>
    <row r="3097" spans="1:1" x14ac:dyDescent="0.25">
      <c r="A3097" t="s">
        <v>80</v>
      </c>
    </row>
    <row r="3098" spans="1:1" x14ac:dyDescent="0.25">
      <c r="A3098" t="s">
        <v>81</v>
      </c>
    </row>
    <row r="3099" spans="1:1" x14ac:dyDescent="0.25">
      <c r="A3099" t="s">
        <v>82</v>
      </c>
    </row>
    <row r="3100" spans="1:1" x14ac:dyDescent="0.25">
      <c r="A3100" t="s">
        <v>83</v>
      </c>
    </row>
    <row r="3101" spans="1:1" x14ac:dyDescent="0.25">
      <c r="A3101" t="s">
        <v>84</v>
      </c>
    </row>
    <row r="3102" spans="1:1" x14ac:dyDescent="0.25">
      <c r="A3102" t="s">
        <v>85</v>
      </c>
    </row>
    <row r="3103" spans="1:1" x14ac:dyDescent="0.25">
      <c r="A3103" t="s">
        <v>86</v>
      </c>
    </row>
    <row r="3104" spans="1:1" x14ac:dyDescent="0.25">
      <c r="A3104" t="s">
        <v>87</v>
      </c>
    </row>
    <row r="3105" spans="1:1" x14ac:dyDescent="0.25">
      <c r="A3105" t="s">
        <v>88</v>
      </c>
    </row>
    <row r="3106" spans="1:1" x14ac:dyDescent="0.25">
      <c r="A3106" t="s">
        <v>89</v>
      </c>
    </row>
    <row r="3107" spans="1:1" x14ac:dyDescent="0.25">
      <c r="A3107" t="s">
        <v>90</v>
      </c>
    </row>
    <row r="3108" spans="1:1" x14ac:dyDescent="0.25">
      <c r="A3108" t="s">
        <v>91</v>
      </c>
    </row>
    <row r="3109" spans="1:1" x14ac:dyDescent="0.25">
      <c r="A3109" t="s">
        <v>92</v>
      </c>
    </row>
    <row r="3110" spans="1:1" x14ac:dyDescent="0.25">
      <c r="A3110" t="s">
        <v>93</v>
      </c>
    </row>
    <row r="3111" spans="1:1" x14ac:dyDescent="0.25">
      <c r="A3111" t="s">
        <v>94</v>
      </c>
    </row>
    <row r="3112" spans="1:1" x14ac:dyDescent="0.25">
      <c r="A3112" t="s">
        <v>95</v>
      </c>
    </row>
    <row r="3113" spans="1:1" x14ac:dyDescent="0.25">
      <c r="A3113" t="s">
        <v>96</v>
      </c>
    </row>
    <row r="3114" spans="1:1" x14ac:dyDescent="0.25">
      <c r="A3114" t="s">
        <v>97</v>
      </c>
    </row>
    <row r="3115" spans="1:1" x14ac:dyDescent="0.25">
      <c r="A3115" t="s">
        <v>98</v>
      </c>
    </row>
    <row r="3116" spans="1:1" x14ac:dyDescent="0.25">
      <c r="A3116" t="s">
        <v>99</v>
      </c>
    </row>
    <row r="3117" spans="1:1" x14ac:dyDescent="0.25">
      <c r="A3117" t="s">
        <v>100</v>
      </c>
    </row>
    <row r="3118" spans="1:1" x14ac:dyDescent="0.25">
      <c r="A3118" t="s">
        <v>101</v>
      </c>
    </row>
    <row r="3119" spans="1:1" x14ac:dyDescent="0.25">
      <c r="A3119" t="s">
        <v>102</v>
      </c>
    </row>
    <row r="3120" spans="1:1" x14ac:dyDescent="0.25">
      <c r="A3120" t="s">
        <v>103</v>
      </c>
    </row>
    <row r="3121" spans="1:1" x14ac:dyDescent="0.25">
      <c r="A3121" t="s">
        <v>104</v>
      </c>
    </row>
    <row r="3122" spans="1:1" x14ac:dyDescent="0.25">
      <c r="A3122" t="s">
        <v>105</v>
      </c>
    </row>
    <row r="3123" spans="1:1" x14ac:dyDescent="0.25">
      <c r="A3123" t="s">
        <v>106</v>
      </c>
    </row>
    <row r="3124" spans="1:1" x14ac:dyDescent="0.25">
      <c r="A3124" t="s">
        <v>107</v>
      </c>
    </row>
    <row r="3125" spans="1:1" x14ac:dyDescent="0.25">
      <c r="A3125" t="s">
        <v>108</v>
      </c>
    </row>
    <row r="3126" spans="1:1" x14ac:dyDescent="0.25">
      <c r="A3126" t="s">
        <v>109</v>
      </c>
    </row>
    <row r="3127" spans="1:1" x14ac:dyDescent="0.25">
      <c r="A3127" t="s">
        <v>110</v>
      </c>
    </row>
    <row r="3128" spans="1:1" x14ac:dyDescent="0.25">
      <c r="A3128" t="s">
        <v>111</v>
      </c>
    </row>
    <row r="3129" spans="1:1" x14ac:dyDescent="0.25">
      <c r="A3129" t="s">
        <v>112</v>
      </c>
    </row>
    <row r="3130" spans="1:1" x14ac:dyDescent="0.25">
      <c r="A3130" t="s">
        <v>113</v>
      </c>
    </row>
    <row r="3131" spans="1:1" x14ac:dyDescent="0.25">
      <c r="A3131" t="s">
        <v>114</v>
      </c>
    </row>
    <row r="3132" spans="1:1" x14ac:dyDescent="0.25">
      <c r="A3132" t="s">
        <v>115</v>
      </c>
    </row>
    <row r="3133" spans="1:1" x14ac:dyDescent="0.25">
      <c r="A3133" t="s">
        <v>116</v>
      </c>
    </row>
    <row r="3134" spans="1:1" x14ac:dyDescent="0.25">
      <c r="A3134" t="s">
        <v>117</v>
      </c>
    </row>
    <row r="3135" spans="1:1" x14ac:dyDescent="0.25">
      <c r="A3135" t="s">
        <v>118</v>
      </c>
    </row>
    <row r="3136" spans="1:1" x14ac:dyDescent="0.25">
      <c r="A3136" t="s">
        <v>119</v>
      </c>
    </row>
    <row r="3137" spans="1:1" x14ac:dyDescent="0.25">
      <c r="A3137" t="s">
        <v>120</v>
      </c>
    </row>
    <row r="3138" spans="1:1" x14ac:dyDescent="0.25">
      <c r="A3138" t="s">
        <v>121</v>
      </c>
    </row>
    <row r="3139" spans="1:1" x14ac:dyDescent="0.25">
      <c r="A3139" t="s">
        <v>122</v>
      </c>
    </row>
    <row r="3140" spans="1:1" x14ac:dyDescent="0.25">
      <c r="A3140" t="s">
        <v>123</v>
      </c>
    </row>
    <row r="3141" spans="1:1" x14ac:dyDescent="0.25">
      <c r="A3141" t="s">
        <v>124</v>
      </c>
    </row>
    <row r="3142" spans="1:1" x14ac:dyDescent="0.25">
      <c r="A3142" t="s">
        <v>125</v>
      </c>
    </row>
    <row r="3143" spans="1:1" x14ac:dyDescent="0.25">
      <c r="A3143" t="s">
        <v>126</v>
      </c>
    </row>
    <row r="3144" spans="1:1" x14ac:dyDescent="0.25">
      <c r="A3144" t="s">
        <v>127</v>
      </c>
    </row>
    <row r="3145" spans="1:1" x14ac:dyDescent="0.25">
      <c r="A3145" t="s">
        <v>128</v>
      </c>
    </row>
    <row r="3146" spans="1:1" x14ac:dyDescent="0.25">
      <c r="A3146" t="s">
        <v>129</v>
      </c>
    </row>
    <row r="3147" spans="1:1" x14ac:dyDescent="0.25">
      <c r="A3147" t="s">
        <v>130</v>
      </c>
    </row>
    <row r="3148" spans="1:1" x14ac:dyDescent="0.25">
      <c r="A3148" t="s">
        <v>131</v>
      </c>
    </row>
    <row r="3149" spans="1:1" x14ac:dyDescent="0.25">
      <c r="A3149" t="s">
        <v>132</v>
      </c>
    </row>
    <row r="3150" spans="1:1" x14ac:dyDescent="0.25">
      <c r="A3150" t="s">
        <v>133</v>
      </c>
    </row>
    <row r="3151" spans="1:1" x14ac:dyDescent="0.25">
      <c r="A3151" t="s">
        <v>134</v>
      </c>
    </row>
    <row r="3152" spans="1:1" x14ac:dyDescent="0.25">
      <c r="A3152" t="s">
        <v>135</v>
      </c>
    </row>
    <row r="3153" spans="1:1" x14ac:dyDescent="0.25">
      <c r="A3153" t="s">
        <v>136</v>
      </c>
    </row>
    <row r="3154" spans="1:1" x14ac:dyDescent="0.25">
      <c r="A3154" t="s">
        <v>137</v>
      </c>
    </row>
    <row r="3155" spans="1:1" x14ac:dyDescent="0.25">
      <c r="A3155" t="s">
        <v>138</v>
      </c>
    </row>
    <row r="3156" spans="1:1" x14ac:dyDescent="0.25">
      <c r="A3156" t="s">
        <v>139</v>
      </c>
    </row>
    <row r="3157" spans="1:1" x14ac:dyDescent="0.25">
      <c r="A3157" t="s">
        <v>140</v>
      </c>
    </row>
    <row r="3158" spans="1:1" x14ac:dyDescent="0.25">
      <c r="A3158" t="s">
        <v>141</v>
      </c>
    </row>
    <row r="3159" spans="1:1" x14ac:dyDescent="0.25">
      <c r="A3159" t="s">
        <v>142</v>
      </c>
    </row>
    <row r="3160" spans="1:1" x14ac:dyDescent="0.25">
      <c r="A3160" t="s">
        <v>143</v>
      </c>
    </row>
    <row r="3161" spans="1:1" x14ac:dyDescent="0.25">
      <c r="A3161" t="s">
        <v>144</v>
      </c>
    </row>
    <row r="3162" spans="1:1" x14ac:dyDescent="0.25">
      <c r="A3162" t="s">
        <v>145</v>
      </c>
    </row>
    <row r="3163" spans="1:1" x14ac:dyDescent="0.25">
      <c r="A3163" t="s">
        <v>146</v>
      </c>
    </row>
    <row r="3164" spans="1:1" x14ac:dyDescent="0.25">
      <c r="A3164" t="s">
        <v>147</v>
      </c>
    </row>
    <row r="3165" spans="1:1" x14ac:dyDescent="0.25">
      <c r="A3165" t="s">
        <v>148</v>
      </c>
    </row>
    <row r="3166" spans="1:1" x14ac:dyDescent="0.25">
      <c r="A3166" t="s">
        <v>149</v>
      </c>
    </row>
    <row r="3167" spans="1:1" x14ac:dyDescent="0.25">
      <c r="A3167" t="s">
        <v>150</v>
      </c>
    </row>
    <row r="3168" spans="1:1" x14ac:dyDescent="0.25">
      <c r="A3168" t="s">
        <v>151</v>
      </c>
    </row>
    <row r="3169" spans="1:1" x14ac:dyDescent="0.25">
      <c r="A3169" t="s">
        <v>152</v>
      </c>
    </row>
    <row r="3170" spans="1:1" x14ac:dyDescent="0.25">
      <c r="A3170" t="s">
        <v>153</v>
      </c>
    </row>
    <row r="3171" spans="1:1" x14ac:dyDescent="0.25">
      <c r="A3171" t="s">
        <v>154</v>
      </c>
    </row>
    <row r="3172" spans="1:1" x14ac:dyDescent="0.25">
      <c r="A3172" t="s">
        <v>155</v>
      </c>
    </row>
    <row r="3173" spans="1:1" x14ac:dyDescent="0.25">
      <c r="A3173" t="s">
        <v>156</v>
      </c>
    </row>
    <row r="3174" spans="1:1" x14ac:dyDescent="0.25">
      <c r="A3174" t="s">
        <v>157</v>
      </c>
    </row>
    <row r="3175" spans="1:1" x14ac:dyDescent="0.25">
      <c r="A3175" t="s">
        <v>158</v>
      </c>
    </row>
    <row r="3176" spans="1:1" x14ac:dyDescent="0.25">
      <c r="A3176" t="s">
        <v>159</v>
      </c>
    </row>
    <row r="3177" spans="1:1" x14ac:dyDescent="0.25">
      <c r="A3177" t="s">
        <v>160</v>
      </c>
    </row>
    <row r="3178" spans="1:1" x14ac:dyDescent="0.25">
      <c r="A3178" t="s">
        <v>161</v>
      </c>
    </row>
    <row r="3179" spans="1:1" x14ac:dyDescent="0.25">
      <c r="A3179" t="s">
        <v>162</v>
      </c>
    </row>
    <row r="3180" spans="1:1" x14ac:dyDescent="0.25">
      <c r="A3180" t="s">
        <v>163</v>
      </c>
    </row>
    <row r="3181" spans="1:1" x14ac:dyDescent="0.25">
      <c r="A3181" t="s">
        <v>164</v>
      </c>
    </row>
    <row r="3182" spans="1:1" x14ac:dyDescent="0.25">
      <c r="A3182" t="s">
        <v>165</v>
      </c>
    </row>
    <row r="3183" spans="1:1" x14ac:dyDescent="0.25">
      <c r="A3183" t="s">
        <v>166</v>
      </c>
    </row>
    <row r="3184" spans="1:1" x14ac:dyDescent="0.25">
      <c r="A3184" t="s">
        <v>167</v>
      </c>
    </row>
    <row r="3185" spans="1:1" x14ac:dyDescent="0.25">
      <c r="A3185" t="s">
        <v>168</v>
      </c>
    </row>
    <row r="3186" spans="1:1" x14ac:dyDescent="0.25">
      <c r="A3186" t="s">
        <v>169</v>
      </c>
    </row>
    <row r="3187" spans="1:1" x14ac:dyDescent="0.25">
      <c r="A3187" t="s">
        <v>170</v>
      </c>
    </row>
    <row r="3188" spans="1:1" x14ac:dyDescent="0.25">
      <c r="A3188" t="s">
        <v>171</v>
      </c>
    </row>
    <row r="3189" spans="1:1" x14ac:dyDescent="0.25">
      <c r="A3189" t="s">
        <v>172</v>
      </c>
    </row>
    <row r="3190" spans="1:1" x14ac:dyDescent="0.25">
      <c r="A3190" t="s">
        <v>173</v>
      </c>
    </row>
    <row r="3191" spans="1:1" x14ac:dyDescent="0.25">
      <c r="A3191" t="s">
        <v>174</v>
      </c>
    </row>
    <row r="3192" spans="1:1" x14ac:dyDescent="0.25">
      <c r="A3192" t="s">
        <v>175</v>
      </c>
    </row>
    <row r="3193" spans="1:1" x14ac:dyDescent="0.25">
      <c r="A3193" t="s">
        <v>176</v>
      </c>
    </row>
    <row r="3194" spans="1:1" x14ac:dyDescent="0.25">
      <c r="A3194" t="s">
        <v>177</v>
      </c>
    </row>
    <row r="3195" spans="1:1" x14ac:dyDescent="0.25">
      <c r="A3195" t="s">
        <v>178</v>
      </c>
    </row>
    <row r="3196" spans="1:1" x14ac:dyDescent="0.25">
      <c r="A3196" t="s">
        <v>179</v>
      </c>
    </row>
    <row r="3197" spans="1:1" x14ac:dyDescent="0.25">
      <c r="A3197" t="s">
        <v>180</v>
      </c>
    </row>
    <row r="3198" spans="1:1" x14ac:dyDescent="0.25">
      <c r="A3198" t="s">
        <v>181</v>
      </c>
    </row>
    <row r="3199" spans="1:1" x14ac:dyDescent="0.25">
      <c r="A3199" t="s">
        <v>182</v>
      </c>
    </row>
    <row r="3200" spans="1:1" x14ac:dyDescent="0.25">
      <c r="A3200" t="s">
        <v>183</v>
      </c>
    </row>
    <row r="3201" spans="1:1" x14ac:dyDescent="0.25">
      <c r="A3201" t="s">
        <v>184</v>
      </c>
    </row>
    <row r="3202" spans="1:1" x14ac:dyDescent="0.25">
      <c r="A3202" t="s">
        <v>185</v>
      </c>
    </row>
    <row r="3203" spans="1:1" x14ac:dyDescent="0.25">
      <c r="A3203" t="s">
        <v>186</v>
      </c>
    </row>
    <row r="3204" spans="1:1" x14ac:dyDescent="0.25">
      <c r="A3204" t="s">
        <v>187</v>
      </c>
    </row>
    <row r="3205" spans="1:1" x14ac:dyDescent="0.25">
      <c r="A3205" t="s">
        <v>188</v>
      </c>
    </row>
    <row r="3206" spans="1:1" x14ac:dyDescent="0.25">
      <c r="A3206" t="s">
        <v>189</v>
      </c>
    </row>
    <row r="3207" spans="1:1" x14ac:dyDescent="0.25">
      <c r="A3207" t="s">
        <v>190</v>
      </c>
    </row>
    <row r="3208" spans="1:1" x14ac:dyDescent="0.25">
      <c r="A3208" t="s">
        <v>191</v>
      </c>
    </row>
    <row r="3209" spans="1:1" x14ac:dyDescent="0.25">
      <c r="A3209" t="s">
        <v>192</v>
      </c>
    </row>
    <row r="3210" spans="1:1" x14ac:dyDescent="0.25">
      <c r="A3210" t="s">
        <v>193</v>
      </c>
    </row>
    <row r="3211" spans="1:1" x14ac:dyDescent="0.25">
      <c r="A3211" t="s">
        <v>194</v>
      </c>
    </row>
    <row r="3212" spans="1:1" x14ac:dyDescent="0.25">
      <c r="A3212" t="s">
        <v>195</v>
      </c>
    </row>
    <row r="3213" spans="1:1" x14ac:dyDescent="0.25">
      <c r="A3213" t="s">
        <v>196</v>
      </c>
    </row>
    <row r="3214" spans="1:1" x14ac:dyDescent="0.25">
      <c r="A3214" t="s">
        <v>197</v>
      </c>
    </row>
    <row r="3215" spans="1:1" x14ac:dyDescent="0.25">
      <c r="A3215" t="s">
        <v>198</v>
      </c>
    </row>
    <row r="3216" spans="1:1" x14ac:dyDescent="0.25">
      <c r="A3216" t="s">
        <v>199</v>
      </c>
    </row>
    <row r="3217" spans="1:1" x14ac:dyDescent="0.25">
      <c r="A3217" t="s">
        <v>200</v>
      </c>
    </row>
    <row r="3218" spans="1:1" x14ac:dyDescent="0.25">
      <c r="A3218" t="s">
        <v>201</v>
      </c>
    </row>
    <row r="3219" spans="1:1" x14ac:dyDescent="0.25">
      <c r="A3219" t="s">
        <v>202</v>
      </c>
    </row>
    <row r="3220" spans="1:1" x14ac:dyDescent="0.25">
      <c r="A3220" t="s">
        <v>203</v>
      </c>
    </row>
    <row r="3221" spans="1:1" x14ac:dyDescent="0.25">
      <c r="A3221" t="s">
        <v>204</v>
      </c>
    </row>
    <row r="3222" spans="1:1" x14ac:dyDescent="0.25">
      <c r="A3222" t="s">
        <v>205</v>
      </c>
    </row>
    <row r="3223" spans="1:1" x14ac:dyDescent="0.25">
      <c r="A3223" t="s">
        <v>206</v>
      </c>
    </row>
    <row r="3224" spans="1:1" x14ac:dyDescent="0.25">
      <c r="A3224" t="s">
        <v>207</v>
      </c>
    </row>
    <row r="3225" spans="1:1" x14ac:dyDescent="0.25">
      <c r="A3225" t="s">
        <v>208</v>
      </c>
    </row>
    <row r="3226" spans="1:1" x14ac:dyDescent="0.25">
      <c r="A3226" t="s">
        <v>209</v>
      </c>
    </row>
    <row r="3227" spans="1:1" x14ac:dyDescent="0.25">
      <c r="A3227" t="s">
        <v>210</v>
      </c>
    </row>
    <row r="3228" spans="1:1" x14ac:dyDescent="0.25">
      <c r="A3228" t="s">
        <v>211</v>
      </c>
    </row>
    <row r="3229" spans="1:1" x14ac:dyDescent="0.25">
      <c r="A3229" t="s">
        <v>212</v>
      </c>
    </row>
    <row r="3230" spans="1:1" x14ac:dyDescent="0.25">
      <c r="A3230" t="s">
        <v>213</v>
      </c>
    </row>
    <row r="3231" spans="1:1" x14ac:dyDescent="0.25">
      <c r="A3231" t="s">
        <v>214</v>
      </c>
    </row>
    <row r="3232" spans="1:1" x14ac:dyDescent="0.25">
      <c r="A3232" t="s">
        <v>215</v>
      </c>
    </row>
    <row r="3233" spans="1:1" x14ac:dyDescent="0.25">
      <c r="A3233" t="s">
        <v>216</v>
      </c>
    </row>
    <row r="3234" spans="1:1" x14ac:dyDescent="0.25">
      <c r="A3234" t="s">
        <v>217</v>
      </c>
    </row>
    <row r="3235" spans="1:1" x14ac:dyDescent="0.25">
      <c r="A3235" t="s">
        <v>218</v>
      </c>
    </row>
    <row r="3236" spans="1:1" x14ac:dyDescent="0.25">
      <c r="A3236" t="s">
        <v>219</v>
      </c>
    </row>
    <row r="3237" spans="1:1" x14ac:dyDescent="0.25">
      <c r="A3237" t="s">
        <v>220</v>
      </c>
    </row>
    <row r="3238" spans="1:1" x14ac:dyDescent="0.25">
      <c r="A3238" t="s">
        <v>221</v>
      </c>
    </row>
    <row r="3239" spans="1:1" x14ac:dyDescent="0.25">
      <c r="A3239" t="s">
        <v>222</v>
      </c>
    </row>
    <row r="3240" spans="1:1" x14ac:dyDescent="0.25">
      <c r="A3240" t="s">
        <v>223</v>
      </c>
    </row>
    <row r="3241" spans="1:1" x14ac:dyDescent="0.25">
      <c r="A3241" t="s">
        <v>224</v>
      </c>
    </row>
    <row r="3242" spans="1:1" x14ac:dyDescent="0.25">
      <c r="A3242" t="s">
        <v>225</v>
      </c>
    </row>
    <row r="3243" spans="1:1" x14ac:dyDescent="0.25">
      <c r="A3243" t="s">
        <v>226</v>
      </c>
    </row>
    <row r="3244" spans="1:1" x14ac:dyDescent="0.25">
      <c r="A3244" t="s">
        <v>227</v>
      </c>
    </row>
    <row r="3245" spans="1:1" x14ac:dyDescent="0.25">
      <c r="A3245" t="s">
        <v>228</v>
      </c>
    </row>
    <row r="3246" spans="1:1" x14ac:dyDescent="0.25">
      <c r="A3246" t="s">
        <v>229</v>
      </c>
    </row>
    <row r="3247" spans="1:1" x14ac:dyDescent="0.25">
      <c r="A3247" t="s">
        <v>230</v>
      </c>
    </row>
    <row r="3248" spans="1:1" x14ac:dyDescent="0.25">
      <c r="A3248" t="s">
        <v>231</v>
      </c>
    </row>
    <row r="3249" spans="1:1" x14ac:dyDescent="0.25">
      <c r="A3249" t="s">
        <v>232</v>
      </c>
    </row>
    <row r="3250" spans="1:1" x14ac:dyDescent="0.25">
      <c r="A3250" t="s">
        <v>233</v>
      </c>
    </row>
    <row r="3251" spans="1:1" x14ac:dyDescent="0.25">
      <c r="A3251" t="s">
        <v>234</v>
      </c>
    </row>
    <row r="3252" spans="1:1" x14ac:dyDescent="0.25">
      <c r="A3252" t="s">
        <v>235</v>
      </c>
    </row>
    <row r="3253" spans="1:1" x14ac:dyDescent="0.25">
      <c r="A3253" t="s">
        <v>236</v>
      </c>
    </row>
    <row r="3254" spans="1:1" x14ac:dyDescent="0.25">
      <c r="A3254" t="s">
        <v>237</v>
      </c>
    </row>
    <row r="3255" spans="1:1" x14ac:dyDescent="0.25">
      <c r="A3255" t="s">
        <v>238</v>
      </c>
    </row>
    <row r="3256" spans="1:1" x14ac:dyDescent="0.25">
      <c r="A3256" t="s">
        <v>239</v>
      </c>
    </row>
    <row r="3257" spans="1:1" x14ac:dyDescent="0.25">
      <c r="A3257" t="s">
        <v>240</v>
      </c>
    </row>
    <row r="3258" spans="1:1" x14ac:dyDescent="0.25">
      <c r="A3258" t="s">
        <v>241</v>
      </c>
    </row>
    <row r="3259" spans="1:1" x14ac:dyDescent="0.25">
      <c r="A3259" t="s">
        <v>242</v>
      </c>
    </row>
    <row r="3260" spans="1:1" x14ac:dyDescent="0.25">
      <c r="A3260" t="s">
        <v>243</v>
      </c>
    </row>
    <row r="3261" spans="1:1" x14ac:dyDescent="0.25">
      <c r="A3261" t="s">
        <v>244</v>
      </c>
    </row>
    <row r="3262" spans="1:1" x14ac:dyDescent="0.25">
      <c r="A3262" t="s">
        <v>245</v>
      </c>
    </row>
    <row r="3263" spans="1:1" x14ac:dyDescent="0.25">
      <c r="A3263" t="s">
        <v>246</v>
      </c>
    </row>
    <row r="3264" spans="1:1" x14ac:dyDescent="0.25">
      <c r="A3264" t="s">
        <v>247</v>
      </c>
    </row>
    <row r="3265" spans="1:1" x14ac:dyDescent="0.25">
      <c r="A3265" t="s">
        <v>248</v>
      </c>
    </row>
    <row r="3266" spans="1:1" x14ac:dyDescent="0.25">
      <c r="A3266" t="s">
        <v>249</v>
      </c>
    </row>
    <row r="3267" spans="1:1" x14ac:dyDescent="0.25">
      <c r="A3267" t="s">
        <v>250</v>
      </c>
    </row>
    <row r="3268" spans="1:1" x14ac:dyDescent="0.25">
      <c r="A3268" t="s">
        <v>251</v>
      </c>
    </row>
    <row r="3269" spans="1:1" x14ac:dyDescent="0.25">
      <c r="A3269" t="s">
        <v>252</v>
      </c>
    </row>
    <row r="3270" spans="1:1" x14ac:dyDescent="0.25">
      <c r="A3270" t="s">
        <v>32</v>
      </c>
    </row>
    <row r="3271" spans="1:1" x14ac:dyDescent="0.25">
      <c r="A3271" t="s">
        <v>253</v>
      </c>
    </row>
    <row r="3272" spans="1:1" x14ac:dyDescent="0.25">
      <c r="A3272" t="s">
        <v>254</v>
      </c>
    </row>
    <row r="3273" spans="1:1" x14ac:dyDescent="0.25">
      <c r="A3273" t="s">
        <v>255</v>
      </c>
    </row>
    <row r="3274" spans="1:1" x14ac:dyDescent="0.25">
      <c r="A3274" t="s">
        <v>256</v>
      </c>
    </row>
    <row r="3275" spans="1:1" x14ac:dyDescent="0.25">
      <c r="A3275" t="s">
        <v>257</v>
      </c>
    </row>
    <row r="3276" spans="1:1" x14ac:dyDescent="0.25">
      <c r="A3276" t="s">
        <v>258</v>
      </c>
    </row>
    <row r="3277" spans="1:1" x14ac:dyDescent="0.25">
      <c r="A3277" t="s">
        <v>259</v>
      </c>
    </row>
    <row r="3278" spans="1:1" x14ac:dyDescent="0.25">
      <c r="A3278" t="s">
        <v>260</v>
      </c>
    </row>
    <row r="3279" spans="1:1" x14ac:dyDescent="0.25">
      <c r="A3279" t="s">
        <v>261</v>
      </c>
    </row>
    <row r="3280" spans="1:1" x14ac:dyDescent="0.25">
      <c r="A3280" t="s">
        <v>262</v>
      </c>
    </row>
    <row r="3281" spans="1:1" x14ac:dyDescent="0.25">
      <c r="A3281" t="s">
        <v>263</v>
      </c>
    </row>
    <row r="3282" spans="1:1" x14ac:dyDescent="0.25">
      <c r="A3282" t="s">
        <v>264</v>
      </c>
    </row>
    <row r="3283" spans="1:1" x14ac:dyDescent="0.25">
      <c r="A3283" t="s">
        <v>265</v>
      </c>
    </row>
    <row r="3284" spans="1:1" x14ac:dyDescent="0.25">
      <c r="A3284" t="s">
        <v>266</v>
      </c>
    </row>
    <row r="3285" spans="1:1" x14ac:dyDescent="0.25">
      <c r="A3285" t="s">
        <v>267</v>
      </c>
    </row>
    <row r="3286" spans="1:1" x14ac:dyDescent="0.25">
      <c r="A3286" t="s">
        <v>268</v>
      </c>
    </row>
    <row r="3287" spans="1:1" x14ac:dyDescent="0.25">
      <c r="A3287" t="s">
        <v>269</v>
      </c>
    </row>
    <row r="3288" spans="1:1" x14ac:dyDescent="0.25">
      <c r="A3288" t="s">
        <v>270</v>
      </c>
    </row>
    <row r="3289" spans="1:1" x14ac:dyDescent="0.25">
      <c r="A3289" t="s">
        <v>271</v>
      </c>
    </row>
    <row r="3290" spans="1:1" x14ac:dyDescent="0.25">
      <c r="A3290" t="s">
        <v>272</v>
      </c>
    </row>
    <row r="3291" spans="1:1" x14ac:dyDescent="0.25">
      <c r="A3291" t="s">
        <v>273</v>
      </c>
    </row>
    <row r="3292" spans="1:1" x14ac:dyDescent="0.25">
      <c r="A3292" t="s">
        <v>274</v>
      </c>
    </row>
    <row r="3293" spans="1:1" x14ac:dyDescent="0.25">
      <c r="A3293" t="s">
        <v>275</v>
      </c>
    </row>
    <row r="3294" spans="1:1" x14ac:dyDescent="0.25">
      <c r="A3294" t="s">
        <v>276</v>
      </c>
    </row>
    <row r="3295" spans="1:1" x14ac:dyDescent="0.25">
      <c r="A3295" t="s">
        <v>277</v>
      </c>
    </row>
    <row r="3296" spans="1:1" x14ac:dyDescent="0.25">
      <c r="A3296" t="s">
        <v>278</v>
      </c>
    </row>
    <row r="3297" spans="1:1" x14ac:dyDescent="0.25">
      <c r="A3297" t="s">
        <v>279</v>
      </c>
    </row>
    <row r="3298" spans="1:1" x14ac:dyDescent="0.25">
      <c r="A3298" t="s">
        <v>280</v>
      </c>
    </row>
    <row r="3299" spans="1:1" x14ac:dyDescent="0.25">
      <c r="A3299" t="s">
        <v>281</v>
      </c>
    </row>
    <row r="3300" spans="1:1" x14ac:dyDescent="0.25">
      <c r="A3300" t="s">
        <v>282</v>
      </c>
    </row>
    <row r="3301" spans="1:1" x14ac:dyDescent="0.25">
      <c r="A3301" t="s">
        <v>283</v>
      </c>
    </row>
    <row r="3302" spans="1:1" x14ac:dyDescent="0.25">
      <c r="A3302" t="s">
        <v>284</v>
      </c>
    </row>
    <row r="3303" spans="1:1" x14ac:dyDescent="0.25">
      <c r="A3303" t="s">
        <v>285</v>
      </c>
    </row>
    <row r="3304" spans="1:1" x14ac:dyDescent="0.25">
      <c r="A3304" t="s">
        <v>286</v>
      </c>
    </row>
    <row r="3305" spans="1:1" x14ac:dyDescent="0.25">
      <c r="A3305" t="s">
        <v>287</v>
      </c>
    </row>
    <row r="3306" spans="1:1" x14ac:dyDescent="0.25">
      <c r="A3306" t="s">
        <v>288</v>
      </c>
    </row>
    <row r="3307" spans="1:1" x14ac:dyDescent="0.25">
      <c r="A3307" t="s">
        <v>289</v>
      </c>
    </row>
    <row r="3308" spans="1:1" x14ac:dyDescent="0.25">
      <c r="A3308" t="s">
        <v>290</v>
      </c>
    </row>
    <row r="3309" spans="1:1" x14ac:dyDescent="0.25">
      <c r="A3309" t="s">
        <v>291</v>
      </c>
    </row>
    <row r="3310" spans="1:1" x14ac:dyDescent="0.25">
      <c r="A3310" t="s">
        <v>292</v>
      </c>
    </row>
    <row r="3311" spans="1:1" x14ac:dyDescent="0.25">
      <c r="A3311" t="s">
        <v>293</v>
      </c>
    </row>
    <row r="3312" spans="1:1" x14ac:dyDescent="0.25">
      <c r="A3312" t="s">
        <v>294</v>
      </c>
    </row>
    <row r="3313" spans="1:1" x14ac:dyDescent="0.25">
      <c r="A3313" t="s">
        <v>295</v>
      </c>
    </row>
    <row r="3314" spans="1:1" x14ac:dyDescent="0.25">
      <c r="A3314" t="s">
        <v>296</v>
      </c>
    </row>
    <row r="3315" spans="1:1" x14ac:dyDescent="0.25">
      <c r="A3315" t="s">
        <v>297</v>
      </c>
    </row>
    <row r="3316" spans="1:1" x14ac:dyDescent="0.25">
      <c r="A3316" t="s">
        <v>298</v>
      </c>
    </row>
    <row r="3317" spans="1:1" x14ac:dyDescent="0.25">
      <c r="A3317" t="s">
        <v>299</v>
      </c>
    </row>
    <row r="3318" spans="1:1" x14ac:dyDescent="0.25">
      <c r="A3318" t="s">
        <v>300</v>
      </c>
    </row>
    <row r="3319" spans="1:1" x14ac:dyDescent="0.25">
      <c r="A3319" t="s">
        <v>301</v>
      </c>
    </row>
    <row r="3320" spans="1:1" x14ac:dyDescent="0.25">
      <c r="A3320" t="s">
        <v>302</v>
      </c>
    </row>
    <row r="3321" spans="1:1" x14ac:dyDescent="0.25">
      <c r="A3321" t="s">
        <v>303</v>
      </c>
    </row>
    <row r="3322" spans="1:1" x14ac:dyDescent="0.25">
      <c r="A3322" t="s">
        <v>304</v>
      </c>
    </row>
    <row r="3323" spans="1:1" x14ac:dyDescent="0.25">
      <c r="A3323" t="s">
        <v>305</v>
      </c>
    </row>
    <row r="3324" spans="1:1" x14ac:dyDescent="0.25">
      <c r="A3324" t="s">
        <v>306</v>
      </c>
    </row>
    <row r="3325" spans="1:1" x14ac:dyDescent="0.25">
      <c r="A3325" t="s">
        <v>307</v>
      </c>
    </row>
    <row r="3326" spans="1:1" x14ac:dyDescent="0.25">
      <c r="A3326" t="s">
        <v>308</v>
      </c>
    </row>
    <row r="3327" spans="1:1" x14ac:dyDescent="0.25">
      <c r="A3327" t="s">
        <v>309</v>
      </c>
    </row>
    <row r="3328" spans="1:1" x14ac:dyDescent="0.25">
      <c r="A3328" t="s">
        <v>310</v>
      </c>
    </row>
    <row r="3329" spans="1:1" x14ac:dyDescent="0.25">
      <c r="A3329" t="s">
        <v>311</v>
      </c>
    </row>
    <row r="3330" spans="1:1" x14ac:dyDescent="0.25">
      <c r="A3330" t="s">
        <v>312</v>
      </c>
    </row>
    <row r="3331" spans="1:1" x14ac:dyDescent="0.25">
      <c r="A3331" t="s">
        <v>313</v>
      </c>
    </row>
    <row r="3332" spans="1:1" x14ac:dyDescent="0.25">
      <c r="A3332" t="s">
        <v>314</v>
      </c>
    </row>
    <row r="3333" spans="1:1" x14ac:dyDescent="0.25">
      <c r="A3333" t="s">
        <v>315</v>
      </c>
    </row>
    <row r="3334" spans="1:1" x14ac:dyDescent="0.25">
      <c r="A3334" t="s">
        <v>316</v>
      </c>
    </row>
    <row r="3335" spans="1:1" x14ac:dyDescent="0.25">
      <c r="A3335" t="s">
        <v>317</v>
      </c>
    </row>
    <row r="3336" spans="1:1" x14ac:dyDescent="0.25">
      <c r="A3336" t="s">
        <v>318</v>
      </c>
    </row>
    <row r="3337" spans="1:1" x14ac:dyDescent="0.25">
      <c r="A3337" t="s">
        <v>319</v>
      </c>
    </row>
    <row r="3338" spans="1:1" x14ac:dyDescent="0.25">
      <c r="A3338" t="s">
        <v>320</v>
      </c>
    </row>
    <row r="3339" spans="1:1" x14ac:dyDescent="0.25">
      <c r="A3339" t="s">
        <v>321</v>
      </c>
    </row>
    <row r="3340" spans="1:1" x14ac:dyDescent="0.25">
      <c r="A3340" t="s">
        <v>322</v>
      </c>
    </row>
    <row r="3341" spans="1:1" x14ac:dyDescent="0.25">
      <c r="A3341" t="s">
        <v>323</v>
      </c>
    </row>
    <row r="3342" spans="1:1" x14ac:dyDescent="0.25">
      <c r="A3342" t="s">
        <v>324</v>
      </c>
    </row>
    <row r="3343" spans="1:1" x14ac:dyDescent="0.25">
      <c r="A3343" t="s">
        <v>325</v>
      </c>
    </row>
    <row r="3344" spans="1:1" x14ac:dyDescent="0.25">
      <c r="A3344" t="s">
        <v>326</v>
      </c>
    </row>
    <row r="3345" spans="1:1" x14ac:dyDescent="0.25">
      <c r="A3345" t="s">
        <v>327</v>
      </c>
    </row>
    <row r="3346" spans="1:1" x14ac:dyDescent="0.25">
      <c r="A3346" t="s">
        <v>328</v>
      </c>
    </row>
    <row r="3347" spans="1:1" x14ac:dyDescent="0.25">
      <c r="A3347" t="s">
        <v>329</v>
      </c>
    </row>
    <row r="3348" spans="1:1" x14ac:dyDescent="0.25">
      <c r="A3348" t="s">
        <v>330</v>
      </c>
    </row>
    <row r="3349" spans="1:1" x14ac:dyDescent="0.25">
      <c r="A3349" t="s">
        <v>331</v>
      </c>
    </row>
    <row r="3350" spans="1:1" x14ac:dyDescent="0.25">
      <c r="A3350" t="s">
        <v>332</v>
      </c>
    </row>
    <row r="3351" spans="1:1" x14ac:dyDescent="0.25">
      <c r="A3351" t="s">
        <v>333</v>
      </c>
    </row>
    <row r="3352" spans="1:1" x14ac:dyDescent="0.25">
      <c r="A3352" t="s">
        <v>334</v>
      </c>
    </row>
    <row r="3353" spans="1:1" x14ac:dyDescent="0.25">
      <c r="A3353" t="s">
        <v>335</v>
      </c>
    </row>
    <row r="3354" spans="1:1" x14ac:dyDescent="0.25">
      <c r="A3354" t="s">
        <v>336</v>
      </c>
    </row>
    <row r="3355" spans="1:1" x14ac:dyDescent="0.25">
      <c r="A3355" t="s">
        <v>337</v>
      </c>
    </row>
    <row r="3356" spans="1:1" x14ac:dyDescent="0.25">
      <c r="A3356" t="s">
        <v>338</v>
      </c>
    </row>
    <row r="3357" spans="1:1" x14ac:dyDescent="0.25">
      <c r="A3357" t="s">
        <v>339</v>
      </c>
    </row>
    <row r="3358" spans="1:1" x14ac:dyDescent="0.25">
      <c r="A3358" t="s">
        <v>340</v>
      </c>
    </row>
    <row r="3359" spans="1:1" x14ac:dyDescent="0.25">
      <c r="A3359" t="s">
        <v>341</v>
      </c>
    </row>
    <row r="3360" spans="1:1" x14ac:dyDescent="0.25">
      <c r="A3360" t="s">
        <v>342</v>
      </c>
    </row>
    <row r="3361" spans="1:1" x14ac:dyDescent="0.25">
      <c r="A3361" t="s">
        <v>343</v>
      </c>
    </row>
    <row r="3362" spans="1:1" x14ac:dyDescent="0.25">
      <c r="A3362" t="s">
        <v>344</v>
      </c>
    </row>
    <row r="3363" spans="1:1" x14ac:dyDescent="0.25">
      <c r="A3363" t="s">
        <v>345</v>
      </c>
    </row>
    <row r="3364" spans="1:1" x14ac:dyDescent="0.25">
      <c r="A3364" t="s">
        <v>346</v>
      </c>
    </row>
    <row r="3365" spans="1:1" x14ac:dyDescent="0.25">
      <c r="A3365" t="s">
        <v>347</v>
      </c>
    </row>
    <row r="3366" spans="1:1" x14ac:dyDescent="0.25">
      <c r="A3366" t="s">
        <v>348</v>
      </c>
    </row>
    <row r="3367" spans="1:1" x14ac:dyDescent="0.25">
      <c r="A3367" t="s">
        <v>349</v>
      </c>
    </row>
    <row r="3368" spans="1:1" x14ac:dyDescent="0.25">
      <c r="A3368" t="s">
        <v>350</v>
      </c>
    </row>
    <row r="3369" spans="1:1" x14ac:dyDescent="0.25">
      <c r="A3369" t="s">
        <v>351</v>
      </c>
    </row>
    <row r="3370" spans="1:1" x14ac:dyDescent="0.25">
      <c r="A3370" t="s">
        <v>352</v>
      </c>
    </row>
    <row r="3371" spans="1:1" x14ac:dyDescent="0.25">
      <c r="A3371" t="s">
        <v>353</v>
      </c>
    </row>
    <row r="3372" spans="1:1" x14ac:dyDescent="0.25">
      <c r="A3372" t="s">
        <v>354</v>
      </c>
    </row>
    <row r="3373" spans="1:1" x14ac:dyDescent="0.25">
      <c r="A3373" t="s">
        <v>355</v>
      </c>
    </row>
    <row r="3374" spans="1:1" x14ac:dyDescent="0.25">
      <c r="A3374" t="s">
        <v>356</v>
      </c>
    </row>
    <row r="3375" spans="1:1" x14ac:dyDescent="0.25">
      <c r="A3375" t="s">
        <v>357</v>
      </c>
    </row>
    <row r="3376" spans="1:1" x14ac:dyDescent="0.25">
      <c r="A3376" t="s">
        <v>358</v>
      </c>
    </row>
    <row r="3377" spans="1:1" x14ac:dyDescent="0.25">
      <c r="A3377" t="s">
        <v>359</v>
      </c>
    </row>
    <row r="3378" spans="1:1" x14ac:dyDescent="0.25">
      <c r="A3378" t="s">
        <v>360</v>
      </c>
    </row>
    <row r="3379" spans="1:1" x14ac:dyDescent="0.25">
      <c r="A3379" t="s">
        <v>361</v>
      </c>
    </row>
    <row r="3380" spans="1:1" x14ac:dyDescent="0.25">
      <c r="A3380" t="s">
        <v>362</v>
      </c>
    </row>
    <row r="3381" spans="1:1" x14ac:dyDescent="0.25">
      <c r="A3381" t="s">
        <v>363</v>
      </c>
    </row>
    <row r="3382" spans="1:1" x14ac:dyDescent="0.25">
      <c r="A3382" t="s">
        <v>364</v>
      </c>
    </row>
    <row r="3383" spans="1:1" x14ac:dyDescent="0.25">
      <c r="A3383" t="s">
        <v>365</v>
      </c>
    </row>
    <row r="3384" spans="1:1" x14ac:dyDescent="0.25">
      <c r="A3384" t="s">
        <v>366</v>
      </c>
    </row>
    <row r="3385" spans="1:1" x14ac:dyDescent="0.25">
      <c r="A3385" t="s">
        <v>367</v>
      </c>
    </row>
    <row r="3386" spans="1:1" x14ac:dyDescent="0.25">
      <c r="A3386" t="s">
        <v>368</v>
      </c>
    </row>
    <row r="3387" spans="1:1" x14ac:dyDescent="0.25">
      <c r="A3387" t="s">
        <v>369</v>
      </c>
    </row>
    <row r="3388" spans="1:1" x14ac:dyDescent="0.25">
      <c r="A3388" t="s">
        <v>370</v>
      </c>
    </row>
    <row r="3389" spans="1:1" x14ac:dyDescent="0.25">
      <c r="A3389" t="s">
        <v>371</v>
      </c>
    </row>
    <row r="3390" spans="1:1" x14ac:dyDescent="0.25">
      <c r="A3390" t="s">
        <v>372</v>
      </c>
    </row>
    <row r="3391" spans="1:1" x14ac:dyDescent="0.25">
      <c r="A3391" t="s">
        <v>373</v>
      </c>
    </row>
    <row r="3392" spans="1:1" x14ac:dyDescent="0.25">
      <c r="A3392" t="s">
        <v>374</v>
      </c>
    </row>
    <row r="3393" spans="1:1" x14ac:dyDescent="0.25">
      <c r="A3393" t="s">
        <v>375</v>
      </c>
    </row>
    <row r="3394" spans="1:1" x14ac:dyDescent="0.25">
      <c r="A3394" t="s">
        <v>376</v>
      </c>
    </row>
    <row r="3395" spans="1:1" x14ac:dyDescent="0.25">
      <c r="A3395" t="s">
        <v>377</v>
      </c>
    </row>
    <row r="3396" spans="1:1" x14ac:dyDescent="0.25">
      <c r="A3396" t="s">
        <v>378</v>
      </c>
    </row>
    <row r="3397" spans="1:1" x14ac:dyDescent="0.25">
      <c r="A3397" t="s">
        <v>379</v>
      </c>
    </row>
    <row r="3398" spans="1:1" x14ac:dyDescent="0.25">
      <c r="A3398" t="s">
        <v>380</v>
      </c>
    </row>
    <row r="3399" spans="1:1" x14ac:dyDescent="0.25">
      <c r="A3399" t="s">
        <v>381</v>
      </c>
    </row>
    <row r="3400" spans="1:1" x14ac:dyDescent="0.25">
      <c r="A3400" t="s">
        <v>382</v>
      </c>
    </row>
    <row r="3401" spans="1:1" x14ac:dyDescent="0.25">
      <c r="A3401" t="s">
        <v>383</v>
      </c>
    </row>
    <row r="3402" spans="1:1" x14ac:dyDescent="0.25">
      <c r="A3402" t="s">
        <v>384</v>
      </c>
    </row>
    <row r="3403" spans="1:1" x14ac:dyDescent="0.25">
      <c r="A3403" t="s">
        <v>385</v>
      </c>
    </row>
    <row r="3404" spans="1:1" x14ac:dyDescent="0.25">
      <c r="A3404" t="s">
        <v>386</v>
      </c>
    </row>
    <row r="3405" spans="1:1" x14ac:dyDescent="0.25">
      <c r="A3405" t="s">
        <v>387</v>
      </c>
    </row>
    <row r="3406" spans="1:1" x14ac:dyDescent="0.25">
      <c r="A3406" t="s">
        <v>388</v>
      </c>
    </row>
    <row r="3407" spans="1:1" x14ac:dyDescent="0.25">
      <c r="A3407" t="s">
        <v>389</v>
      </c>
    </row>
    <row r="3408" spans="1:1" x14ac:dyDescent="0.25">
      <c r="A3408" t="s">
        <v>390</v>
      </c>
    </row>
    <row r="3409" spans="1:1" x14ac:dyDescent="0.25">
      <c r="A3409" t="s">
        <v>391</v>
      </c>
    </row>
    <row r="3410" spans="1:1" x14ac:dyDescent="0.25">
      <c r="A3410" t="s">
        <v>392</v>
      </c>
    </row>
    <row r="3411" spans="1:1" x14ac:dyDescent="0.25">
      <c r="A3411" t="s">
        <v>393</v>
      </c>
    </row>
    <row r="3412" spans="1:1" x14ac:dyDescent="0.25">
      <c r="A3412" t="s">
        <v>394</v>
      </c>
    </row>
    <row r="3413" spans="1:1" x14ac:dyDescent="0.25">
      <c r="A3413" t="s">
        <v>395</v>
      </c>
    </row>
    <row r="3414" spans="1:1" x14ac:dyDescent="0.25">
      <c r="A3414" t="s">
        <v>396</v>
      </c>
    </row>
    <row r="3415" spans="1:1" x14ac:dyDescent="0.25">
      <c r="A3415" t="s">
        <v>397</v>
      </c>
    </row>
    <row r="3416" spans="1:1" x14ac:dyDescent="0.25">
      <c r="A3416" t="s">
        <v>398</v>
      </c>
    </row>
    <row r="3417" spans="1:1" x14ac:dyDescent="0.25">
      <c r="A3417" t="s">
        <v>399</v>
      </c>
    </row>
    <row r="3418" spans="1:1" x14ac:dyDescent="0.25">
      <c r="A3418" t="s">
        <v>400</v>
      </c>
    </row>
    <row r="3419" spans="1:1" x14ac:dyDescent="0.25">
      <c r="A3419" t="s">
        <v>401</v>
      </c>
    </row>
    <row r="3420" spans="1:1" x14ac:dyDescent="0.25">
      <c r="A3420" t="s">
        <v>402</v>
      </c>
    </row>
    <row r="3421" spans="1:1" x14ac:dyDescent="0.25">
      <c r="A3421" t="s">
        <v>403</v>
      </c>
    </row>
    <row r="3422" spans="1:1" x14ac:dyDescent="0.25">
      <c r="A3422" t="s">
        <v>404</v>
      </c>
    </row>
    <row r="3423" spans="1:1" x14ac:dyDescent="0.25">
      <c r="A3423" t="s">
        <v>405</v>
      </c>
    </row>
    <row r="3424" spans="1:1" x14ac:dyDescent="0.25">
      <c r="A3424" t="s">
        <v>406</v>
      </c>
    </row>
    <row r="3425" spans="1:1" x14ac:dyDescent="0.25">
      <c r="A3425" t="s">
        <v>407</v>
      </c>
    </row>
    <row r="3426" spans="1:1" x14ac:dyDescent="0.25">
      <c r="A3426" t="s">
        <v>408</v>
      </c>
    </row>
    <row r="3427" spans="1:1" x14ac:dyDescent="0.25">
      <c r="A3427" t="s">
        <v>409</v>
      </c>
    </row>
    <row r="3428" spans="1:1" x14ac:dyDescent="0.25">
      <c r="A3428" t="s">
        <v>410</v>
      </c>
    </row>
    <row r="3429" spans="1:1" x14ac:dyDescent="0.25">
      <c r="A3429" t="s">
        <v>411</v>
      </c>
    </row>
    <row r="3430" spans="1:1" x14ac:dyDescent="0.25">
      <c r="A3430" t="s">
        <v>420</v>
      </c>
    </row>
    <row r="3431" spans="1:1" x14ac:dyDescent="0.25">
      <c r="A3431" t="s">
        <v>37</v>
      </c>
    </row>
    <row r="3432" spans="1:1" x14ac:dyDescent="0.25">
      <c r="A3432" t="s">
        <v>38</v>
      </c>
    </row>
    <row r="3433" spans="1:1" x14ac:dyDescent="0.25">
      <c r="A3433" t="s">
        <v>39</v>
      </c>
    </row>
    <row r="3434" spans="1:1" x14ac:dyDescent="0.25">
      <c r="A3434" t="s">
        <v>31</v>
      </c>
    </row>
    <row r="3435" spans="1:1" x14ac:dyDescent="0.25">
      <c r="A3435" t="s">
        <v>40</v>
      </c>
    </row>
    <row r="3436" spans="1:1" x14ac:dyDescent="0.25">
      <c r="A3436" t="s">
        <v>23</v>
      </c>
    </row>
    <row r="3437" spans="1:1" x14ac:dyDescent="0.25">
      <c r="A3437" t="s">
        <v>41</v>
      </c>
    </row>
    <row r="3438" spans="1:1" x14ac:dyDescent="0.25">
      <c r="A3438" t="s">
        <v>42</v>
      </c>
    </row>
    <row r="3439" spans="1:1" x14ac:dyDescent="0.25">
      <c r="A3439" t="s">
        <v>43</v>
      </c>
    </row>
    <row r="3440" spans="1:1" x14ac:dyDescent="0.25">
      <c r="A3440" t="s">
        <v>44</v>
      </c>
    </row>
    <row r="3441" spans="1:1" x14ac:dyDescent="0.25">
      <c r="A3441" t="s">
        <v>45</v>
      </c>
    </row>
    <row r="3442" spans="1:1" x14ac:dyDescent="0.25">
      <c r="A3442" t="s">
        <v>46</v>
      </c>
    </row>
    <row r="3443" spans="1:1" x14ac:dyDescent="0.25">
      <c r="A3443" t="s">
        <v>47</v>
      </c>
    </row>
    <row r="3444" spans="1:1" x14ac:dyDescent="0.25">
      <c r="A3444" t="s">
        <v>48</v>
      </c>
    </row>
    <row r="3445" spans="1:1" x14ac:dyDescent="0.25">
      <c r="A3445" t="s">
        <v>49</v>
      </c>
    </row>
    <row r="3446" spans="1:1" x14ac:dyDescent="0.25">
      <c r="A3446" t="s">
        <v>50</v>
      </c>
    </row>
    <row r="3447" spans="1:1" x14ac:dyDescent="0.25">
      <c r="A3447" t="s">
        <v>51</v>
      </c>
    </row>
    <row r="3448" spans="1:1" x14ac:dyDescent="0.25">
      <c r="A3448" t="s">
        <v>52</v>
      </c>
    </row>
    <row r="3449" spans="1:1" x14ac:dyDescent="0.25">
      <c r="A3449" t="s">
        <v>53</v>
      </c>
    </row>
    <row r="3450" spans="1:1" x14ac:dyDescent="0.25">
      <c r="A3450" t="s">
        <v>54</v>
      </c>
    </row>
    <row r="3451" spans="1:1" x14ac:dyDescent="0.25">
      <c r="A3451" t="s">
        <v>55</v>
      </c>
    </row>
    <row r="3452" spans="1:1" x14ac:dyDescent="0.25">
      <c r="A3452" t="s">
        <v>56</v>
      </c>
    </row>
    <row r="3453" spans="1:1" x14ac:dyDescent="0.25">
      <c r="A3453" t="s">
        <v>25</v>
      </c>
    </row>
    <row r="3454" spans="1:1" x14ac:dyDescent="0.25">
      <c r="A3454" t="s">
        <v>57</v>
      </c>
    </row>
    <row r="3455" spans="1:1" x14ac:dyDescent="0.25">
      <c r="A3455" t="s">
        <v>27</v>
      </c>
    </row>
    <row r="3456" spans="1:1" x14ac:dyDescent="0.25">
      <c r="A3456" t="s">
        <v>58</v>
      </c>
    </row>
    <row r="3457" spans="1:1" x14ac:dyDescent="0.25">
      <c r="A3457" t="s">
        <v>59</v>
      </c>
    </row>
    <row r="3458" spans="1:1" x14ac:dyDescent="0.25">
      <c r="A3458" t="s">
        <v>60</v>
      </c>
    </row>
    <row r="3459" spans="1:1" x14ac:dyDescent="0.25">
      <c r="A3459" t="s">
        <v>61</v>
      </c>
    </row>
    <row r="3460" spans="1:1" x14ac:dyDescent="0.25">
      <c r="A3460" t="s">
        <v>62</v>
      </c>
    </row>
    <row r="3461" spans="1:1" x14ac:dyDescent="0.25">
      <c r="A3461" t="s">
        <v>63</v>
      </c>
    </row>
    <row r="3462" spans="1:1" x14ac:dyDescent="0.25">
      <c r="A3462" t="s">
        <v>64</v>
      </c>
    </row>
    <row r="3463" spans="1:1" x14ac:dyDescent="0.25">
      <c r="A3463" t="s">
        <v>65</v>
      </c>
    </row>
    <row r="3464" spans="1:1" x14ac:dyDescent="0.25">
      <c r="A3464" t="s">
        <v>66</v>
      </c>
    </row>
    <row r="3465" spans="1:1" x14ac:dyDescent="0.25">
      <c r="A3465" t="s">
        <v>67</v>
      </c>
    </row>
    <row r="3466" spans="1:1" x14ac:dyDescent="0.25">
      <c r="A3466" t="s">
        <v>68</v>
      </c>
    </row>
    <row r="3467" spans="1:1" x14ac:dyDescent="0.25">
      <c r="A3467" t="s">
        <v>69</v>
      </c>
    </row>
    <row r="3468" spans="1:1" x14ac:dyDescent="0.25">
      <c r="A3468" t="s">
        <v>70</v>
      </c>
    </row>
    <row r="3469" spans="1:1" x14ac:dyDescent="0.25">
      <c r="A3469" t="s">
        <v>71</v>
      </c>
    </row>
    <row r="3470" spans="1:1" x14ac:dyDescent="0.25">
      <c r="A3470" t="s">
        <v>72</v>
      </c>
    </row>
    <row r="3471" spans="1:1" x14ac:dyDescent="0.25">
      <c r="A3471" t="s">
        <v>73</v>
      </c>
    </row>
    <row r="3472" spans="1:1" x14ac:dyDescent="0.25">
      <c r="A3472" t="s">
        <v>74</v>
      </c>
    </row>
    <row r="3473" spans="1:1" x14ac:dyDescent="0.25">
      <c r="A3473" t="s">
        <v>75</v>
      </c>
    </row>
    <row r="3474" spans="1:1" x14ac:dyDescent="0.25">
      <c r="A3474" t="s">
        <v>76</v>
      </c>
    </row>
    <row r="3475" spans="1:1" x14ac:dyDescent="0.25">
      <c r="A3475" t="s">
        <v>77</v>
      </c>
    </row>
    <row r="3476" spans="1:1" x14ac:dyDescent="0.25">
      <c r="A3476" t="s">
        <v>78</v>
      </c>
    </row>
    <row r="3477" spans="1:1" x14ac:dyDescent="0.25">
      <c r="A3477" t="s">
        <v>79</v>
      </c>
    </row>
    <row r="3478" spans="1:1" x14ac:dyDescent="0.25">
      <c r="A3478" t="s">
        <v>80</v>
      </c>
    </row>
    <row r="3479" spans="1:1" x14ac:dyDescent="0.25">
      <c r="A3479" t="s">
        <v>81</v>
      </c>
    </row>
    <row r="3480" spans="1:1" x14ac:dyDescent="0.25">
      <c r="A3480" t="s">
        <v>82</v>
      </c>
    </row>
    <row r="3481" spans="1:1" x14ac:dyDescent="0.25">
      <c r="A3481" t="s">
        <v>83</v>
      </c>
    </row>
    <row r="3482" spans="1:1" x14ac:dyDescent="0.25">
      <c r="A3482" t="s">
        <v>84</v>
      </c>
    </row>
    <row r="3483" spans="1:1" x14ac:dyDescent="0.25">
      <c r="A3483" t="s">
        <v>85</v>
      </c>
    </row>
    <row r="3484" spans="1:1" x14ac:dyDescent="0.25">
      <c r="A3484" t="s">
        <v>86</v>
      </c>
    </row>
    <row r="3485" spans="1:1" x14ac:dyDescent="0.25">
      <c r="A3485" t="s">
        <v>87</v>
      </c>
    </row>
    <row r="3486" spans="1:1" x14ac:dyDescent="0.25">
      <c r="A3486" t="s">
        <v>88</v>
      </c>
    </row>
    <row r="3487" spans="1:1" x14ac:dyDescent="0.25">
      <c r="A3487" t="s">
        <v>89</v>
      </c>
    </row>
    <row r="3488" spans="1:1" x14ac:dyDescent="0.25">
      <c r="A3488" t="s">
        <v>90</v>
      </c>
    </row>
    <row r="3489" spans="1:1" x14ac:dyDescent="0.25">
      <c r="A3489" t="s">
        <v>91</v>
      </c>
    </row>
    <row r="3490" spans="1:1" x14ac:dyDescent="0.25">
      <c r="A3490" t="s">
        <v>92</v>
      </c>
    </row>
    <row r="3491" spans="1:1" x14ac:dyDescent="0.25">
      <c r="A3491" t="s">
        <v>93</v>
      </c>
    </row>
    <row r="3492" spans="1:1" x14ac:dyDescent="0.25">
      <c r="A3492" t="s">
        <v>94</v>
      </c>
    </row>
    <row r="3493" spans="1:1" x14ac:dyDescent="0.25">
      <c r="A3493" t="s">
        <v>95</v>
      </c>
    </row>
    <row r="3494" spans="1:1" x14ac:dyDescent="0.25">
      <c r="A3494" t="s">
        <v>96</v>
      </c>
    </row>
    <row r="3495" spans="1:1" x14ac:dyDescent="0.25">
      <c r="A3495" t="s">
        <v>97</v>
      </c>
    </row>
    <row r="3496" spans="1:1" x14ac:dyDescent="0.25">
      <c r="A3496" t="s">
        <v>98</v>
      </c>
    </row>
    <row r="3497" spans="1:1" x14ac:dyDescent="0.25">
      <c r="A3497" t="s">
        <v>99</v>
      </c>
    </row>
    <row r="3498" spans="1:1" x14ac:dyDescent="0.25">
      <c r="A3498" t="s">
        <v>100</v>
      </c>
    </row>
    <row r="3499" spans="1:1" x14ac:dyDescent="0.25">
      <c r="A3499" t="s">
        <v>101</v>
      </c>
    </row>
    <row r="3500" spans="1:1" x14ac:dyDescent="0.25">
      <c r="A3500" t="s">
        <v>102</v>
      </c>
    </row>
    <row r="3501" spans="1:1" x14ac:dyDescent="0.25">
      <c r="A3501" t="s">
        <v>103</v>
      </c>
    </row>
    <row r="3502" spans="1:1" x14ac:dyDescent="0.25">
      <c r="A3502" t="s">
        <v>104</v>
      </c>
    </row>
    <row r="3503" spans="1:1" x14ac:dyDescent="0.25">
      <c r="A3503" t="s">
        <v>105</v>
      </c>
    </row>
    <row r="3504" spans="1:1" x14ac:dyDescent="0.25">
      <c r="A3504" t="s">
        <v>106</v>
      </c>
    </row>
    <row r="3505" spans="1:1" x14ac:dyDescent="0.25">
      <c r="A3505" t="s">
        <v>107</v>
      </c>
    </row>
    <row r="3506" spans="1:1" x14ac:dyDescent="0.25">
      <c r="A3506" t="s">
        <v>108</v>
      </c>
    </row>
    <row r="3507" spans="1:1" x14ac:dyDescent="0.25">
      <c r="A3507" t="s">
        <v>109</v>
      </c>
    </row>
    <row r="3508" spans="1:1" x14ac:dyDescent="0.25">
      <c r="A3508" t="s">
        <v>110</v>
      </c>
    </row>
    <row r="3509" spans="1:1" x14ac:dyDescent="0.25">
      <c r="A3509" t="s">
        <v>111</v>
      </c>
    </row>
    <row r="3510" spans="1:1" x14ac:dyDescent="0.25">
      <c r="A3510" t="s">
        <v>112</v>
      </c>
    </row>
    <row r="3511" spans="1:1" x14ac:dyDescent="0.25">
      <c r="A3511" t="s">
        <v>113</v>
      </c>
    </row>
    <row r="3512" spans="1:1" x14ac:dyDescent="0.25">
      <c r="A3512" t="s">
        <v>114</v>
      </c>
    </row>
    <row r="3513" spans="1:1" x14ac:dyDescent="0.25">
      <c r="A3513" t="s">
        <v>115</v>
      </c>
    </row>
    <row r="3514" spans="1:1" x14ac:dyDescent="0.25">
      <c r="A3514" t="s">
        <v>116</v>
      </c>
    </row>
    <row r="3515" spans="1:1" x14ac:dyDescent="0.25">
      <c r="A3515" t="s">
        <v>117</v>
      </c>
    </row>
    <row r="3516" spans="1:1" x14ac:dyDescent="0.25">
      <c r="A3516" t="s">
        <v>118</v>
      </c>
    </row>
    <row r="3517" spans="1:1" x14ac:dyDescent="0.25">
      <c r="A3517" t="s">
        <v>119</v>
      </c>
    </row>
    <row r="3518" spans="1:1" x14ac:dyDescent="0.25">
      <c r="A3518" t="s">
        <v>120</v>
      </c>
    </row>
    <row r="3519" spans="1:1" x14ac:dyDescent="0.25">
      <c r="A3519" t="s">
        <v>121</v>
      </c>
    </row>
    <row r="3520" spans="1:1" x14ac:dyDescent="0.25">
      <c r="A3520" t="s">
        <v>122</v>
      </c>
    </row>
    <row r="3521" spans="1:1" x14ac:dyDescent="0.25">
      <c r="A3521" t="s">
        <v>123</v>
      </c>
    </row>
    <row r="3522" spans="1:1" x14ac:dyDescent="0.25">
      <c r="A3522" t="s">
        <v>124</v>
      </c>
    </row>
    <row r="3523" spans="1:1" x14ac:dyDescent="0.25">
      <c r="A3523" t="s">
        <v>125</v>
      </c>
    </row>
    <row r="3524" spans="1:1" x14ac:dyDescent="0.25">
      <c r="A3524" t="s">
        <v>126</v>
      </c>
    </row>
    <row r="3525" spans="1:1" x14ac:dyDescent="0.25">
      <c r="A3525" t="s">
        <v>127</v>
      </c>
    </row>
    <row r="3526" spans="1:1" x14ac:dyDescent="0.25">
      <c r="A3526" t="s">
        <v>128</v>
      </c>
    </row>
    <row r="3527" spans="1:1" x14ac:dyDescent="0.25">
      <c r="A3527" t="s">
        <v>129</v>
      </c>
    </row>
    <row r="3528" spans="1:1" x14ac:dyDescent="0.25">
      <c r="A3528" t="s">
        <v>130</v>
      </c>
    </row>
    <row r="3529" spans="1:1" x14ac:dyDescent="0.25">
      <c r="A3529" t="s">
        <v>131</v>
      </c>
    </row>
    <row r="3530" spans="1:1" x14ac:dyDescent="0.25">
      <c r="A3530" t="s">
        <v>132</v>
      </c>
    </row>
    <row r="3531" spans="1:1" x14ac:dyDescent="0.25">
      <c r="A3531" t="s">
        <v>133</v>
      </c>
    </row>
    <row r="3532" spans="1:1" x14ac:dyDescent="0.25">
      <c r="A3532" t="s">
        <v>134</v>
      </c>
    </row>
    <row r="3533" spans="1:1" x14ac:dyDescent="0.25">
      <c r="A3533" t="s">
        <v>135</v>
      </c>
    </row>
    <row r="3534" spans="1:1" x14ac:dyDescent="0.25">
      <c r="A3534" t="s">
        <v>136</v>
      </c>
    </row>
    <row r="3535" spans="1:1" x14ac:dyDescent="0.25">
      <c r="A3535" t="s">
        <v>137</v>
      </c>
    </row>
    <row r="3536" spans="1:1" x14ac:dyDescent="0.25">
      <c r="A3536" t="s">
        <v>138</v>
      </c>
    </row>
    <row r="3537" spans="1:1" x14ac:dyDescent="0.25">
      <c r="A3537" t="s">
        <v>139</v>
      </c>
    </row>
    <row r="3538" spans="1:1" x14ac:dyDescent="0.25">
      <c r="A3538" t="s">
        <v>140</v>
      </c>
    </row>
    <row r="3539" spans="1:1" x14ac:dyDescent="0.25">
      <c r="A3539" t="s">
        <v>141</v>
      </c>
    </row>
    <row r="3540" spans="1:1" x14ac:dyDescent="0.25">
      <c r="A3540" t="s">
        <v>142</v>
      </c>
    </row>
    <row r="3541" spans="1:1" x14ac:dyDescent="0.25">
      <c r="A3541" t="s">
        <v>143</v>
      </c>
    </row>
    <row r="3542" spans="1:1" x14ac:dyDescent="0.25">
      <c r="A3542" t="s">
        <v>144</v>
      </c>
    </row>
    <row r="3543" spans="1:1" x14ac:dyDescent="0.25">
      <c r="A3543" t="s">
        <v>145</v>
      </c>
    </row>
    <row r="3544" spans="1:1" x14ac:dyDescent="0.25">
      <c r="A3544" t="s">
        <v>146</v>
      </c>
    </row>
    <row r="3545" spans="1:1" x14ac:dyDescent="0.25">
      <c r="A3545" t="s">
        <v>147</v>
      </c>
    </row>
    <row r="3546" spans="1:1" x14ac:dyDescent="0.25">
      <c r="A3546" t="s">
        <v>148</v>
      </c>
    </row>
    <row r="3547" spans="1:1" x14ac:dyDescent="0.25">
      <c r="A3547" t="s">
        <v>149</v>
      </c>
    </row>
    <row r="3548" spans="1:1" x14ac:dyDescent="0.25">
      <c r="A3548" t="s">
        <v>150</v>
      </c>
    </row>
    <row r="3549" spans="1:1" x14ac:dyDescent="0.25">
      <c r="A3549" t="s">
        <v>151</v>
      </c>
    </row>
    <row r="3550" spans="1:1" x14ac:dyDescent="0.25">
      <c r="A3550" t="s">
        <v>152</v>
      </c>
    </row>
    <row r="3551" spans="1:1" x14ac:dyDescent="0.25">
      <c r="A3551" t="s">
        <v>153</v>
      </c>
    </row>
    <row r="3552" spans="1:1" x14ac:dyDescent="0.25">
      <c r="A3552" t="s">
        <v>154</v>
      </c>
    </row>
    <row r="3553" spans="1:1" x14ac:dyDescent="0.25">
      <c r="A3553" t="s">
        <v>155</v>
      </c>
    </row>
    <row r="3554" spans="1:1" x14ac:dyDescent="0.25">
      <c r="A3554" t="s">
        <v>156</v>
      </c>
    </row>
    <row r="3555" spans="1:1" x14ac:dyDescent="0.25">
      <c r="A3555" t="s">
        <v>157</v>
      </c>
    </row>
    <row r="3556" spans="1:1" x14ac:dyDescent="0.25">
      <c r="A3556" t="s">
        <v>158</v>
      </c>
    </row>
    <row r="3557" spans="1:1" x14ac:dyDescent="0.25">
      <c r="A3557" t="s">
        <v>159</v>
      </c>
    </row>
    <row r="3558" spans="1:1" x14ac:dyDescent="0.25">
      <c r="A3558" t="s">
        <v>160</v>
      </c>
    </row>
    <row r="3559" spans="1:1" x14ac:dyDescent="0.25">
      <c r="A3559" t="s">
        <v>161</v>
      </c>
    </row>
    <row r="3560" spans="1:1" x14ac:dyDescent="0.25">
      <c r="A3560" t="s">
        <v>162</v>
      </c>
    </row>
    <row r="3561" spans="1:1" x14ac:dyDescent="0.25">
      <c r="A3561" t="s">
        <v>163</v>
      </c>
    </row>
    <row r="3562" spans="1:1" x14ac:dyDescent="0.25">
      <c r="A3562" t="s">
        <v>164</v>
      </c>
    </row>
    <row r="3563" spans="1:1" x14ac:dyDescent="0.25">
      <c r="A3563" t="s">
        <v>165</v>
      </c>
    </row>
    <row r="3564" spans="1:1" x14ac:dyDescent="0.25">
      <c r="A3564" t="s">
        <v>166</v>
      </c>
    </row>
    <row r="3565" spans="1:1" x14ac:dyDescent="0.25">
      <c r="A3565" t="s">
        <v>167</v>
      </c>
    </row>
    <row r="3566" spans="1:1" x14ac:dyDescent="0.25">
      <c r="A3566" t="s">
        <v>168</v>
      </c>
    </row>
    <row r="3567" spans="1:1" x14ac:dyDescent="0.25">
      <c r="A3567" t="s">
        <v>169</v>
      </c>
    </row>
    <row r="3568" spans="1:1" x14ac:dyDescent="0.25">
      <c r="A3568" t="s">
        <v>170</v>
      </c>
    </row>
    <row r="3569" spans="1:1" x14ac:dyDescent="0.25">
      <c r="A3569" t="s">
        <v>171</v>
      </c>
    </row>
    <row r="3570" spans="1:1" x14ac:dyDescent="0.25">
      <c r="A3570" t="s">
        <v>172</v>
      </c>
    </row>
    <row r="3571" spans="1:1" x14ac:dyDescent="0.25">
      <c r="A3571" t="s">
        <v>173</v>
      </c>
    </row>
    <row r="3572" spans="1:1" x14ac:dyDescent="0.25">
      <c r="A3572" t="s">
        <v>174</v>
      </c>
    </row>
    <row r="3573" spans="1:1" x14ac:dyDescent="0.25">
      <c r="A3573" t="s">
        <v>175</v>
      </c>
    </row>
    <row r="3574" spans="1:1" x14ac:dyDescent="0.25">
      <c r="A3574" t="s">
        <v>176</v>
      </c>
    </row>
    <row r="3575" spans="1:1" x14ac:dyDescent="0.25">
      <c r="A3575" t="s">
        <v>177</v>
      </c>
    </row>
    <row r="3576" spans="1:1" x14ac:dyDescent="0.25">
      <c r="A3576" t="s">
        <v>178</v>
      </c>
    </row>
    <row r="3577" spans="1:1" x14ac:dyDescent="0.25">
      <c r="A3577" t="s">
        <v>179</v>
      </c>
    </row>
    <row r="3578" spans="1:1" x14ac:dyDescent="0.25">
      <c r="A3578" t="s">
        <v>180</v>
      </c>
    </row>
    <row r="3579" spans="1:1" x14ac:dyDescent="0.25">
      <c r="A3579" t="s">
        <v>181</v>
      </c>
    </row>
    <row r="3580" spans="1:1" x14ac:dyDescent="0.25">
      <c r="A3580" t="s">
        <v>182</v>
      </c>
    </row>
    <row r="3581" spans="1:1" x14ac:dyDescent="0.25">
      <c r="A3581" t="s">
        <v>183</v>
      </c>
    </row>
    <row r="3582" spans="1:1" x14ac:dyDescent="0.25">
      <c r="A3582" t="s">
        <v>184</v>
      </c>
    </row>
    <row r="3583" spans="1:1" x14ac:dyDescent="0.25">
      <c r="A3583" t="s">
        <v>185</v>
      </c>
    </row>
    <row r="3584" spans="1:1" x14ac:dyDescent="0.25">
      <c r="A3584" t="s">
        <v>186</v>
      </c>
    </row>
    <row r="3585" spans="1:1" x14ac:dyDescent="0.25">
      <c r="A3585" t="s">
        <v>187</v>
      </c>
    </row>
    <row r="3586" spans="1:1" x14ac:dyDescent="0.25">
      <c r="A3586" t="s">
        <v>188</v>
      </c>
    </row>
    <row r="3587" spans="1:1" x14ac:dyDescent="0.25">
      <c r="A3587" t="s">
        <v>189</v>
      </c>
    </row>
    <row r="3588" spans="1:1" x14ac:dyDescent="0.25">
      <c r="A3588" t="s">
        <v>190</v>
      </c>
    </row>
    <row r="3589" spans="1:1" x14ac:dyDescent="0.25">
      <c r="A3589" t="s">
        <v>191</v>
      </c>
    </row>
    <row r="3590" spans="1:1" x14ac:dyDescent="0.25">
      <c r="A3590" t="s">
        <v>192</v>
      </c>
    </row>
    <row r="3591" spans="1:1" x14ac:dyDescent="0.25">
      <c r="A3591" t="s">
        <v>193</v>
      </c>
    </row>
    <row r="3592" spans="1:1" x14ac:dyDescent="0.25">
      <c r="A3592" t="s">
        <v>194</v>
      </c>
    </row>
    <row r="3593" spans="1:1" x14ac:dyDescent="0.25">
      <c r="A3593" t="s">
        <v>195</v>
      </c>
    </row>
    <row r="3594" spans="1:1" x14ac:dyDescent="0.25">
      <c r="A3594" t="s">
        <v>196</v>
      </c>
    </row>
    <row r="3595" spans="1:1" x14ac:dyDescent="0.25">
      <c r="A3595" t="s">
        <v>197</v>
      </c>
    </row>
    <row r="3596" spans="1:1" x14ac:dyDescent="0.25">
      <c r="A3596" t="s">
        <v>198</v>
      </c>
    </row>
    <row r="3597" spans="1:1" x14ac:dyDescent="0.25">
      <c r="A3597" t="s">
        <v>199</v>
      </c>
    </row>
    <row r="3598" spans="1:1" x14ac:dyDescent="0.25">
      <c r="A3598" t="s">
        <v>200</v>
      </c>
    </row>
    <row r="3599" spans="1:1" x14ac:dyDescent="0.25">
      <c r="A3599" t="s">
        <v>201</v>
      </c>
    </row>
    <row r="3600" spans="1:1" x14ac:dyDescent="0.25">
      <c r="A3600" t="s">
        <v>202</v>
      </c>
    </row>
    <row r="3601" spans="1:1" x14ac:dyDescent="0.25">
      <c r="A3601" t="s">
        <v>203</v>
      </c>
    </row>
    <row r="3602" spans="1:1" x14ac:dyDescent="0.25">
      <c r="A3602" t="s">
        <v>204</v>
      </c>
    </row>
    <row r="3603" spans="1:1" x14ac:dyDescent="0.25">
      <c r="A3603" t="s">
        <v>205</v>
      </c>
    </row>
    <row r="3604" spans="1:1" x14ac:dyDescent="0.25">
      <c r="A3604" t="s">
        <v>206</v>
      </c>
    </row>
    <row r="3605" spans="1:1" x14ac:dyDescent="0.25">
      <c r="A3605" t="s">
        <v>207</v>
      </c>
    </row>
    <row r="3606" spans="1:1" x14ac:dyDescent="0.25">
      <c r="A3606" t="s">
        <v>208</v>
      </c>
    </row>
    <row r="3607" spans="1:1" x14ac:dyDescent="0.25">
      <c r="A3607" t="s">
        <v>209</v>
      </c>
    </row>
    <row r="3608" spans="1:1" x14ac:dyDescent="0.25">
      <c r="A3608" t="s">
        <v>210</v>
      </c>
    </row>
    <row r="3609" spans="1:1" x14ac:dyDescent="0.25">
      <c r="A3609" t="s">
        <v>211</v>
      </c>
    </row>
    <row r="3610" spans="1:1" x14ac:dyDescent="0.25">
      <c r="A3610" t="s">
        <v>212</v>
      </c>
    </row>
    <row r="3611" spans="1:1" x14ac:dyDescent="0.25">
      <c r="A3611" t="s">
        <v>213</v>
      </c>
    </row>
    <row r="3612" spans="1:1" x14ac:dyDescent="0.25">
      <c r="A3612" t="s">
        <v>214</v>
      </c>
    </row>
    <row r="3613" spans="1:1" x14ac:dyDescent="0.25">
      <c r="A3613" t="s">
        <v>215</v>
      </c>
    </row>
    <row r="3614" spans="1:1" x14ac:dyDescent="0.25">
      <c r="A3614" t="s">
        <v>216</v>
      </c>
    </row>
    <row r="3615" spans="1:1" x14ac:dyDescent="0.25">
      <c r="A3615" t="s">
        <v>217</v>
      </c>
    </row>
    <row r="3616" spans="1:1" x14ac:dyDescent="0.25">
      <c r="A3616" t="s">
        <v>218</v>
      </c>
    </row>
    <row r="3617" spans="1:1" x14ac:dyDescent="0.25">
      <c r="A3617" t="s">
        <v>219</v>
      </c>
    </row>
    <row r="3618" spans="1:1" x14ac:dyDescent="0.25">
      <c r="A3618" t="s">
        <v>220</v>
      </c>
    </row>
    <row r="3619" spans="1:1" x14ac:dyDescent="0.25">
      <c r="A3619" t="s">
        <v>221</v>
      </c>
    </row>
    <row r="3620" spans="1:1" x14ac:dyDescent="0.25">
      <c r="A3620" t="s">
        <v>222</v>
      </c>
    </row>
    <row r="3621" spans="1:1" x14ac:dyDescent="0.25">
      <c r="A3621" t="s">
        <v>223</v>
      </c>
    </row>
    <row r="3622" spans="1:1" x14ac:dyDescent="0.25">
      <c r="A3622" t="s">
        <v>224</v>
      </c>
    </row>
    <row r="3623" spans="1:1" x14ac:dyDescent="0.25">
      <c r="A3623" t="s">
        <v>225</v>
      </c>
    </row>
    <row r="3624" spans="1:1" x14ac:dyDescent="0.25">
      <c r="A3624" t="s">
        <v>226</v>
      </c>
    </row>
    <row r="3625" spans="1:1" x14ac:dyDescent="0.25">
      <c r="A3625" t="s">
        <v>227</v>
      </c>
    </row>
    <row r="3626" spans="1:1" x14ac:dyDescent="0.25">
      <c r="A3626" t="s">
        <v>228</v>
      </c>
    </row>
    <row r="3627" spans="1:1" x14ac:dyDescent="0.25">
      <c r="A3627" t="s">
        <v>229</v>
      </c>
    </row>
    <row r="3628" spans="1:1" x14ac:dyDescent="0.25">
      <c r="A3628" t="s">
        <v>230</v>
      </c>
    </row>
    <row r="3629" spans="1:1" x14ac:dyDescent="0.25">
      <c r="A3629" t="s">
        <v>231</v>
      </c>
    </row>
    <row r="3630" spans="1:1" x14ac:dyDescent="0.25">
      <c r="A3630" t="s">
        <v>232</v>
      </c>
    </row>
    <row r="3631" spans="1:1" x14ac:dyDescent="0.25">
      <c r="A3631" t="s">
        <v>233</v>
      </c>
    </row>
    <row r="3632" spans="1:1" x14ac:dyDescent="0.25">
      <c r="A3632" t="s">
        <v>234</v>
      </c>
    </row>
    <row r="3633" spans="1:1" x14ac:dyDescent="0.25">
      <c r="A3633" t="s">
        <v>235</v>
      </c>
    </row>
    <row r="3634" spans="1:1" x14ac:dyDescent="0.25">
      <c r="A3634" t="s">
        <v>236</v>
      </c>
    </row>
    <row r="3635" spans="1:1" x14ac:dyDescent="0.25">
      <c r="A3635" t="s">
        <v>237</v>
      </c>
    </row>
    <row r="3636" spans="1:1" x14ac:dyDescent="0.25">
      <c r="A3636" t="s">
        <v>238</v>
      </c>
    </row>
    <row r="3637" spans="1:1" x14ac:dyDescent="0.25">
      <c r="A3637" t="s">
        <v>239</v>
      </c>
    </row>
    <row r="3638" spans="1:1" x14ac:dyDescent="0.25">
      <c r="A3638" t="s">
        <v>240</v>
      </c>
    </row>
    <row r="3639" spans="1:1" x14ac:dyDescent="0.25">
      <c r="A3639" t="s">
        <v>241</v>
      </c>
    </row>
    <row r="3640" spans="1:1" x14ac:dyDescent="0.25">
      <c r="A3640" t="s">
        <v>242</v>
      </c>
    </row>
    <row r="3641" spans="1:1" x14ac:dyDescent="0.25">
      <c r="A3641" t="s">
        <v>243</v>
      </c>
    </row>
    <row r="3642" spans="1:1" x14ac:dyDescent="0.25">
      <c r="A3642" t="s">
        <v>244</v>
      </c>
    </row>
    <row r="3643" spans="1:1" x14ac:dyDescent="0.25">
      <c r="A3643" t="s">
        <v>245</v>
      </c>
    </row>
    <row r="3644" spans="1:1" x14ac:dyDescent="0.25">
      <c r="A3644" t="s">
        <v>246</v>
      </c>
    </row>
    <row r="3645" spans="1:1" x14ac:dyDescent="0.25">
      <c r="A3645" t="s">
        <v>247</v>
      </c>
    </row>
    <row r="3646" spans="1:1" x14ac:dyDescent="0.25">
      <c r="A3646" t="s">
        <v>248</v>
      </c>
    </row>
    <row r="3647" spans="1:1" x14ac:dyDescent="0.25">
      <c r="A3647" t="s">
        <v>249</v>
      </c>
    </row>
    <row r="3648" spans="1:1" x14ac:dyDescent="0.25">
      <c r="A3648" t="s">
        <v>250</v>
      </c>
    </row>
    <row r="3649" spans="1:1" x14ac:dyDescent="0.25">
      <c r="A3649" t="s">
        <v>251</v>
      </c>
    </row>
    <row r="3650" spans="1:1" x14ac:dyDescent="0.25">
      <c r="A3650" t="s">
        <v>252</v>
      </c>
    </row>
    <row r="3651" spans="1:1" x14ac:dyDescent="0.25">
      <c r="A3651" t="s">
        <v>32</v>
      </c>
    </row>
    <row r="3652" spans="1:1" x14ac:dyDescent="0.25">
      <c r="A3652" t="s">
        <v>253</v>
      </c>
    </row>
    <row r="3653" spans="1:1" x14ac:dyDescent="0.25">
      <c r="A3653" t="s">
        <v>254</v>
      </c>
    </row>
    <row r="3654" spans="1:1" x14ac:dyDescent="0.25">
      <c r="A3654" t="s">
        <v>255</v>
      </c>
    </row>
    <row r="3655" spans="1:1" x14ac:dyDescent="0.25">
      <c r="A3655" t="s">
        <v>256</v>
      </c>
    </row>
    <row r="3656" spans="1:1" x14ac:dyDescent="0.25">
      <c r="A3656" t="s">
        <v>257</v>
      </c>
    </row>
    <row r="3657" spans="1:1" x14ac:dyDescent="0.25">
      <c r="A3657" t="s">
        <v>258</v>
      </c>
    </row>
    <row r="3658" spans="1:1" x14ac:dyDescent="0.25">
      <c r="A3658" t="s">
        <v>259</v>
      </c>
    </row>
    <row r="3659" spans="1:1" x14ac:dyDescent="0.25">
      <c r="A3659" t="s">
        <v>260</v>
      </c>
    </row>
    <row r="3660" spans="1:1" x14ac:dyDescent="0.25">
      <c r="A3660" t="s">
        <v>261</v>
      </c>
    </row>
    <row r="3661" spans="1:1" x14ac:dyDescent="0.25">
      <c r="A3661" t="s">
        <v>262</v>
      </c>
    </row>
    <row r="3662" spans="1:1" x14ac:dyDescent="0.25">
      <c r="A3662" t="s">
        <v>263</v>
      </c>
    </row>
    <row r="3663" spans="1:1" x14ac:dyDescent="0.25">
      <c r="A3663" t="s">
        <v>264</v>
      </c>
    </row>
    <row r="3664" spans="1:1" x14ac:dyDescent="0.25">
      <c r="A3664" t="s">
        <v>265</v>
      </c>
    </row>
    <row r="3665" spans="1:1" x14ac:dyDescent="0.25">
      <c r="A3665" t="s">
        <v>266</v>
      </c>
    </row>
    <row r="3666" spans="1:1" x14ac:dyDescent="0.25">
      <c r="A3666" t="s">
        <v>267</v>
      </c>
    </row>
    <row r="3667" spans="1:1" x14ac:dyDescent="0.25">
      <c r="A3667" t="s">
        <v>268</v>
      </c>
    </row>
    <row r="3668" spans="1:1" x14ac:dyDescent="0.25">
      <c r="A3668" t="s">
        <v>269</v>
      </c>
    </row>
    <row r="3669" spans="1:1" x14ac:dyDescent="0.25">
      <c r="A3669" t="s">
        <v>270</v>
      </c>
    </row>
    <row r="3670" spans="1:1" x14ac:dyDescent="0.25">
      <c r="A3670" t="s">
        <v>271</v>
      </c>
    </row>
    <row r="3671" spans="1:1" x14ac:dyDescent="0.25">
      <c r="A3671" t="s">
        <v>272</v>
      </c>
    </row>
    <row r="3672" spans="1:1" x14ac:dyDescent="0.25">
      <c r="A3672" t="s">
        <v>273</v>
      </c>
    </row>
    <row r="3673" spans="1:1" x14ac:dyDescent="0.25">
      <c r="A3673" t="s">
        <v>274</v>
      </c>
    </row>
    <row r="3674" spans="1:1" x14ac:dyDescent="0.25">
      <c r="A3674" t="s">
        <v>275</v>
      </c>
    </row>
    <row r="3675" spans="1:1" x14ac:dyDescent="0.25">
      <c r="A3675" t="s">
        <v>276</v>
      </c>
    </row>
    <row r="3676" spans="1:1" x14ac:dyDescent="0.25">
      <c r="A3676" t="s">
        <v>277</v>
      </c>
    </row>
    <row r="3677" spans="1:1" x14ac:dyDescent="0.25">
      <c r="A3677" t="s">
        <v>278</v>
      </c>
    </row>
    <row r="3678" spans="1:1" x14ac:dyDescent="0.25">
      <c r="A3678" t="s">
        <v>279</v>
      </c>
    </row>
    <row r="3679" spans="1:1" x14ac:dyDescent="0.25">
      <c r="A3679" t="s">
        <v>280</v>
      </c>
    </row>
    <row r="3680" spans="1:1" x14ac:dyDescent="0.25">
      <c r="A3680" t="s">
        <v>281</v>
      </c>
    </row>
    <row r="3681" spans="1:1" x14ac:dyDescent="0.25">
      <c r="A3681" t="s">
        <v>282</v>
      </c>
    </row>
    <row r="3682" spans="1:1" x14ac:dyDescent="0.25">
      <c r="A3682" t="s">
        <v>283</v>
      </c>
    </row>
    <row r="3683" spans="1:1" x14ac:dyDescent="0.25">
      <c r="A3683" t="s">
        <v>284</v>
      </c>
    </row>
    <row r="3684" spans="1:1" x14ac:dyDescent="0.25">
      <c r="A3684" t="s">
        <v>285</v>
      </c>
    </row>
    <row r="3685" spans="1:1" x14ac:dyDescent="0.25">
      <c r="A3685" t="s">
        <v>286</v>
      </c>
    </row>
    <row r="3686" spans="1:1" x14ac:dyDescent="0.25">
      <c r="A3686" t="s">
        <v>287</v>
      </c>
    </row>
    <row r="3687" spans="1:1" x14ac:dyDescent="0.25">
      <c r="A3687" t="s">
        <v>288</v>
      </c>
    </row>
    <row r="3688" spans="1:1" x14ac:dyDescent="0.25">
      <c r="A3688" t="s">
        <v>289</v>
      </c>
    </row>
    <row r="3689" spans="1:1" x14ac:dyDescent="0.25">
      <c r="A3689" t="s">
        <v>290</v>
      </c>
    </row>
    <row r="3690" spans="1:1" x14ac:dyDescent="0.25">
      <c r="A3690" t="s">
        <v>291</v>
      </c>
    </row>
    <row r="3691" spans="1:1" x14ac:dyDescent="0.25">
      <c r="A3691" t="s">
        <v>292</v>
      </c>
    </row>
    <row r="3692" spans="1:1" x14ac:dyDescent="0.25">
      <c r="A3692" t="s">
        <v>293</v>
      </c>
    </row>
    <row r="3693" spans="1:1" x14ac:dyDescent="0.25">
      <c r="A3693" t="s">
        <v>294</v>
      </c>
    </row>
    <row r="3694" spans="1:1" x14ac:dyDescent="0.25">
      <c r="A3694" t="s">
        <v>295</v>
      </c>
    </row>
    <row r="3695" spans="1:1" x14ac:dyDescent="0.25">
      <c r="A3695" t="s">
        <v>296</v>
      </c>
    </row>
    <row r="3696" spans="1:1" x14ac:dyDescent="0.25">
      <c r="A3696" t="s">
        <v>297</v>
      </c>
    </row>
    <row r="3697" spans="1:1" x14ac:dyDescent="0.25">
      <c r="A3697" t="s">
        <v>298</v>
      </c>
    </row>
    <row r="3698" spans="1:1" x14ac:dyDescent="0.25">
      <c r="A3698" t="s">
        <v>299</v>
      </c>
    </row>
    <row r="3699" spans="1:1" x14ac:dyDescent="0.25">
      <c r="A3699" t="s">
        <v>300</v>
      </c>
    </row>
    <row r="3700" spans="1:1" x14ac:dyDescent="0.25">
      <c r="A3700" t="s">
        <v>301</v>
      </c>
    </row>
    <row r="3701" spans="1:1" x14ac:dyDescent="0.25">
      <c r="A3701" t="s">
        <v>302</v>
      </c>
    </row>
    <row r="3702" spans="1:1" x14ac:dyDescent="0.25">
      <c r="A3702" t="s">
        <v>303</v>
      </c>
    </row>
    <row r="3703" spans="1:1" x14ac:dyDescent="0.25">
      <c r="A3703" t="s">
        <v>304</v>
      </c>
    </row>
    <row r="3704" spans="1:1" x14ac:dyDescent="0.25">
      <c r="A3704" t="s">
        <v>305</v>
      </c>
    </row>
    <row r="3705" spans="1:1" x14ac:dyDescent="0.25">
      <c r="A3705" t="s">
        <v>306</v>
      </c>
    </row>
    <row r="3706" spans="1:1" x14ac:dyDescent="0.25">
      <c r="A3706" t="s">
        <v>307</v>
      </c>
    </row>
    <row r="3707" spans="1:1" x14ac:dyDescent="0.25">
      <c r="A3707" t="s">
        <v>308</v>
      </c>
    </row>
    <row r="3708" spans="1:1" x14ac:dyDescent="0.25">
      <c r="A3708" t="s">
        <v>309</v>
      </c>
    </row>
    <row r="3709" spans="1:1" x14ac:dyDescent="0.25">
      <c r="A3709" t="s">
        <v>310</v>
      </c>
    </row>
    <row r="3710" spans="1:1" x14ac:dyDescent="0.25">
      <c r="A3710" t="s">
        <v>311</v>
      </c>
    </row>
    <row r="3711" spans="1:1" x14ac:dyDescent="0.25">
      <c r="A3711" t="s">
        <v>312</v>
      </c>
    </row>
    <row r="3712" spans="1:1" x14ac:dyDescent="0.25">
      <c r="A3712" t="s">
        <v>313</v>
      </c>
    </row>
    <row r="3713" spans="1:1" x14ac:dyDescent="0.25">
      <c r="A3713" t="s">
        <v>314</v>
      </c>
    </row>
    <row r="3714" spans="1:1" x14ac:dyDescent="0.25">
      <c r="A3714" t="s">
        <v>315</v>
      </c>
    </row>
    <row r="3715" spans="1:1" x14ac:dyDescent="0.25">
      <c r="A3715" t="s">
        <v>316</v>
      </c>
    </row>
    <row r="3716" spans="1:1" x14ac:dyDescent="0.25">
      <c r="A3716" t="s">
        <v>317</v>
      </c>
    </row>
    <row r="3717" spans="1:1" x14ac:dyDescent="0.25">
      <c r="A3717" t="s">
        <v>318</v>
      </c>
    </row>
    <row r="3718" spans="1:1" x14ac:dyDescent="0.25">
      <c r="A3718" t="s">
        <v>319</v>
      </c>
    </row>
    <row r="3719" spans="1:1" x14ac:dyDescent="0.25">
      <c r="A3719" t="s">
        <v>320</v>
      </c>
    </row>
    <row r="3720" spans="1:1" x14ac:dyDescent="0.25">
      <c r="A3720" t="s">
        <v>321</v>
      </c>
    </row>
    <row r="3721" spans="1:1" x14ac:dyDescent="0.25">
      <c r="A3721" t="s">
        <v>322</v>
      </c>
    </row>
    <row r="3722" spans="1:1" x14ac:dyDescent="0.25">
      <c r="A3722" t="s">
        <v>323</v>
      </c>
    </row>
    <row r="3723" spans="1:1" x14ac:dyDescent="0.25">
      <c r="A3723" t="s">
        <v>324</v>
      </c>
    </row>
    <row r="3724" spans="1:1" x14ac:dyDescent="0.25">
      <c r="A3724" t="s">
        <v>325</v>
      </c>
    </row>
    <row r="3725" spans="1:1" x14ac:dyDescent="0.25">
      <c r="A3725" t="s">
        <v>326</v>
      </c>
    </row>
    <row r="3726" spans="1:1" x14ac:dyDescent="0.25">
      <c r="A3726" t="s">
        <v>327</v>
      </c>
    </row>
    <row r="3727" spans="1:1" x14ac:dyDescent="0.25">
      <c r="A3727" t="s">
        <v>328</v>
      </c>
    </row>
    <row r="3728" spans="1:1" x14ac:dyDescent="0.25">
      <c r="A3728" t="s">
        <v>329</v>
      </c>
    </row>
    <row r="3729" spans="1:1" x14ac:dyDescent="0.25">
      <c r="A3729" t="s">
        <v>330</v>
      </c>
    </row>
    <row r="3730" spans="1:1" x14ac:dyDescent="0.25">
      <c r="A3730" t="s">
        <v>331</v>
      </c>
    </row>
    <row r="3731" spans="1:1" x14ac:dyDescent="0.25">
      <c r="A3731" t="s">
        <v>332</v>
      </c>
    </row>
    <row r="3732" spans="1:1" x14ac:dyDescent="0.25">
      <c r="A3732" t="s">
        <v>333</v>
      </c>
    </row>
    <row r="3733" spans="1:1" x14ac:dyDescent="0.25">
      <c r="A3733" t="s">
        <v>334</v>
      </c>
    </row>
    <row r="3734" spans="1:1" x14ac:dyDescent="0.25">
      <c r="A3734" t="s">
        <v>335</v>
      </c>
    </row>
    <row r="3735" spans="1:1" x14ac:dyDescent="0.25">
      <c r="A3735" t="s">
        <v>336</v>
      </c>
    </row>
    <row r="3736" spans="1:1" x14ac:dyDescent="0.25">
      <c r="A3736" t="s">
        <v>337</v>
      </c>
    </row>
    <row r="3737" spans="1:1" x14ac:dyDescent="0.25">
      <c r="A3737" t="s">
        <v>338</v>
      </c>
    </row>
    <row r="3738" spans="1:1" x14ac:dyDescent="0.25">
      <c r="A3738" t="s">
        <v>339</v>
      </c>
    </row>
    <row r="3739" spans="1:1" x14ac:dyDescent="0.25">
      <c r="A3739" t="s">
        <v>340</v>
      </c>
    </row>
    <row r="3740" spans="1:1" x14ac:dyDescent="0.25">
      <c r="A3740" t="s">
        <v>341</v>
      </c>
    </row>
    <row r="3741" spans="1:1" x14ac:dyDescent="0.25">
      <c r="A3741" t="s">
        <v>342</v>
      </c>
    </row>
    <row r="3742" spans="1:1" x14ac:dyDescent="0.25">
      <c r="A3742" t="s">
        <v>343</v>
      </c>
    </row>
    <row r="3743" spans="1:1" x14ac:dyDescent="0.25">
      <c r="A3743" t="s">
        <v>344</v>
      </c>
    </row>
    <row r="3744" spans="1:1" x14ac:dyDescent="0.25">
      <c r="A3744" t="s">
        <v>345</v>
      </c>
    </row>
    <row r="3745" spans="1:1" x14ac:dyDescent="0.25">
      <c r="A3745" t="s">
        <v>346</v>
      </c>
    </row>
    <row r="3746" spans="1:1" x14ac:dyDescent="0.25">
      <c r="A3746" t="s">
        <v>347</v>
      </c>
    </row>
    <row r="3747" spans="1:1" x14ac:dyDescent="0.25">
      <c r="A3747" t="s">
        <v>348</v>
      </c>
    </row>
    <row r="3748" spans="1:1" x14ac:dyDescent="0.25">
      <c r="A3748" t="s">
        <v>349</v>
      </c>
    </row>
    <row r="3749" spans="1:1" x14ac:dyDescent="0.25">
      <c r="A3749" t="s">
        <v>350</v>
      </c>
    </row>
    <row r="3750" spans="1:1" x14ac:dyDescent="0.25">
      <c r="A3750" t="s">
        <v>351</v>
      </c>
    </row>
    <row r="3751" spans="1:1" x14ac:dyDescent="0.25">
      <c r="A3751" t="s">
        <v>352</v>
      </c>
    </row>
    <row r="3752" spans="1:1" x14ac:dyDescent="0.25">
      <c r="A3752" t="s">
        <v>353</v>
      </c>
    </row>
    <row r="3753" spans="1:1" x14ac:dyDescent="0.25">
      <c r="A3753" t="s">
        <v>354</v>
      </c>
    </row>
    <row r="3754" spans="1:1" x14ac:dyDescent="0.25">
      <c r="A3754" t="s">
        <v>355</v>
      </c>
    </row>
    <row r="3755" spans="1:1" x14ac:dyDescent="0.25">
      <c r="A3755" t="s">
        <v>356</v>
      </c>
    </row>
    <row r="3756" spans="1:1" x14ac:dyDescent="0.25">
      <c r="A3756" t="s">
        <v>357</v>
      </c>
    </row>
    <row r="3757" spans="1:1" x14ac:dyDescent="0.25">
      <c r="A3757" t="s">
        <v>358</v>
      </c>
    </row>
    <row r="3758" spans="1:1" x14ac:dyDescent="0.25">
      <c r="A3758" t="s">
        <v>359</v>
      </c>
    </row>
    <row r="3759" spans="1:1" x14ac:dyDescent="0.25">
      <c r="A3759" t="s">
        <v>360</v>
      </c>
    </row>
    <row r="3760" spans="1:1" x14ac:dyDescent="0.25">
      <c r="A3760" t="s">
        <v>361</v>
      </c>
    </row>
    <row r="3761" spans="1:1" x14ac:dyDescent="0.25">
      <c r="A3761" t="s">
        <v>362</v>
      </c>
    </row>
    <row r="3762" spans="1:1" x14ac:dyDescent="0.25">
      <c r="A3762" t="s">
        <v>363</v>
      </c>
    </row>
    <row r="3763" spans="1:1" x14ac:dyDescent="0.25">
      <c r="A3763" t="s">
        <v>364</v>
      </c>
    </row>
    <row r="3764" spans="1:1" x14ac:dyDescent="0.25">
      <c r="A3764" t="s">
        <v>365</v>
      </c>
    </row>
    <row r="3765" spans="1:1" x14ac:dyDescent="0.25">
      <c r="A3765" t="s">
        <v>366</v>
      </c>
    </row>
    <row r="3766" spans="1:1" x14ac:dyDescent="0.25">
      <c r="A3766" t="s">
        <v>367</v>
      </c>
    </row>
    <row r="3767" spans="1:1" x14ac:dyDescent="0.25">
      <c r="A3767" t="s">
        <v>368</v>
      </c>
    </row>
    <row r="3768" spans="1:1" x14ac:dyDescent="0.25">
      <c r="A3768" t="s">
        <v>369</v>
      </c>
    </row>
    <row r="3769" spans="1:1" x14ac:dyDescent="0.25">
      <c r="A3769" t="s">
        <v>370</v>
      </c>
    </row>
    <row r="3770" spans="1:1" x14ac:dyDescent="0.25">
      <c r="A3770" t="s">
        <v>371</v>
      </c>
    </row>
    <row r="3771" spans="1:1" x14ac:dyDescent="0.25">
      <c r="A3771" t="s">
        <v>372</v>
      </c>
    </row>
    <row r="3772" spans="1:1" x14ac:dyDescent="0.25">
      <c r="A3772" t="s">
        <v>373</v>
      </c>
    </row>
    <row r="3773" spans="1:1" x14ac:dyDescent="0.25">
      <c r="A3773" t="s">
        <v>374</v>
      </c>
    </row>
    <row r="3774" spans="1:1" x14ac:dyDescent="0.25">
      <c r="A3774" t="s">
        <v>375</v>
      </c>
    </row>
    <row r="3775" spans="1:1" x14ac:dyDescent="0.25">
      <c r="A3775" t="s">
        <v>376</v>
      </c>
    </row>
    <row r="3776" spans="1:1" x14ac:dyDescent="0.25">
      <c r="A3776" t="s">
        <v>377</v>
      </c>
    </row>
    <row r="3777" spans="1:1" x14ac:dyDescent="0.25">
      <c r="A3777" t="s">
        <v>378</v>
      </c>
    </row>
    <row r="3778" spans="1:1" x14ac:dyDescent="0.25">
      <c r="A3778" t="s">
        <v>379</v>
      </c>
    </row>
    <row r="3779" spans="1:1" x14ac:dyDescent="0.25">
      <c r="A3779" t="s">
        <v>380</v>
      </c>
    </row>
    <row r="3780" spans="1:1" x14ac:dyDescent="0.25">
      <c r="A3780" t="s">
        <v>381</v>
      </c>
    </row>
    <row r="3781" spans="1:1" x14ac:dyDescent="0.25">
      <c r="A3781" t="s">
        <v>382</v>
      </c>
    </row>
    <row r="3782" spans="1:1" x14ac:dyDescent="0.25">
      <c r="A3782" t="s">
        <v>383</v>
      </c>
    </row>
    <row r="3783" spans="1:1" x14ac:dyDescent="0.25">
      <c r="A3783" t="s">
        <v>384</v>
      </c>
    </row>
    <row r="3784" spans="1:1" x14ac:dyDescent="0.25">
      <c r="A3784" t="s">
        <v>385</v>
      </c>
    </row>
    <row r="3785" spans="1:1" x14ac:dyDescent="0.25">
      <c r="A3785" t="s">
        <v>386</v>
      </c>
    </row>
    <row r="3786" spans="1:1" x14ac:dyDescent="0.25">
      <c r="A3786" t="s">
        <v>387</v>
      </c>
    </row>
    <row r="3787" spans="1:1" x14ac:dyDescent="0.25">
      <c r="A3787" t="s">
        <v>388</v>
      </c>
    </row>
    <row r="3788" spans="1:1" x14ac:dyDescent="0.25">
      <c r="A3788" t="s">
        <v>389</v>
      </c>
    </row>
    <row r="3789" spans="1:1" x14ac:dyDescent="0.25">
      <c r="A3789" t="s">
        <v>390</v>
      </c>
    </row>
    <row r="3790" spans="1:1" x14ac:dyDescent="0.25">
      <c r="A3790" t="s">
        <v>391</v>
      </c>
    </row>
    <row r="3791" spans="1:1" x14ac:dyDescent="0.25">
      <c r="A3791" t="s">
        <v>392</v>
      </c>
    </row>
    <row r="3792" spans="1:1" x14ac:dyDescent="0.25">
      <c r="A3792" t="s">
        <v>393</v>
      </c>
    </row>
    <row r="3793" spans="1:1" x14ac:dyDescent="0.25">
      <c r="A3793" t="s">
        <v>394</v>
      </c>
    </row>
    <row r="3794" spans="1:1" x14ac:dyDescent="0.25">
      <c r="A3794" t="s">
        <v>395</v>
      </c>
    </row>
    <row r="3795" spans="1:1" x14ac:dyDescent="0.25">
      <c r="A3795" t="s">
        <v>396</v>
      </c>
    </row>
    <row r="3796" spans="1:1" x14ac:dyDescent="0.25">
      <c r="A3796" t="s">
        <v>397</v>
      </c>
    </row>
    <row r="3797" spans="1:1" x14ac:dyDescent="0.25">
      <c r="A3797" t="s">
        <v>398</v>
      </c>
    </row>
    <row r="3798" spans="1:1" x14ac:dyDescent="0.25">
      <c r="A3798" t="s">
        <v>399</v>
      </c>
    </row>
    <row r="3799" spans="1:1" x14ac:dyDescent="0.25">
      <c r="A3799" t="s">
        <v>400</v>
      </c>
    </row>
    <row r="3800" spans="1:1" x14ac:dyDescent="0.25">
      <c r="A3800" t="s">
        <v>401</v>
      </c>
    </row>
    <row r="3801" spans="1:1" x14ac:dyDescent="0.25">
      <c r="A3801" t="s">
        <v>402</v>
      </c>
    </row>
    <row r="3802" spans="1:1" x14ac:dyDescent="0.25">
      <c r="A3802" t="s">
        <v>403</v>
      </c>
    </row>
    <row r="3803" spans="1:1" x14ac:dyDescent="0.25">
      <c r="A3803" t="s">
        <v>404</v>
      </c>
    </row>
    <row r="3804" spans="1:1" x14ac:dyDescent="0.25">
      <c r="A3804" t="s">
        <v>405</v>
      </c>
    </row>
    <row r="3805" spans="1:1" x14ac:dyDescent="0.25">
      <c r="A3805" t="s">
        <v>406</v>
      </c>
    </row>
    <row r="3806" spans="1:1" x14ac:dyDescent="0.25">
      <c r="A3806" t="s">
        <v>407</v>
      </c>
    </row>
    <row r="3807" spans="1:1" x14ac:dyDescent="0.25">
      <c r="A3807" t="s">
        <v>408</v>
      </c>
    </row>
    <row r="3808" spans="1:1" x14ac:dyDescent="0.25">
      <c r="A3808" t="s">
        <v>409</v>
      </c>
    </row>
    <row r="3809" spans="1:1" x14ac:dyDescent="0.25">
      <c r="A3809" t="s">
        <v>410</v>
      </c>
    </row>
    <row r="3810" spans="1:1" x14ac:dyDescent="0.25">
      <c r="A3810" t="s">
        <v>411</v>
      </c>
    </row>
    <row r="3811" spans="1:1" x14ac:dyDescent="0.25">
      <c r="A3811" t="s">
        <v>421</v>
      </c>
    </row>
    <row r="3812" spans="1:1" x14ac:dyDescent="0.25">
      <c r="A3812" t="s">
        <v>37</v>
      </c>
    </row>
    <row r="3813" spans="1:1" x14ac:dyDescent="0.25">
      <c r="A3813" t="s">
        <v>38</v>
      </c>
    </row>
    <row r="3814" spans="1:1" x14ac:dyDescent="0.25">
      <c r="A3814" t="s">
        <v>39</v>
      </c>
    </row>
    <row r="3815" spans="1:1" x14ac:dyDescent="0.25">
      <c r="A3815" t="s">
        <v>31</v>
      </c>
    </row>
    <row r="3816" spans="1:1" x14ac:dyDescent="0.25">
      <c r="A3816" t="s">
        <v>40</v>
      </c>
    </row>
    <row r="3817" spans="1:1" x14ac:dyDescent="0.25">
      <c r="A3817" t="s">
        <v>23</v>
      </c>
    </row>
    <row r="3818" spans="1:1" x14ac:dyDescent="0.25">
      <c r="A3818" t="s">
        <v>41</v>
      </c>
    </row>
    <row r="3819" spans="1:1" x14ac:dyDescent="0.25">
      <c r="A3819" t="s">
        <v>42</v>
      </c>
    </row>
    <row r="3820" spans="1:1" x14ac:dyDescent="0.25">
      <c r="A3820" t="s">
        <v>43</v>
      </c>
    </row>
    <row r="3821" spans="1:1" x14ac:dyDescent="0.25">
      <c r="A3821" t="s">
        <v>44</v>
      </c>
    </row>
    <row r="3822" spans="1:1" x14ac:dyDescent="0.25">
      <c r="A3822" t="s">
        <v>45</v>
      </c>
    </row>
    <row r="3823" spans="1:1" x14ac:dyDescent="0.25">
      <c r="A3823" t="s">
        <v>46</v>
      </c>
    </row>
    <row r="3824" spans="1:1" x14ac:dyDescent="0.25">
      <c r="A3824" t="s">
        <v>47</v>
      </c>
    </row>
    <row r="3825" spans="1:1" x14ac:dyDescent="0.25">
      <c r="A3825" t="s">
        <v>48</v>
      </c>
    </row>
    <row r="3826" spans="1:1" x14ac:dyDescent="0.25">
      <c r="A3826" t="s">
        <v>49</v>
      </c>
    </row>
    <row r="3827" spans="1:1" x14ac:dyDescent="0.25">
      <c r="A3827" t="s">
        <v>50</v>
      </c>
    </row>
    <row r="3828" spans="1:1" x14ac:dyDescent="0.25">
      <c r="A3828" t="s">
        <v>51</v>
      </c>
    </row>
    <row r="3829" spans="1:1" x14ac:dyDescent="0.25">
      <c r="A3829" t="s">
        <v>52</v>
      </c>
    </row>
    <row r="3830" spans="1:1" x14ac:dyDescent="0.25">
      <c r="A3830" t="s">
        <v>53</v>
      </c>
    </row>
    <row r="3831" spans="1:1" x14ac:dyDescent="0.25">
      <c r="A3831" t="s">
        <v>54</v>
      </c>
    </row>
    <row r="3832" spans="1:1" x14ac:dyDescent="0.25">
      <c r="A3832" t="s">
        <v>55</v>
      </c>
    </row>
    <row r="3833" spans="1:1" x14ac:dyDescent="0.25">
      <c r="A3833" t="s">
        <v>56</v>
      </c>
    </row>
    <row r="3834" spans="1:1" x14ac:dyDescent="0.25">
      <c r="A3834" t="s">
        <v>25</v>
      </c>
    </row>
    <row r="3835" spans="1:1" x14ac:dyDescent="0.25">
      <c r="A3835" t="s">
        <v>57</v>
      </c>
    </row>
    <row r="3836" spans="1:1" x14ac:dyDescent="0.25">
      <c r="A3836" t="s">
        <v>27</v>
      </c>
    </row>
    <row r="3837" spans="1:1" x14ac:dyDescent="0.25">
      <c r="A3837" t="s">
        <v>58</v>
      </c>
    </row>
    <row r="3838" spans="1:1" x14ac:dyDescent="0.25">
      <c r="A3838" t="s">
        <v>59</v>
      </c>
    </row>
    <row r="3839" spans="1:1" x14ac:dyDescent="0.25">
      <c r="A3839" t="s">
        <v>60</v>
      </c>
    </row>
    <row r="3840" spans="1:1" x14ac:dyDescent="0.25">
      <c r="A3840" t="s">
        <v>61</v>
      </c>
    </row>
    <row r="3841" spans="1:1" x14ac:dyDescent="0.25">
      <c r="A3841" t="s">
        <v>62</v>
      </c>
    </row>
    <row r="3842" spans="1:1" x14ac:dyDescent="0.25">
      <c r="A3842" t="s">
        <v>63</v>
      </c>
    </row>
    <row r="3843" spans="1:1" x14ac:dyDescent="0.25">
      <c r="A3843" t="s">
        <v>64</v>
      </c>
    </row>
    <row r="3844" spans="1:1" x14ac:dyDescent="0.25">
      <c r="A3844" t="s">
        <v>65</v>
      </c>
    </row>
    <row r="3845" spans="1:1" x14ac:dyDescent="0.25">
      <c r="A3845" t="s">
        <v>66</v>
      </c>
    </row>
    <row r="3846" spans="1:1" x14ac:dyDescent="0.25">
      <c r="A3846" t="s">
        <v>67</v>
      </c>
    </row>
    <row r="3847" spans="1:1" x14ac:dyDescent="0.25">
      <c r="A3847" t="s">
        <v>68</v>
      </c>
    </row>
    <row r="3848" spans="1:1" x14ac:dyDescent="0.25">
      <c r="A3848" t="s">
        <v>69</v>
      </c>
    </row>
    <row r="3849" spans="1:1" x14ac:dyDescent="0.25">
      <c r="A3849" t="s">
        <v>70</v>
      </c>
    </row>
    <row r="3850" spans="1:1" x14ac:dyDescent="0.25">
      <c r="A3850" t="s">
        <v>71</v>
      </c>
    </row>
    <row r="3851" spans="1:1" x14ac:dyDescent="0.25">
      <c r="A3851" t="s">
        <v>72</v>
      </c>
    </row>
    <row r="3852" spans="1:1" x14ac:dyDescent="0.25">
      <c r="A3852" t="s">
        <v>73</v>
      </c>
    </row>
    <row r="3853" spans="1:1" x14ac:dyDescent="0.25">
      <c r="A3853" t="s">
        <v>74</v>
      </c>
    </row>
    <row r="3854" spans="1:1" x14ac:dyDescent="0.25">
      <c r="A3854" t="s">
        <v>75</v>
      </c>
    </row>
    <row r="3855" spans="1:1" x14ac:dyDescent="0.25">
      <c r="A3855" t="s">
        <v>76</v>
      </c>
    </row>
    <row r="3856" spans="1:1" x14ac:dyDescent="0.25">
      <c r="A3856" t="s">
        <v>77</v>
      </c>
    </row>
    <row r="3857" spans="1:1" x14ac:dyDescent="0.25">
      <c r="A3857" t="s">
        <v>78</v>
      </c>
    </row>
    <row r="3858" spans="1:1" x14ac:dyDescent="0.25">
      <c r="A3858" t="s">
        <v>79</v>
      </c>
    </row>
    <row r="3859" spans="1:1" x14ac:dyDescent="0.25">
      <c r="A3859" t="s">
        <v>80</v>
      </c>
    </row>
    <row r="3860" spans="1:1" x14ac:dyDescent="0.25">
      <c r="A3860" t="s">
        <v>81</v>
      </c>
    </row>
    <row r="3861" spans="1:1" x14ac:dyDescent="0.25">
      <c r="A3861" t="s">
        <v>82</v>
      </c>
    </row>
    <row r="3862" spans="1:1" x14ac:dyDescent="0.25">
      <c r="A3862" t="s">
        <v>83</v>
      </c>
    </row>
    <row r="3863" spans="1:1" x14ac:dyDescent="0.25">
      <c r="A3863" t="s">
        <v>84</v>
      </c>
    </row>
    <row r="3864" spans="1:1" x14ac:dyDescent="0.25">
      <c r="A3864" t="s">
        <v>85</v>
      </c>
    </row>
    <row r="3865" spans="1:1" x14ac:dyDescent="0.25">
      <c r="A3865" t="s">
        <v>86</v>
      </c>
    </row>
    <row r="3866" spans="1:1" x14ac:dyDescent="0.25">
      <c r="A3866" t="s">
        <v>87</v>
      </c>
    </row>
    <row r="3867" spans="1:1" x14ac:dyDescent="0.25">
      <c r="A3867" t="s">
        <v>88</v>
      </c>
    </row>
    <row r="3868" spans="1:1" x14ac:dyDescent="0.25">
      <c r="A3868" t="s">
        <v>89</v>
      </c>
    </row>
    <row r="3869" spans="1:1" x14ac:dyDescent="0.25">
      <c r="A3869" t="s">
        <v>90</v>
      </c>
    </row>
    <row r="3870" spans="1:1" x14ac:dyDescent="0.25">
      <c r="A3870" t="s">
        <v>91</v>
      </c>
    </row>
    <row r="3871" spans="1:1" x14ac:dyDescent="0.25">
      <c r="A3871" t="s">
        <v>92</v>
      </c>
    </row>
    <row r="3872" spans="1:1" x14ac:dyDescent="0.25">
      <c r="A3872" t="s">
        <v>93</v>
      </c>
    </row>
    <row r="3873" spans="1:1" x14ac:dyDescent="0.25">
      <c r="A3873" t="s">
        <v>94</v>
      </c>
    </row>
    <row r="3874" spans="1:1" x14ac:dyDescent="0.25">
      <c r="A3874" t="s">
        <v>95</v>
      </c>
    </row>
    <row r="3875" spans="1:1" x14ac:dyDescent="0.25">
      <c r="A3875" t="s">
        <v>96</v>
      </c>
    </row>
    <row r="3876" spans="1:1" x14ac:dyDescent="0.25">
      <c r="A3876" t="s">
        <v>97</v>
      </c>
    </row>
    <row r="3877" spans="1:1" x14ac:dyDescent="0.25">
      <c r="A3877" t="s">
        <v>98</v>
      </c>
    </row>
    <row r="3878" spans="1:1" x14ac:dyDescent="0.25">
      <c r="A3878" t="s">
        <v>99</v>
      </c>
    </row>
    <row r="3879" spans="1:1" x14ac:dyDescent="0.25">
      <c r="A3879" t="s">
        <v>100</v>
      </c>
    </row>
    <row r="3880" spans="1:1" x14ac:dyDescent="0.25">
      <c r="A3880" t="s">
        <v>101</v>
      </c>
    </row>
    <row r="3881" spans="1:1" x14ac:dyDescent="0.25">
      <c r="A3881" t="s">
        <v>102</v>
      </c>
    </row>
    <row r="3882" spans="1:1" x14ac:dyDescent="0.25">
      <c r="A3882" t="s">
        <v>103</v>
      </c>
    </row>
    <row r="3883" spans="1:1" x14ac:dyDescent="0.25">
      <c r="A3883" t="s">
        <v>104</v>
      </c>
    </row>
    <row r="3884" spans="1:1" x14ac:dyDescent="0.25">
      <c r="A3884" t="s">
        <v>105</v>
      </c>
    </row>
    <row r="3885" spans="1:1" x14ac:dyDescent="0.25">
      <c r="A3885" t="s">
        <v>106</v>
      </c>
    </row>
    <row r="3886" spans="1:1" x14ac:dyDescent="0.25">
      <c r="A3886" t="s">
        <v>107</v>
      </c>
    </row>
    <row r="3887" spans="1:1" x14ac:dyDescent="0.25">
      <c r="A3887" t="s">
        <v>108</v>
      </c>
    </row>
    <row r="3888" spans="1:1" x14ac:dyDescent="0.25">
      <c r="A3888" t="s">
        <v>109</v>
      </c>
    </row>
    <row r="3889" spans="1:1" x14ac:dyDescent="0.25">
      <c r="A3889" t="s">
        <v>110</v>
      </c>
    </row>
    <row r="3890" spans="1:1" x14ac:dyDescent="0.25">
      <c r="A3890" t="s">
        <v>111</v>
      </c>
    </row>
    <row r="3891" spans="1:1" x14ac:dyDescent="0.25">
      <c r="A3891" t="s">
        <v>112</v>
      </c>
    </row>
    <row r="3892" spans="1:1" x14ac:dyDescent="0.25">
      <c r="A3892" t="s">
        <v>113</v>
      </c>
    </row>
    <row r="3893" spans="1:1" x14ac:dyDescent="0.25">
      <c r="A3893" t="s">
        <v>114</v>
      </c>
    </row>
    <row r="3894" spans="1:1" x14ac:dyDescent="0.25">
      <c r="A3894" t="s">
        <v>115</v>
      </c>
    </row>
    <row r="3895" spans="1:1" x14ac:dyDescent="0.25">
      <c r="A3895" t="s">
        <v>116</v>
      </c>
    </row>
    <row r="3896" spans="1:1" x14ac:dyDescent="0.25">
      <c r="A3896" t="s">
        <v>117</v>
      </c>
    </row>
    <row r="3897" spans="1:1" x14ac:dyDescent="0.25">
      <c r="A3897" t="s">
        <v>118</v>
      </c>
    </row>
    <row r="3898" spans="1:1" x14ac:dyDescent="0.25">
      <c r="A3898" t="s">
        <v>119</v>
      </c>
    </row>
    <row r="3899" spans="1:1" x14ac:dyDescent="0.25">
      <c r="A3899" t="s">
        <v>120</v>
      </c>
    </row>
    <row r="3900" spans="1:1" x14ac:dyDescent="0.25">
      <c r="A3900" t="s">
        <v>121</v>
      </c>
    </row>
    <row r="3901" spans="1:1" x14ac:dyDescent="0.25">
      <c r="A3901" t="s">
        <v>122</v>
      </c>
    </row>
    <row r="3902" spans="1:1" x14ac:dyDescent="0.25">
      <c r="A3902" t="s">
        <v>123</v>
      </c>
    </row>
    <row r="3903" spans="1:1" x14ac:dyDescent="0.25">
      <c r="A3903" t="s">
        <v>124</v>
      </c>
    </row>
    <row r="3904" spans="1:1" x14ac:dyDescent="0.25">
      <c r="A3904" t="s">
        <v>125</v>
      </c>
    </row>
    <row r="3905" spans="1:1" x14ac:dyDescent="0.25">
      <c r="A3905" t="s">
        <v>126</v>
      </c>
    </row>
    <row r="3906" spans="1:1" x14ac:dyDescent="0.25">
      <c r="A3906" t="s">
        <v>127</v>
      </c>
    </row>
    <row r="3907" spans="1:1" x14ac:dyDescent="0.25">
      <c r="A3907" t="s">
        <v>128</v>
      </c>
    </row>
    <row r="3908" spans="1:1" x14ac:dyDescent="0.25">
      <c r="A3908" t="s">
        <v>129</v>
      </c>
    </row>
    <row r="3909" spans="1:1" x14ac:dyDescent="0.25">
      <c r="A3909" t="s">
        <v>130</v>
      </c>
    </row>
    <row r="3910" spans="1:1" x14ac:dyDescent="0.25">
      <c r="A3910" t="s">
        <v>131</v>
      </c>
    </row>
    <row r="3911" spans="1:1" x14ac:dyDescent="0.25">
      <c r="A3911" t="s">
        <v>132</v>
      </c>
    </row>
    <row r="3912" spans="1:1" x14ac:dyDescent="0.25">
      <c r="A3912" t="s">
        <v>133</v>
      </c>
    </row>
    <row r="3913" spans="1:1" x14ac:dyDescent="0.25">
      <c r="A3913" t="s">
        <v>134</v>
      </c>
    </row>
    <row r="3914" spans="1:1" x14ac:dyDescent="0.25">
      <c r="A3914" t="s">
        <v>135</v>
      </c>
    </row>
    <row r="3915" spans="1:1" x14ac:dyDescent="0.25">
      <c r="A3915" t="s">
        <v>136</v>
      </c>
    </row>
    <row r="3916" spans="1:1" x14ac:dyDescent="0.25">
      <c r="A3916" t="s">
        <v>137</v>
      </c>
    </row>
    <row r="3917" spans="1:1" x14ac:dyDescent="0.25">
      <c r="A3917" t="s">
        <v>138</v>
      </c>
    </row>
    <row r="3918" spans="1:1" x14ac:dyDescent="0.25">
      <c r="A3918" t="s">
        <v>139</v>
      </c>
    </row>
    <row r="3919" spans="1:1" x14ac:dyDescent="0.25">
      <c r="A3919" t="s">
        <v>140</v>
      </c>
    </row>
    <row r="3920" spans="1:1" x14ac:dyDescent="0.25">
      <c r="A3920" t="s">
        <v>141</v>
      </c>
    </row>
    <row r="3921" spans="1:1" x14ac:dyDescent="0.25">
      <c r="A3921" t="s">
        <v>142</v>
      </c>
    </row>
    <row r="3922" spans="1:1" x14ac:dyDescent="0.25">
      <c r="A3922" t="s">
        <v>143</v>
      </c>
    </row>
    <row r="3923" spans="1:1" x14ac:dyDescent="0.25">
      <c r="A3923" t="s">
        <v>144</v>
      </c>
    </row>
    <row r="3924" spans="1:1" x14ac:dyDescent="0.25">
      <c r="A3924" t="s">
        <v>145</v>
      </c>
    </row>
    <row r="3925" spans="1:1" x14ac:dyDescent="0.25">
      <c r="A3925" t="s">
        <v>146</v>
      </c>
    </row>
    <row r="3926" spans="1:1" x14ac:dyDescent="0.25">
      <c r="A3926" t="s">
        <v>147</v>
      </c>
    </row>
    <row r="3927" spans="1:1" x14ac:dyDescent="0.25">
      <c r="A3927" t="s">
        <v>148</v>
      </c>
    </row>
    <row r="3928" spans="1:1" x14ac:dyDescent="0.25">
      <c r="A3928" t="s">
        <v>149</v>
      </c>
    </row>
    <row r="3929" spans="1:1" x14ac:dyDescent="0.25">
      <c r="A3929" t="s">
        <v>150</v>
      </c>
    </row>
    <row r="3930" spans="1:1" x14ac:dyDescent="0.25">
      <c r="A3930" t="s">
        <v>151</v>
      </c>
    </row>
    <row r="3931" spans="1:1" x14ac:dyDescent="0.25">
      <c r="A3931" t="s">
        <v>152</v>
      </c>
    </row>
    <row r="3932" spans="1:1" x14ac:dyDescent="0.25">
      <c r="A3932" t="s">
        <v>153</v>
      </c>
    </row>
    <row r="3933" spans="1:1" x14ac:dyDescent="0.25">
      <c r="A3933" t="s">
        <v>154</v>
      </c>
    </row>
    <row r="3934" spans="1:1" x14ac:dyDescent="0.25">
      <c r="A3934" t="s">
        <v>155</v>
      </c>
    </row>
    <row r="3935" spans="1:1" x14ac:dyDescent="0.25">
      <c r="A3935" t="s">
        <v>156</v>
      </c>
    </row>
    <row r="3936" spans="1:1" x14ac:dyDescent="0.25">
      <c r="A3936" t="s">
        <v>157</v>
      </c>
    </row>
    <row r="3937" spans="1:1" x14ac:dyDescent="0.25">
      <c r="A3937" t="s">
        <v>158</v>
      </c>
    </row>
    <row r="3938" spans="1:1" x14ac:dyDescent="0.25">
      <c r="A3938" t="s">
        <v>159</v>
      </c>
    </row>
    <row r="3939" spans="1:1" x14ac:dyDescent="0.25">
      <c r="A3939" t="s">
        <v>160</v>
      </c>
    </row>
    <row r="3940" spans="1:1" x14ac:dyDescent="0.25">
      <c r="A3940" t="s">
        <v>161</v>
      </c>
    </row>
    <row r="3941" spans="1:1" x14ac:dyDescent="0.25">
      <c r="A3941" t="s">
        <v>162</v>
      </c>
    </row>
    <row r="3942" spans="1:1" x14ac:dyDescent="0.25">
      <c r="A3942" t="s">
        <v>163</v>
      </c>
    </row>
    <row r="3943" spans="1:1" x14ac:dyDescent="0.25">
      <c r="A3943" t="s">
        <v>164</v>
      </c>
    </row>
    <row r="3944" spans="1:1" x14ac:dyDescent="0.25">
      <c r="A3944" t="s">
        <v>165</v>
      </c>
    </row>
    <row r="3945" spans="1:1" x14ac:dyDescent="0.25">
      <c r="A3945" t="s">
        <v>166</v>
      </c>
    </row>
    <row r="3946" spans="1:1" x14ac:dyDescent="0.25">
      <c r="A3946" t="s">
        <v>167</v>
      </c>
    </row>
    <row r="3947" spans="1:1" x14ac:dyDescent="0.25">
      <c r="A3947" t="s">
        <v>168</v>
      </c>
    </row>
    <row r="3948" spans="1:1" x14ac:dyDescent="0.25">
      <c r="A3948" t="s">
        <v>169</v>
      </c>
    </row>
    <row r="3949" spans="1:1" x14ac:dyDescent="0.25">
      <c r="A3949" t="s">
        <v>170</v>
      </c>
    </row>
    <row r="3950" spans="1:1" x14ac:dyDescent="0.25">
      <c r="A3950" t="s">
        <v>171</v>
      </c>
    </row>
    <row r="3951" spans="1:1" x14ac:dyDescent="0.25">
      <c r="A3951" t="s">
        <v>172</v>
      </c>
    </row>
    <row r="3952" spans="1:1" x14ac:dyDescent="0.25">
      <c r="A3952" t="s">
        <v>173</v>
      </c>
    </row>
    <row r="3953" spans="1:1" x14ac:dyDescent="0.25">
      <c r="A3953" t="s">
        <v>174</v>
      </c>
    </row>
    <row r="3954" spans="1:1" x14ac:dyDescent="0.25">
      <c r="A3954" t="s">
        <v>175</v>
      </c>
    </row>
    <row r="3955" spans="1:1" x14ac:dyDescent="0.25">
      <c r="A3955" t="s">
        <v>176</v>
      </c>
    </row>
    <row r="3956" spans="1:1" x14ac:dyDescent="0.25">
      <c r="A3956" t="s">
        <v>177</v>
      </c>
    </row>
    <row r="3957" spans="1:1" x14ac:dyDescent="0.25">
      <c r="A3957" t="s">
        <v>178</v>
      </c>
    </row>
    <row r="3958" spans="1:1" x14ac:dyDescent="0.25">
      <c r="A3958" t="s">
        <v>179</v>
      </c>
    </row>
    <row r="3959" spans="1:1" x14ac:dyDescent="0.25">
      <c r="A3959" t="s">
        <v>180</v>
      </c>
    </row>
    <row r="3960" spans="1:1" x14ac:dyDescent="0.25">
      <c r="A3960" t="s">
        <v>181</v>
      </c>
    </row>
    <row r="3961" spans="1:1" x14ac:dyDescent="0.25">
      <c r="A3961" t="s">
        <v>182</v>
      </c>
    </row>
    <row r="3962" spans="1:1" x14ac:dyDescent="0.25">
      <c r="A3962" t="s">
        <v>183</v>
      </c>
    </row>
    <row r="3963" spans="1:1" x14ac:dyDescent="0.25">
      <c r="A3963" t="s">
        <v>184</v>
      </c>
    </row>
    <row r="3964" spans="1:1" x14ac:dyDescent="0.25">
      <c r="A3964" t="s">
        <v>185</v>
      </c>
    </row>
    <row r="3965" spans="1:1" x14ac:dyDescent="0.25">
      <c r="A3965" t="s">
        <v>186</v>
      </c>
    </row>
    <row r="3966" spans="1:1" x14ac:dyDescent="0.25">
      <c r="A3966" t="s">
        <v>187</v>
      </c>
    </row>
    <row r="3967" spans="1:1" x14ac:dyDescent="0.25">
      <c r="A3967" t="s">
        <v>188</v>
      </c>
    </row>
    <row r="3968" spans="1:1" x14ac:dyDescent="0.25">
      <c r="A3968" t="s">
        <v>189</v>
      </c>
    </row>
    <row r="3969" spans="1:1" x14ac:dyDescent="0.25">
      <c r="A3969" t="s">
        <v>190</v>
      </c>
    </row>
    <row r="3970" spans="1:1" x14ac:dyDescent="0.25">
      <c r="A3970" t="s">
        <v>191</v>
      </c>
    </row>
    <row r="3971" spans="1:1" x14ac:dyDescent="0.25">
      <c r="A3971" t="s">
        <v>192</v>
      </c>
    </row>
    <row r="3972" spans="1:1" x14ac:dyDescent="0.25">
      <c r="A3972" t="s">
        <v>193</v>
      </c>
    </row>
    <row r="3973" spans="1:1" x14ac:dyDescent="0.25">
      <c r="A3973" t="s">
        <v>194</v>
      </c>
    </row>
    <row r="3974" spans="1:1" x14ac:dyDescent="0.25">
      <c r="A3974" t="s">
        <v>195</v>
      </c>
    </row>
    <row r="3975" spans="1:1" x14ac:dyDescent="0.25">
      <c r="A3975" t="s">
        <v>196</v>
      </c>
    </row>
    <row r="3976" spans="1:1" x14ac:dyDescent="0.25">
      <c r="A3976" t="s">
        <v>197</v>
      </c>
    </row>
    <row r="3977" spans="1:1" x14ac:dyDescent="0.25">
      <c r="A3977" t="s">
        <v>198</v>
      </c>
    </row>
    <row r="3978" spans="1:1" x14ac:dyDescent="0.25">
      <c r="A3978" t="s">
        <v>199</v>
      </c>
    </row>
    <row r="3979" spans="1:1" x14ac:dyDescent="0.25">
      <c r="A3979" t="s">
        <v>200</v>
      </c>
    </row>
    <row r="3980" spans="1:1" x14ac:dyDescent="0.25">
      <c r="A3980" t="s">
        <v>201</v>
      </c>
    </row>
    <row r="3981" spans="1:1" x14ac:dyDescent="0.25">
      <c r="A3981" t="s">
        <v>202</v>
      </c>
    </row>
    <row r="3982" spans="1:1" x14ac:dyDescent="0.25">
      <c r="A3982" t="s">
        <v>203</v>
      </c>
    </row>
    <row r="3983" spans="1:1" x14ac:dyDescent="0.25">
      <c r="A3983" t="s">
        <v>204</v>
      </c>
    </row>
    <row r="3984" spans="1:1" x14ac:dyDescent="0.25">
      <c r="A3984" t="s">
        <v>205</v>
      </c>
    </row>
    <row r="3985" spans="1:1" x14ac:dyDescent="0.25">
      <c r="A3985" t="s">
        <v>206</v>
      </c>
    </row>
    <row r="3986" spans="1:1" x14ac:dyDescent="0.25">
      <c r="A3986" t="s">
        <v>207</v>
      </c>
    </row>
    <row r="3987" spans="1:1" x14ac:dyDescent="0.25">
      <c r="A3987" t="s">
        <v>208</v>
      </c>
    </row>
    <row r="3988" spans="1:1" x14ac:dyDescent="0.25">
      <c r="A3988" t="s">
        <v>209</v>
      </c>
    </row>
    <row r="3989" spans="1:1" x14ac:dyDescent="0.25">
      <c r="A3989" t="s">
        <v>210</v>
      </c>
    </row>
    <row r="3990" spans="1:1" x14ac:dyDescent="0.25">
      <c r="A3990" t="s">
        <v>211</v>
      </c>
    </row>
    <row r="3991" spans="1:1" x14ac:dyDescent="0.25">
      <c r="A3991" t="s">
        <v>212</v>
      </c>
    </row>
    <row r="3992" spans="1:1" x14ac:dyDescent="0.25">
      <c r="A3992" t="s">
        <v>213</v>
      </c>
    </row>
    <row r="3993" spans="1:1" x14ac:dyDescent="0.25">
      <c r="A3993" t="s">
        <v>214</v>
      </c>
    </row>
    <row r="3994" spans="1:1" x14ac:dyDescent="0.25">
      <c r="A3994" t="s">
        <v>215</v>
      </c>
    </row>
    <row r="3995" spans="1:1" x14ac:dyDescent="0.25">
      <c r="A3995" t="s">
        <v>216</v>
      </c>
    </row>
    <row r="3996" spans="1:1" x14ac:dyDescent="0.25">
      <c r="A3996" t="s">
        <v>217</v>
      </c>
    </row>
    <row r="3997" spans="1:1" x14ac:dyDescent="0.25">
      <c r="A3997" t="s">
        <v>218</v>
      </c>
    </row>
    <row r="3998" spans="1:1" x14ac:dyDescent="0.25">
      <c r="A3998" t="s">
        <v>219</v>
      </c>
    </row>
    <row r="3999" spans="1:1" x14ac:dyDescent="0.25">
      <c r="A3999" t="s">
        <v>220</v>
      </c>
    </row>
    <row r="4000" spans="1:1" x14ac:dyDescent="0.25">
      <c r="A4000" t="s">
        <v>221</v>
      </c>
    </row>
    <row r="4001" spans="1:1" x14ac:dyDescent="0.25">
      <c r="A4001" t="s">
        <v>222</v>
      </c>
    </row>
    <row r="4002" spans="1:1" x14ac:dyDescent="0.25">
      <c r="A4002" t="s">
        <v>223</v>
      </c>
    </row>
    <row r="4003" spans="1:1" x14ac:dyDescent="0.25">
      <c r="A4003" t="s">
        <v>224</v>
      </c>
    </row>
    <row r="4004" spans="1:1" x14ac:dyDescent="0.25">
      <c r="A4004" t="s">
        <v>225</v>
      </c>
    </row>
    <row r="4005" spans="1:1" x14ac:dyDescent="0.25">
      <c r="A4005" t="s">
        <v>226</v>
      </c>
    </row>
    <row r="4006" spans="1:1" x14ac:dyDescent="0.25">
      <c r="A4006" t="s">
        <v>227</v>
      </c>
    </row>
    <row r="4007" spans="1:1" x14ac:dyDescent="0.25">
      <c r="A4007" t="s">
        <v>228</v>
      </c>
    </row>
    <row r="4008" spans="1:1" x14ac:dyDescent="0.25">
      <c r="A4008" t="s">
        <v>229</v>
      </c>
    </row>
    <row r="4009" spans="1:1" x14ac:dyDescent="0.25">
      <c r="A4009" t="s">
        <v>230</v>
      </c>
    </row>
    <row r="4010" spans="1:1" x14ac:dyDescent="0.25">
      <c r="A4010" t="s">
        <v>231</v>
      </c>
    </row>
    <row r="4011" spans="1:1" x14ac:dyDescent="0.25">
      <c r="A4011" t="s">
        <v>232</v>
      </c>
    </row>
    <row r="4012" spans="1:1" x14ac:dyDescent="0.25">
      <c r="A4012" t="s">
        <v>233</v>
      </c>
    </row>
    <row r="4013" spans="1:1" x14ac:dyDescent="0.25">
      <c r="A4013" t="s">
        <v>234</v>
      </c>
    </row>
    <row r="4014" spans="1:1" x14ac:dyDescent="0.25">
      <c r="A4014" t="s">
        <v>235</v>
      </c>
    </row>
    <row r="4015" spans="1:1" x14ac:dyDescent="0.25">
      <c r="A4015" t="s">
        <v>236</v>
      </c>
    </row>
    <row r="4016" spans="1:1" x14ac:dyDescent="0.25">
      <c r="A4016" t="s">
        <v>237</v>
      </c>
    </row>
    <row r="4017" spans="1:1" x14ac:dyDescent="0.25">
      <c r="A4017" t="s">
        <v>238</v>
      </c>
    </row>
    <row r="4018" spans="1:1" x14ac:dyDescent="0.25">
      <c r="A4018" t="s">
        <v>239</v>
      </c>
    </row>
    <row r="4019" spans="1:1" x14ac:dyDescent="0.25">
      <c r="A4019" t="s">
        <v>240</v>
      </c>
    </row>
    <row r="4020" spans="1:1" x14ac:dyDescent="0.25">
      <c r="A4020" t="s">
        <v>241</v>
      </c>
    </row>
    <row r="4021" spans="1:1" x14ac:dyDescent="0.25">
      <c r="A4021" t="s">
        <v>242</v>
      </c>
    </row>
    <row r="4022" spans="1:1" x14ac:dyDescent="0.25">
      <c r="A4022" t="s">
        <v>243</v>
      </c>
    </row>
    <row r="4023" spans="1:1" x14ac:dyDescent="0.25">
      <c r="A4023" t="s">
        <v>244</v>
      </c>
    </row>
    <row r="4024" spans="1:1" x14ac:dyDescent="0.25">
      <c r="A4024" t="s">
        <v>245</v>
      </c>
    </row>
    <row r="4025" spans="1:1" x14ac:dyDescent="0.25">
      <c r="A4025" t="s">
        <v>246</v>
      </c>
    </row>
    <row r="4026" spans="1:1" x14ac:dyDescent="0.25">
      <c r="A4026" t="s">
        <v>247</v>
      </c>
    </row>
    <row r="4027" spans="1:1" x14ac:dyDescent="0.25">
      <c r="A4027" t="s">
        <v>248</v>
      </c>
    </row>
    <row r="4028" spans="1:1" x14ac:dyDescent="0.25">
      <c r="A4028" t="s">
        <v>249</v>
      </c>
    </row>
    <row r="4029" spans="1:1" x14ac:dyDescent="0.25">
      <c r="A4029" t="s">
        <v>250</v>
      </c>
    </row>
    <row r="4030" spans="1:1" x14ac:dyDescent="0.25">
      <c r="A4030" t="s">
        <v>251</v>
      </c>
    </row>
    <row r="4031" spans="1:1" x14ac:dyDescent="0.25">
      <c r="A4031" t="s">
        <v>252</v>
      </c>
    </row>
    <row r="4032" spans="1:1" x14ac:dyDescent="0.25">
      <c r="A4032" t="s">
        <v>32</v>
      </c>
    </row>
    <row r="4033" spans="1:1" x14ac:dyDescent="0.25">
      <c r="A4033" t="s">
        <v>253</v>
      </c>
    </row>
    <row r="4034" spans="1:1" x14ac:dyDescent="0.25">
      <c r="A4034" t="s">
        <v>254</v>
      </c>
    </row>
    <row r="4035" spans="1:1" x14ac:dyDescent="0.25">
      <c r="A4035" t="s">
        <v>255</v>
      </c>
    </row>
    <row r="4036" spans="1:1" x14ac:dyDescent="0.25">
      <c r="A4036" t="s">
        <v>256</v>
      </c>
    </row>
    <row r="4037" spans="1:1" x14ac:dyDescent="0.25">
      <c r="A4037" t="s">
        <v>257</v>
      </c>
    </row>
    <row r="4038" spans="1:1" x14ac:dyDescent="0.25">
      <c r="A4038" t="s">
        <v>258</v>
      </c>
    </row>
    <row r="4039" spans="1:1" x14ac:dyDescent="0.25">
      <c r="A4039" t="s">
        <v>259</v>
      </c>
    </row>
    <row r="4040" spans="1:1" x14ac:dyDescent="0.25">
      <c r="A4040" t="s">
        <v>260</v>
      </c>
    </row>
    <row r="4041" spans="1:1" x14ac:dyDescent="0.25">
      <c r="A4041" t="s">
        <v>261</v>
      </c>
    </row>
    <row r="4042" spans="1:1" x14ac:dyDescent="0.25">
      <c r="A4042" t="s">
        <v>262</v>
      </c>
    </row>
    <row r="4043" spans="1:1" x14ac:dyDescent="0.25">
      <c r="A4043" t="s">
        <v>263</v>
      </c>
    </row>
    <row r="4044" spans="1:1" x14ac:dyDescent="0.25">
      <c r="A4044" t="s">
        <v>264</v>
      </c>
    </row>
    <row r="4045" spans="1:1" x14ac:dyDescent="0.25">
      <c r="A4045" t="s">
        <v>265</v>
      </c>
    </row>
    <row r="4046" spans="1:1" x14ac:dyDescent="0.25">
      <c r="A4046" t="s">
        <v>266</v>
      </c>
    </row>
    <row r="4047" spans="1:1" x14ac:dyDescent="0.25">
      <c r="A4047" t="s">
        <v>267</v>
      </c>
    </row>
    <row r="4048" spans="1:1" x14ac:dyDescent="0.25">
      <c r="A4048" t="s">
        <v>268</v>
      </c>
    </row>
    <row r="4049" spans="1:1" x14ac:dyDescent="0.25">
      <c r="A4049" t="s">
        <v>269</v>
      </c>
    </row>
    <row r="4050" spans="1:1" x14ac:dyDescent="0.25">
      <c r="A4050" t="s">
        <v>270</v>
      </c>
    </row>
    <row r="4051" spans="1:1" x14ac:dyDescent="0.25">
      <c r="A4051" t="s">
        <v>271</v>
      </c>
    </row>
    <row r="4052" spans="1:1" x14ac:dyDescent="0.25">
      <c r="A4052" t="s">
        <v>272</v>
      </c>
    </row>
    <row r="4053" spans="1:1" x14ac:dyDescent="0.25">
      <c r="A4053" t="s">
        <v>273</v>
      </c>
    </row>
    <row r="4054" spans="1:1" x14ac:dyDescent="0.25">
      <c r="A4054" t="s">
        <v>274</v>
      </c>
    </row>
    <row r="4055" spans="1:1" x14ac:dyDescent="0.25">
      <c r="A4055" t="s">
        <v>275</v>
      </c>
    </row>
    <row r="4056" spans="1:1" x14ac:dyDescent="0.25">
      <c r="A4056" t="s">
        <v>276</v>
      </c>
    </row>
    <row r="4057" spans="1:1" x14ac:dyDescent="0.25">
      <c r="A4057" t="s">
        <v>277</v>
      </c>
    </row>
    <row r="4058" spans="1:1" x14ac:dyDescent="0.25">
      <c r="A4058" t="s">
        <v>278</v>
      </c>
    </row>
    <row r="4059" spans="1:1" x14ac:dyDescent="0.25">
      <c r="A4059" t="s">
        <v>279</v>
      </c>
    </row>
    <row r="4060" spans="1:1" x14ac:dyDescent="0.25">
      <c r="A4060" t="s">
        <v>280</v>
      </c>
    </row>
    <row r="4061" spans="1:1" x14ac:dyDescent="0.25">
      <c r="A4061" t="s">
        <v>281</v>
      </c>
    </row>
    <row r="4062" spans="1:1" x14ac:dyDescent="0.25">
      <c r="A4062" t="s">
        <v>282</v>
      </c>
    </row>
    <row r="4063" spans="1:1" x14ac:dyDescent="0.25">
      <c r="A4063" t="s">
        <v>283</v>
      </c>
    </row>
    <row r="4064" spans="1:1" x14ac:dyDescent="0.25">
      <c r="A4064" t="s">
        <v>284</v>
      </c>
    </row>
    <row r="4065" spans="1:1" x14ac:dyDescent="0.25">
      <c r="A4065" t="s">
        <v>285</v>
      </c>
    </row>
    <row r="4066" spans="1:1" x14ac:dyDescent="0.25">
      <c r="A4066" t="s">
        <v>286</v>
      </c>
    </row>
    <row r="4067" spans="1:1" x14ac:dyDescent="0.25">
      <c r="A4067" t="s">
        <v>287</v>
      </c>
    </row>
    <row r="4068" spans="1:1" x14ac:dyDescent="0.25">
      <c r="A4068" t="s">
        <v>288</v>
      </c>
    </row>
    <row r="4069" spans="1:1" x14ac:dyDescent="0.25">
      <c r="A4069" t="s">
        <v>289</v>
      </c>
    </row>
    <row r="4070" spans="1:1" x14ac:dyDescent="0.25">
      <c r="A4070" t="s">
        <v>290</v>
      </c>
    </row>
    <row r="4071" spans="1:1" x14ac:dyDescent="0.25">
      <c r="A4071" t="s">
        <v>291</v>
      </c>
    </row>
    <row r="4072" spans="1:1" x14ac:dyDescent="0.25">
      <c r="A4072" t="s">
        <v>292</v>
      </c>
    </row>
    <row r="4073" spans="1:1" x14ac:dyDescent="0.25">
      <c r="A4073" t="s">
        <v>293</v>
      </c>
    </row>
    <row r="4074" spans="1:1" x14ac:dyDescent="0.25">
      <c r="A4074" t="s">
        <v>294</v>
      </c>
    </row>
    <row r="4075" spans="1:1" x14ac:dyDescent="0.25">
      <c r="A4075" t="s">
        <v>295</v>
      </c>
    </row>
    <row r="4076" spans="1:1" x14ac:dyDescent="0.25">
      <c r="A4076" t="s">
        <v>296</v>
      </c>
    </row>
    <row r="4077" spans="1:1" x14ac:dyDescent="0.25">
      <c r="A4077" t="s">
        <v>297</v>
      </c>
    </row>
    <row r="4078" spans="1:1" x14ac:dyDescent="0.25">
      <c r="A4078" t="s">
        <v>298</v>
      </c>
    </row>
    <row r="4079" spans="1:1" x14ac:dyDescent="0.25">
      <c r="A4079" t="s">
        <v>299</v>
      </c>
    </row>
    <row r="4080" spans="1:1" x14ac:dyDescent="0.25">
      <c r="A4080" t="s">
        <v>300</v>
      </c>
    </row>
    <row r="4081" spans="1:1" x14ac:dyDescent="0.25">
      <c r="A4081" t="s">
        <v>301</v>
      </c>
    </row>
    <row r="4082" spans="1:1" x14ac:dyDescent="0.25">
      <c r="A4082" t="s">
        <v>302</v>
      </c>
    </row>
    <row r="4083" spans="1:1" x14ac:dyDescent="0.25">
      <c r="A4083" t="s">
        <v>303</v>
      </c>
    </row>
    <row r="4084" spans="1:1" x14ac:dyDescent="0.25">
      <c r="A4084" t="s">
        <v>304</v>
      </c>
    </row>
    <row r="4085" spans="1:1" x14ac:dyDescent="0.25">
      <c r="A4085" t="s">
        <v>305</v>
      </c>
    </row>
    <row r="4086" spans="1:1" x14ac:dyDescent="0.25">
      <c r="A4086" t="s">
        <v>306</v>
      </c>
    </row>
    <row r="4087" spans="1:1" x14ac:dyDescent="0.25">
      <c r="A4087" t="s">
        <v>307</v>
      </c>
    </row>
    <row r="4088" spans="1:1" x14ac:dyDescent="0.25">
      <c r="A4088" t="s">
        <v>308</v>
      </c>
    </row>
    <row r="4089" spans="1:1" x14ac:dyDescent="0.25">
      <c r="A4089" t="s">
        <v>309</v>
      </c>
    </row>
    <row r="4090" spans="1:1" x14ac:dyDescent="0.25">
      <c r="A4090" t="s">
        <v>310</v>
      </c>
    </row>
    <row r="4091" spans="1:1" x14ac:dyDescent="0.25">
      <c r="A4091" t="s">
        <v>311</v>
      </c>
    </row>
    <row r="4092" spans="1:1" x14ac:dyDescent="0.25">
      <c r="A4092" t="s">
        <v>312</v>
      </c>
    </row>
    <row r="4093" spans="1:1" x14ac:dyDescent="0.25">
      <c r="A4093" t="s">
        <v>313</v>
      </c>
    </row>
    <row r="4094" spans="1:1" x14ac:dyDescent="0.25">
      <c r="A4094" t="s">
        <v>314</v>
      </c>
    </row>
    <row r="4095" spans="1:1" x14ac:dyDescent="0.25">
      <c r="A4095" t="s">
        <v>315</v>
      </c>
    </row>
    <row r="4096" spans="1:1" x14ac:dyDescent="0.25">
      <c r="A4096" t="s">
        <v>316</v>
      </c>
    </row>
    <row r="4097" spans="1:1" x14ac:dyDescent="0.25">
      <c r="A4097" t="s">
        <v>317</v>
      </c>
    </row>
    <row r="4098" spans="1:1" x14ac:dyDescent="0.25">
      <c r="A4098" t="s">
        <v>318</v>
      </c>
    </row>
    <row r="4099" spans="1:1" x14ac:dyDescent="0.25">
      <c r="A4099" t="s">
        <v>319</v>
      </c>
    </row>
    <row r="4100" spans="1:1" x14ac:dyDescent="0.25">
      <c r="A4100" t="s">
        <v>320</v>
      </c>
    </row>
    <row r="4101" spans="1:1" x14ac:dyDescent="0.25">
      <c r="A4101" t="s">
        <v>321</v>
      </c>
    </row>
    <row r="4102" spans="1:1" x14ac:dyDescent="0.25">
      <c r="A4102" t="s">
        <v>322</v>
      </c>
    </row>
    <row r="4103" spans="1:1" x14ac:dyDescent="0.25">
      <c r="A4103" t="s">
        <v>323</v>
      </c>
    </row>
    <row r="4104" spans="1:1" x14ac:dyDescent="0.25">
      <c r="A4104" t="s">
        <v>324</v>
      </c>
    </row>
    <row r="4105" spans="1:1" x14ac:dyDescent="0.25">
      <c r="A4105" t="s">
        <v>325</v>
      </c>
    </row>
    <row r="4106" spans="1:1" x14ac:dyDescent="0.25">
      <c r="A4106" t="s">
        <v>326</v>
      </c>
    </row>
    <row r="4107" spans="1:1" x14ac:dyDescent="0.25">
      <c r="A4107" t="s">
        <v>327</v>
      </c>
    </row>
    <row r="4108" spans="1:1" x14ac:dyDescent="0.25">
      <c r="A4108" t="s">
        <v>328</v>
      </c>
    </row>
    <row r="4109" spans="1:1" x14ac:dyDescent="0.25">
      <c r="A4109" t="s">
        <v>329</v>
      </c>
    </row>
    <row r="4110" spans="1:1" x14ac:dyDescent="0.25">
      <c r="A4110" t="s">
        <v>330</v>
      </c>
    </row>
    <row r="4111" spans="1:1" x14ac:dyDescent="0.25">
      <c r="A4111" t="s">
        <v>331</v>
      </c>
    </row>
    <row r="4112" spans="1:1" x14ac:dyDescent="0.25">
      <c r="A4112" t="s">
        <v>332</v>
      </c>
    </row>
    <row r="4113" spans="1:1" x14ac:dyDescent="0.25">
      <c r="A4113" t="s">
        <v>333</v>
      </c>
    </row>
    <row r="4114" spans="1:1" x14ac:dyDescent="0.25">
      <c r="A4114" t="s">
        <v>334</v>
      </c>
    </row>
    <row r="4115" spans="1:1" x14ac:dyDescent="0.25">
      <c r="A4115" t="s">
        <v>335</v>
      </c>
    </row>
    <row r="4116" spans="1:1" x14ac:dyDescent="0.25">
      <c r="A4116" t="s">
        <v>336</v>
      </c>
    </row>
    <row r="4117" spans="1:1" x14ac:dyDescent="0.25">
      <c r="A4117" t="s">
        <v>337</v>
      </c>
    </row>
    <row r="4118" spans="1:1" x14ac:dyDescent="0.25">
      <c r="A4118" t="s">
        <v>338</v>
      </c>
    </row>
    <row r="4119" spans="1:1" x14ac:dyDescent="0.25">
      <c r="A4119" t="s">
        <v>339</v>
      </c>
    </row>
    <row r="4120" spans="1:1" x14ac:dyDescent="0.25">
      <c r="A4120" t="s">
        <v>340</v>
      </c>
    </row>
    <row r="4121" spans="1:1" x14ac:dyDescent="0.25">
      <c r="A4121" t="s">
        <v>341</v>
      </c>
    </row>
    <row r="4122" spans="1:1" x14ac:dyDescent="0.25">
      <c r="A4122" t="s">
        <v>342</v>
      </c>
    </row>
    <row r="4123" spans="1:1" x14ac:dyDescent="0.25">
      <c r="A4123" t="s">
        <v>343</v>
      </c>
    </row>
    <row r="4124" spans="1:1" x14ac:dyDescent="0.25">
      <c r="A4124" t="s">
        <v>344</v>
      </c>
    </row>
    <row r="4125" spans="1:1" x14ac:dyDescent="0.25">
      <c r="A4125" t="s">
        <v>345</v>
      </c>
    </row>
    <row r="4126" spans="1:1" x14ac:dyDescent="0.25">
      <c r="A4126" t="s">
        <v>346</v>
      </c>
    </row>
    <row r="4127" spans="1:1" x14ac:dyDescent="0.25">
      <c r="A4127" t="s">
        <v>347</v>
      </c>
    </row>
    <row r="4128" spans="1:1" x14ac:dyDescent="0.25">
      <c r="A4128" t="s">
        <v>348</v>
      </c>
    </row>
    <row r="4129" spans="1:1" x14ac:dyDescent="0.25">
      <c r="A4129" t="s">
        <v>349</v>
      </c>
    </row>
    <row r="4130" spans="1:1" x14ac:dyDescent="0.25">
      <c r="A4130" t="s">
        <v>350</v>
      </c>
    </row>
    <row r="4131" spans="1:1" x14ac:dyDescent="0.25">
      <c r="A4131" t="s">
        <v>351</v>
      </c>
    </row>
    <row r="4132" spans="1:1" x14ac:dyDescent="0.25">
      <c r="A4132" t="s">
        <v>352</v>
      </c>
    </row>
    <row r="4133" spans="1:1" x14ac:dyDescent="0.25">
      <c r="A4133" t="s">
        <v>353</v>
      </c>
    </row>
    <row r="4134" spans="1:1" x14ac:dyDescent="0.25">
      <c r="A4134" t="s">
        <v>354</v>
      </c>
    </row>
    <row r="4135" spans="1:1" x14ac:dyDescent="0.25">
      <c r="A4135" t="s">
        <v>355</v>
      </c>
    </row>
    <row r="4136" spans="1:1" x14ac:dyDescent="0.25">
      <c r="A4136" t="s">
        <v>356</v>
      </c>
    </row>
    <row r="4137" spans="1:1" x14ac:dyDescent="0.25">
      <c r="A4137" t="s">
        <v>357</v>
      </c>
    </row>
    <row r="4138" spans="1:1" x14ac:dyDescent="0.25">
      <c r="A4138" t="s">
        <v>358</v>
      </c>
    </row>
    <row r="4139" spans="1:1" x14ac:dyDescent="0.25">
      <c r="A4139" t="s">
        <v>359</v>
      </c>
    </row>
    <row r="4140" spans="1:1" x14ac:dyDescent="0.25">
      <c r="A4140" t="s">
        <v>360</v>
      </c>
    </row>
    <row r="4141" spans="1:1" x14ac:dyDescent="0.25">
      <c r="A4141" t="s">
        <v>361</v>
      </c>
    </row>
    <row r="4142" spans="1:1" x14ac:dyDescent="0.25">
      <c r="A4142" t="s">
        <v>362</v>
      </c>
    </row>
    <row r="4143" spans="1:1" x14ac:dyDescent="0.25">
      <c r="A4143" t="s">
        <v>363</v>
      </c>
    </row>
    <row r="4144" spans="1:1" x14ac:dyDescent="0.25">
      <c r="A4144" t="s">
        <v>364</v>
      </c>
    </row>
    <row r="4145" spans="1:1" x14ac:dyDescent="0.25">
      <c r="A4145" t="s">
        <v>365</v>
      </c>
    </row>
    <row r="4146" spans="1:1" x14ac:dyDescent="0.25">
      <c r="A4146" t="s">
        <v>366</v>
      </c>
    </row>
    <row r="4147" spans="1:1" x14ac:dyDescent="0.25">
      <c r="A4147" t="s">
        <v>367</v>
      </c>
    </row>
    <row r="4148" spans="1:1" x14ac:dyDescent="0.25">
      <c r="A4148" t="s">
        <v>368</v>
      </c>
    </row>
    <row r="4149" spans="1:1" x14ac:dyDescent="0.25">
      <c r="A4149" t="s">
        <v>369</v>
      </c>
    </row>
    <row r="4150" spans="1:1" x14ac:dyDescent="0.25">
      <c r="A4150" t="s">
        <v>370</v>
      </c>
    </row>
    <row r="4151" spans="1:1" x14ac:dyDescent="0.25">
      <c r="A4151" t="s">
        <v>371</v>
      </c>
    </row>
    <row r="4152" spans="1:1" x14ac:dyDescent="0.25">
      <c r="A4152" t="s">
        <v>372</v>
      </c>
    </row>
    <row r="4153" spans="1:1" x14ac:dyDescent="0.25">
      <c r="A4153" t="s">
        <v>373</v>
      </c>
    </row>
    <row r="4154" spans="1:1" x14ac:dyDescent="0.25">
      <c r="A4154" t="s">
        <v>374</v>
      </c>
    </row>
    <row r="4155" spans="1:1" x14ac:dyDescent="0.25">
      <c r="A4155" t="s">
        <v>375</v>
      </c>
    </row>
    <row r="4156" spans="1:1" x14ac:dyDescent="0.25">
      <c r="A4156" t="s">
        <v>376</v>
      </c>
    </row>
    <row r="4157" spans="1:1" x14ac:dyDescent="0.25">
      <c r="A4157" t="s">
        <v>377</v>
      </c>
    </row>
    <row r="4158" spans="1:1" x14ac:dyDescent="0.25">
      <c r="A4158" t="s">
        <v>378</v>
      </c>
    </row>
    <row r="4159" spans="1:1" x14ac:dyDescent="0.25">
      <c r="A4159" t="s">
        <v>379</v>
      </c>
    </row>
    <row r="4160" spans="1:1" x14ac:dyDescent="0.25">
      <c r="A4160" t="s">
        <v>380</v>
      </c>
    </row>
    <row r="4161" spans="1:1" x14ac:dyDescent="0.25">
      <c r="A4161" t="s">
        <v>381</v>
      </c>
    </row>
    <row r="4162" spans="1:1" x14ac:dyDescent="0.25">
      <c r="A4162" t="s">
        <v>382</v>
      </c>
    </row>
    <row r="4163" spans="1:1" x14ac:dyDescent="0.25">
      <c r="A4163" t="s">
        <v>383</v>
      </c>
    </row>
    <row r="4164" spans="1:1" x14ac:dyDescent="0.25">
      <c r="A4164" t="s">
        <v>384</v>
      </c>
    </row>
    <row r="4165" spans="1:1" x14ac:dyDescent="0.25">
      <c r="A4165" t="s">
        <v>385</v>
      </c>
    </row>
    <row r="4166" spans="1:1" x14ac:dyDescent="0.25">
      <c r="A4166" t="s">
        <v>386</v>
      </c>
    </row>
    <row r="4167" spans="1:1" x14ac:dyDescent="0.25">
      <c r="A4167" t="s">
        <v>387</v>
      </c>
    </row>
    <row r="4168" spans="1:1" x14ac:dyDescent="0.25">
      <c r="A4168" t="s">
        <v>388</v>
      </c>
    </row>
    <row r="4169" spans="1:1" x14ac:dyDescent="0.25">
      <c r="A4169" t="s">
        <v>389</v>
      </c>
    </row>
    <row r="4170" spans="1:1" x14ac:dyDescent="0.25">
      <c r="A4170" t="s">
        <v>390</v>
      </c>
    </row>
    <row r="4171" spans="1:1" x14ac:dyDescent="0.25">
      <c r="A4171" t="s">
        <v>391</v>
      </c>
    </row>
    <row r="4172" spans="1:1" x14ac:dyDescent="0.25">
      <c r="A4172" t="s">
        <v>392</v>
      </c>
    </row>
    <row r="4173" spans="1:1" x14ac:dyDescent="0.25">
      <c r="A4173" t="s">
        <v>393</v>
      </c>
    </row>
    <row r="4174" spans="1:1" x14ac:dyDescent="0.25">
      <c r="A4174" t="s">
        <v>394</v>
      </c>
    </row>
    <row r="4175" spans="1:1" x14ac:dyDescent="0.25">
      <c r="A4175" t="s">
        <v>395</v>
      </c>
    </row>
    <row r="4176" spans="1:1" x14ac:dyDescent="0.25">
      <c r="A4176" t="s">
        <v>396</v>
      </c>
    </row>
    <row r="4177" spans="1:1" x14ac:dyDescent="0.25">
      <c r="A4177" t="s">
        <v>397</v>
      </c>
    </row>
    <row r="4178" spans="1:1" x14ac:dyDescent="0.25">
      <c r="A4178" t="s">
        <v>398</v>
      </c>
    </row>
    <row r="4179" spans="1:1" x14ac:dyDescent="0.25">
      <c r="A4179" t="s">
        <v>399</v>
      </c>
    </row>
    <row r="4180" spans="1:1" x14ac:dyDescent="0.25">
      <c r="A4180" t="s">
        <v>400</v>
      </c>
    </row>
    <row r="4181" spans="1:1" x14ac:dyDescent="0.25">
      <c r="A4181" t="s">
        <v>401</v>
      </c>
    </row>
    <row r="4182" spans="1:1" x14ac:dyDescent="0.25">
      <c r="A4182" t="s">
        <v>402</v>
      </c>
    </row>
    <row r="4183" spans="1:1" x14ac:dyDescent="0.25">
      <c r="A4183" t="s">
        <v>403</v>
      </c>
    </row>
    <row r="4184" spans="1:1" x14ac:dyDescent="0.25">
      <c r="A4184" t="s">
        <v>404</v>
      </c>
    </row>
    <row r="4185" spans="1:1" x14ac:dyDescent="0.25">
      <c r="A4185" t="s">
        <v>405</v>
      </c>
    </row>
    <row r="4186" spans="1:1" x14ac:dyDescent="0.25">
      <c r="A4186" t="s">
        <v>406</v>
      </c>
    </row>
    <row r="4187" spans="1:1" x14ac:dyDescent="0.25">
      <c r="A4187" t="s">
        <v>407</v>
      </c>
    </row>
    <row r="4188" spans="1:1" x14ac:dyDescent="0.25">
      <c r="A4188" t="s">
        <v>408</v>
      </c>
    </row>
    <row r="4189" spans="1:1" x14ac:dyDescent="0.25">
      <c r="A4189" t="s">
        <v>409</v>
      </c>
    </row>
    <row r="4190" spans="1:1" x14ac:dyDescent="0.25">
      <c r="A4190" t="s">
        <v>410</v>
      </c>
    </row>
    <row r="4191" spans="1:1" x14ac:dyDescent="0.25">
      <c r="A4191" t="s">
        <v>411</v>
      </c>
    </row>
    <row r="4192" spans="1:1" x14ac:dyDescent="0.25">
      <c r="A4192" t="s">
        <v>422</v>
      </c>
    </row>
    <row r="4193" spans="1:1" x14ac:dyDescent="0.25">
      <c r="A4193" t="s">
        <v>37</v>
      </c>
    </row>
    <row r="4194" spans="1:1" x14ac:dyDescent="0.25">
      <c r="A4194" t="s">
        <v>38</v>
      </c>
    </row>
    <row r="4195" spans="1:1" x14ac:dyDescent="0.25">
      <c r="A4195" t="s">
        <v>39</v>
      </c>
    </row>
    <row r="4196" spans="1:1" x14ac:dyDescent="0.25">
      <c r="A4196" t="s">
        <v>31</v>
      </c>
    </row>
    <row r="4197" spans="1:1" x14ac:dyDescent="0.25">
      <c r="A4197" t="s">
        <v>40</v>
      </c>
    </row>
    <row r="4198" spans="1:1" x14ac:dyDescent="0.25">
      <c r="A4198" t="s">
        <v>23</v>
      </c>
    </row>
    <row r="4199" spans="1:1" x14ac:dyDescent="0.25">
      <c r="A4199" t="s">
        <v>41</v>
      </c>
    </row>
    <row r="4200" spans="1:1" x14ac:dyDescent="0.25">
      <c r="A4200" t="s">
        <v>42</v>
      </c>
    </row>
    <row r="4201" spans="1:1" x14ac:dyDescent="0.25">
      <c r="A4201" t="s">
        <v>43</v>
      </c>
    </row>
    <row r="4202" spans="1:1" x14ac:dyDescent="0.25">
      <c r="A4202" t="s">
        <v>44</v>
      </c>
    </row>
    <row r="4203" spans="1:1" x14ac:dyDescent="0.25">
      <c r="A4203" t="s">
        <v>45</v>
      </c>
    </row>
    <row r="4204" spans="1:1" x14ac:dyDescent="0.25">
      <c r="A4204" t="s">
        <v>46</v>
      </c>
    </row>
    <row r="4205" spans="1:1" x14ac:dyDescent="0.25">
      <c r="A4205" t="s">
        <v>47</v>
      </c>
    </row>
    <row r="4206" spans="1:1" x14ac:dyDescent="0.25">
      <c r="A4206" t="s">
        <v>48</v>
      </c>
    </row>
    <row r="4207" spans="1:1" x14ac:dyDescent="0.25">
      <c r="A4207" t="s">
        <v>49</v>
      </c>
    </row>
    <row r="4208" spans="1:1" x14ac:dyDescent="0.25">
      <c r="A4208" t="s">
        <v>50</v>
      </c>
    </row>
    <row r="4209" spans="1:1" x14ac:dyDescent="0.25">
      <c r="A4209" t="s">
        <v>51</v>
      </c>
    </row>
    <row r="4210" spans="1:1" x14ac:dyDescent="0.25">
      <c r="A4210" t="s">
        <v>52</v>
      </c>
    </row>
    <row r="4211" spans="1:1" x14ac:dyDescent="0.25">
      <c r="A4211" t="s">
        <v>53</v>
      </c>
    </row>
    <row r="4212" spans="1:1" x14ac:dyDescent="0.25">
      <c r="A4212" t="s">
        <v>54</v>
      </c>
    </row>
    <row r="4213" spans="1:1" x14ac:dyDescent="0.25">
      <c r="A4213" t="s">
        <v>55</v>
      </c>
    </row>
    <row r="4214" spans="1:1" x14ac:dyDescent="0.25">
      <c r="A4214" t="s">
        <v>56</v>
      </c>
    </row>
    <row r="4215" spans="1:1" x14ac:dyDescent="0.25">
      <c r="A4215" t="s">
        <v>25</v>
      </c>
    </row>
    <row r="4216" spans="1:1" x14ac:dyDescent="0.25">
      <c r="A4216" t="s">
        <v>57</v>
      </c>
    </row>
    <row r="4217" spans="1:1" x14ac:dyDescent="0.25">
      <c r="A4217" t="s">
        <v>27</v>
      </c>
    </row>
    <row r="4218" spans="1:1" x14ac:dyDescent="0.25">
      <c r="A4218" t="s">
        <v>58</v>
      </c>
    </row>
    <row r="4219" spans="1:1" x14ac:dyDescent="0.25">
      <c r="A4219" t="s">
        <v>59</v>
      </c>
    </row>
    <row r="4220" spans="1:1" x14ac:dyDescent="0.25">
      <c r="A4220" t="s">
        <v>60</v>
      </c>
    </row>
    <row r="4221" spans="1:1" x14ac:dyDescent="0.25">
      <c r="A4221" t="s">
        <v>61</v>
      </c>
    </row>
    <row r="4222" spans="1:1" x14ac:dyDescent="0.25">
      <c r="A4222" t="s">
        <v>62</v>
      </c>
    </row>
    <row r="4223" spans="1:1" x14ac:dyDescent="0.25">
      <c r="A4223" t="s">
        <v>63</v>
      </c>
    </row>
    <row r="4224" spans="1:1" x14ac:dyDescent="0.25">
      <c r="A4224" t="s">
        <v>64</v>
      </c>
    </row>
    <row r="4225" spans="1:1" x14ac:dyDescent="0.25">
      <c r="A4225" t="s">
        <v>65</v>
      </c>
    </row>
    <row r="4226" spans="1:1" x14ac:dyDescent="0.25">
      <c r="A4226" t="s">
        <v>66</v>
      </c>
    </row>
    <row r="4227" spans="1:1" x14ac:dyDescent="0.25">
      <c r="A4227" t="s">
        <v>67</v>
      </c>
    </row>
    <row r="4228" spans="1:1" x14ac:dyDescent="0.25">
      <c r="A4228" t="s">
        <v>68</v>
      </c>
    </row>
    <row r="4229" spans="1:1" x14ac:dyDescent="0.25">
      <c r="A4229" t="s">
        <v>69</v>
      </c>
    </row>
    <row r="4230" spans="1:1" x14ac:dyDescent="0.25">
      <c r="A4230" t="s">
        <v>70</v>
      </c>
    </row>
    <row r="4231" spans="1:1" x14ac:dyDescent="0.25">
      <c r="A4231" t="s">
        <v>71</v>
      </c>
    </row>
    <row r="4232" spans="1:1" x14ac:dyDescent="0.25">
      <c r="A4232" t="s">
        <v>72</v>
      </c>
    </row>
    <row r="4233" spans="1:1" x14ac:dyDescent="0.25">
      <c r="A4233" t="s">
        <v>73</v>
      </c>
    </row>
    <row r="4234" spans="1:1" x14ac:dyDescent="0.25">
      <c r="A4234" t="s">
        <v>74</v>
      </c>
    </row>
    <row r="4235" spans="1:1" x14ac:dyDescent="0.25">
      <c r="A4235" t="s">
        <v>75</v>
      </c>
    </row>
    <row r="4236" spans="1:1" x14ac:dyDescent="0.25">
      <c r="A4236" t="s">
        <v>76</v>
      </c>
    </row>
    <row r="4237" spans="1:1" x14ac:dyDescent="0.25">
      <c r="A4237" t="s">
        <v>77</v>
      </c>
    </row>
    <row r="4238" spans="1:1" x14ac:dyDescent="0.25">
      <c r="A4238" t="s">
        <v>78</v>
      </c>
    </row>
    <row r="4239" spans="1:1" x14ac:dyDescent="0.25">
      <c r="A4239" t="s">
        <v>79</v>
      </c>
    </row>
    <row r="4240" spans="1:1" x14ac:dyDescent="0.25">
      <c r="A4240" t="s">
        <v>80</v>
      </c>
    </row>
    <row r="4241" spans="1:1" x14ac:dyDescent="0.25">
      <c r="A4241" t="s">
        <v>81</v>
      </c>
    </row>
    <row r="4242" spans="1:1" x14ac:dyDescent="0.25">
      <c r="A4242" t="s">
        <v>82</v>
      </c>
    </row>
    <row r="4243" spans="1:1" x14ac:dyDescent="0.25">
      <c r="A4243" t="s">
        <v>83</v>
      </c>
    </row>
    <row r="4244" spans="1:1" x14ac:dyDescent="0.25">
      <c r="A4244" t="s">
        <v>84</v>
      </c>
    </row>
    <row r="4245" spans="1:1" x14ac:dyDescent="0.25">
      <c r="A4245" t="s">
        <v>85</v>
      </c>
    </row>
    <row r="4246" spans="1:1" x14ac:dyDescent="0.25">
      <c r="A4246" t="s">
        <v>86</v>
      </c>
    </row>
    <row r="4247" spans="1:1" x14ac:dyDescent="0.25">
      <c r="A4247" t="s">
        <v>87</v>
      </c>
    </row>
    <row r="4248" spans="1:1" x14ac:dyDescent="0.25">
      <c r="A4248" t="s">
        <v>88</v>
      </c>
    </row>
    <row r="4249" spans="1:1" x14ac:dyDescent="0.25">
      <c r="A4249" t="s">
        <v>89</v>
      </c>
    </row>
    <row r="4250" spans="1:1" x14ac:dyDescent="0.25">
      <c r="A4250" t="s">
        <v>90</v>
      </c>
    </row>
    <row r="4251" spans="1:1" x14ac:dyDescent="0.25">
      <c r="A4251" t="s">
        <v>91</v>
      </c>
    </row>
    <row r="4252" spans="1:1" x14ac:dyDescent="0.25">
      <c r="A4252" t="s">
        <v>92</v>
      </c>
    </row>
    <row r="4253" spans="1:1" x14ac:dyDescent="0.25">
      <c r="A4253" t="s">
        <v>93</v>
      </c>
    </row>
    <row r="4254" spans="1:1" x14ac:dyDescent="0.25">
      <c r="A4254" t="s">
        <v>94</v>
      </c>
    </row>
    <row r="4255" spans="1:1" x14ac:dyDescent="0.25">
      <c r="A4255" t="s">
        <v>95</v>
      </c>
    </row>
    <row r="4256" spans="1:1" x14ac:dyDescent="0.25">
      <c r="A4256" t="s">
        <v>96</v>
      </c>
    </row>
    <row r="4257" spans="1:1" x14ac:dyDescent="0.25">
      <c r="A4257" t="s">
        <v>97</v>
      </c>
    </row>
    <row r="4258" spans="1:1" x14ac:dyDescent="0.25">
      <c r="A4258" t="s">
        <v>98</v>
      </c>
    </row>
    <row r="4259" spans="1:1" x14ac:dyDescent="0.25">
      <c r="A4259" t="s">
        <v>99</v>
      </c>
    </row>
    <row r="4260" spans="1:1" x14ac:dyDescent="0.25">
      <c r="A4260" t="s">
        <v>100</v>
      </c>
    </row>
    <row r="4261" spans="1:1" x14ac:dyDescent="0.25">
      <c r="A4261" t="s">
        <v>101</v>
      </c>
    </row>
    <row r="4262" spans="1:1" x14ac:dyDescent="0.25">
      <c r="A4262" t="s">
        <v>102</v>
      </c>
    </row>
    <row r="4263" spans="1:1" x14ac:dyDescent="0.25">
      <c r="A4263" t="s">
        <v>103</v>
      </c>
    </row>
    <row r="4264" spans="1:1" x14ac:dyDescent="0.25">
      <c r="A4264" t="s">
        <v>104</v>
      </c>
    </row>
    <row r="4265" spans="1:1" x14ac:dyDescent="0.25">
      <c r="A4265" t="s">
        <v>105</v>
      </c>
    </row>
    <row r="4266" spans="1:1" x14ac:dyDescent="0.25">
      <c r="A4266" t="s">
        <v>106</v>
      </c>
    </row>
    <row r="4267" spans="1:1" x14ac:dyDescent="0.25">
      <c r="A4267" t="s">
        <v>107</v>
      </c>
    </row>
    <row r="4268" spans="1:1" x14ac:dyDescent="0.25">
      <c r="A4268" t="s">
        <v>108</v>
      </c>
    </row>
    <row r="4269" spans="1:1" x14ac:dyDescent="0.25">
      <c r="A4269" t="s">
        <v>109</v>
      </c>
    </row>
    <row r="4270" spans="1:1" x14ac:dyDescent="0.25">
      <c r="A4270" t="s">
        <v>110</v>
      </c>
    </row>
    <row r="4271" spans="1:1" x14ac:dyDescent="0.25">
      <c r="A4271" t="s">
        <v>111</v>
      </c>
    </row>
    <row r="4272" spans="1:1" x14ac:dyDescent="0.25">
      <c r="A4272" t="s">
        <v>112</v>
      </c>
    </row>
    <row r="4273" spans="1:1" x14ac:dyDescent="0.25">
      <c r="A4273" t="s">
        <v>113</v>
      </c>
    </row>
    <row r="4274" spans="1:1" x14ac:dyDescent="0.25">
      <c r="A4274" t="s">
        <v>114</v>
      </c>
    </row>
    <row r="4275" spans="1:1" x14ac:dyDescent="0.25">
      <c r="A4275" t="s">
        <v>115</v>
      </c>
    </row>
    <row r="4276" spans="1:1" x14ac:dyDescent="0.25">
      <c r="A4276" t="s">
        <v>116</v>
      </c>
    </row>
    <row r="4277" spans="1:1" x14ac:dyDescent="0.25">
      <c r="A4277" t="s">
        <v>117</v>
      </c>
    </row>
    <row r="4278" spans="1:1" x14ac:dyDescent="0.25">
      <c r="A4278" t="s">
        <v>118</v>
      </c>
    </row>
    <row r="4279" spans="1:1" x14ac:dyDescent="0.25">
      <c r="A4279" t="s">
        <v>119</v>
      </c>
    </row>
    <row r="4280" spans="1:1" x14ac:dyDescent="0.25">
      <c r="A4280" t="s">
        <v>120</v>
      </c>
    </row>
    <row r="4281" spans="1:1" x14ac:dyDescent="0.25">
      <c r="A4281" t="s">
        <v>121</v>
      </c>
    </row>
    <row r="4282" spans="1:1" x14ac:dyDescent="0.25">
      <c r="A4282" t="s">
        <v>122</v>
      </c>
    </row>
    <row r="4283" spans="1:1" x14ac:dyDescent="0.25">
      <c r="A4283" t="s">
        <v>123</v>
      </c>
    </row>
    <row r="4284" spans="1:1" x14ac:dyDescent="0.25">
      <c r="A4284" t="s">
        <v>124</v>
      </c>
    </row>
    <row r="4285" spans="1:1" x14ac:dyDescent="0.25">
      <c r="A4285" t="s">
        <v>125</v>
      </c>
    </row>
    <row r="4286" spans="1:1" x14ac:dyDescent="0.25">
      <c r="A4286" t="s">
        <v>126</v>
      </c>
    </row>
    <row r="4287" spans="1:1" x14ac:dyDescent="0.25">
      <c r="A4287" t="s">
        <v>127</v>
      </c>
    </row>
    <row r="4288" spans="1:1" x14ac:dyDescent="0.25">
      <c r="A4288" t="s">
        <v>128</v>
      </c>
    </row>
    <row r="4289" spans="1:1" x14ac:dyDescent="0.25">
      <c r="A4289" t="s">
        <v>129</v>
      </c>
    </row>
    <row r="4290" spans="1:1" x14ac:dyDescent="0.25">
      <c r="A4290" t="s">
        <v>130</v>
      </c>
    </row>
    <row r="4291" spans="1:1" x14ac:dyDescent="0.25">
      <c r="A4291" t="s">
        <v>131</v>
      </c>
    </row>
    <row r="4292" spans="1:1" x14ac:dyDescent="0.25">
      <c r="A4292" t="s">
        <v>132</v>
      </c>
    </row>
    <row r="4293" spans="1:1" x14ac:dyDescent="0.25">
      <c r="A4293" t="s">
        <v>133</v>
      </c>
    </row>
    <row r="4294" spans="1:1" x14ac:dyDescent="0.25">
      <c r="A4294" t="s">
        <v>134</v>
      </c>
    </row>
    <row r="4295" spans="1:1" x14ac:dyDescent="0.25">
      <c r="A4295" t="s">
        <v>135</v>
      </c>
    </row>
    <row r="4296" spans="1:1" x14ac:dyDescent="0.25">
      <c r="A4296" t="s">
        <v>136</v>
      </c>
    </row>
    <row r="4297" spans="1:1" x14ac:dyDescent="0.25">
      <c r="A4297" t="s">
        <v>137</v>
      </c>
    </row>
    <row r="4298" spans="1:1" x14ac:dyDescent="0.25">
      <c r="A4298" t="s">
        <v>138</v>
      </c>
    </row>
    <row r="4299" spans="1:1" x14ac:dyDescent="0.25">
      <c r="A4299" t="s">
        <v>139</v>
      </c>
    </row>
    <row r="4300" spans="1:1" x14ac:dyDescent="0.25">
      <c r="A4300" t="s">
        <v>140</v>
      </c>
    </row>
    <row r="4301" spans="1:1" x14ac:dyDescent="0.25">
      <c r="A4301" t="s">
        <v>141</v>
      </c>
    </row>
    <row r="4302" spans="1:1" x14ac:dyDescent="0.25">
      <c r="A4302" t="s">
        <v>142</v>
      </c>
    </row>
    <row r="4303" spans="1:1" x14ac:dyDescent="0.25">
      <c r="A4303" t="s">
        <v>143</v>
      </c>
    </row>
    <row r="4304" spans="1:1" x14ac:dyDescent="0.25">
      <c r="A4304" t="s">
        <v>144</v>
      </c>
    </row>
    <row r="4305" spans="1:1" x14ac:dyDescent="0.25">
      <c r="A4305" t="s">
        <v>145</v>
      </c>
    </row>
    <row r="4306" spans="1:1" x14ac:dyDescent="0.25">
      <c r="A4306" t="s">
        <v>146</v>
      </c>
    </row>
    <row r="4307" spans="1:1" x14ac:dyDescent="0.25">
      <c r="A4307" t="s">
        <v>147</v>
      </c>
    </row>
    <row r="4308" spans="1:1" x14ac:dyDescent="0.25">
      <c r="A4308" t="s">
        <v>148</v>
      </c>
    </row>
    <row r="4309" spans="1:1" x14ac:dyDescent="0.25">
      <c r="A4309" t="s">
        <v>149</v>
      </c>
    </row>
    <row r="4310" spans="1:1" x14ac:dyDescent="0.25">
      <c r="A4310" t="s">
        <v>150</v>
      </c>
    </row>
    <row r="4311" spans="1:1" x14ac:dyDescent="0.25">
      <c r="A4311" t="s">
        <v>151</v>
      </c>
    </row>
    <row r="4312" spans="1:1" x14ac:dyDescent="0.25">
      <c r="A4312" t="s">
        <v>152</v>
      </c>
    </row>
    <row r="4313" spans="1:1" x14ac:dyDescent="0.25">
      <c r="A4313" t="s">
        <v>153</v>
      </c>
    </row>
    <row r="4314" spans="1:1" x14ac:dyDescent="0.25">
      <c r="A4314" t="s">
        <v>154</v>
      </c>
    </row>
    <row r="4315" spans="1:1" x14ac:dyDescent="0.25">
      <c r="A4315" t="s">
        <v>155</v>
      </c>
    </row>
    <row r="4316" spans="1:1" x14ac:dyDescent="0.25">
      <c r="A4316" t="s">
        <v>156</v>
      </c>
    </row>
    <row r="4317" spans="1:1" x14ac:dyDescent="0.25">
      <c r="A4317" t="s">
        <v>157</v>
      </c>
    </row>
    <row r="4318" spans="1:1" x14ac:dyDescent="0.25">
      <c r="A4318" t="s">
        <v>158</v>
      </c>
    </row>
    <row r="4319" spans="1:1" x14ac:dyDescent="0.25">
      <c r="A4319" t="s">
        <v>159</v>
      </c>
    </row>
    <row r="4320" spans="1:1" x14ac:dyDescent="0.25">
      <c r="A4320" t="s">
        <v>160</v>
      </c>
    </row>
    <row r="4321" spans="1:1" x14ac:dyDescent="0.25">
      <c r="A4321" t="s">
        <v>161</v>
      </c>
    </row>
    <row r="4322" spans="1:1" x14ac:dyDescent="0.25">
      <c r="A4322" t="s">
        <v>162</v>
      </c>
    </row>
    <row r="4323" spans="1:1" x14ac:dyDescent="0.25">
      <c r="A4323" t="s">
        <v>163</v>
      </c>
    </row>
    <row r="4324" spans="1:1" x14ac:dyDescent="0.25">
      <c r="A4324" t="s">
        <v>164</v>
      </c>
    </row>
    <row r="4325" spans="1:1" x14ac:dyDescent="0.25">
      <c r="A4325" t="s">
        <v>165</v>
      </c>
    </row>
    <row r="4326" spans="1:1" x14ac:dyDescent="0.25">
      <c r="A4326" t="s">
        <v>166</v>
      </c>
    </row>
    <row r="4327" spans="1:1" x14ac:dyDescent="0.25">
      <c r="A4327" t="s">
        <v>167</v>
      </c>
    </row>
    <row r="4328" spans="1:1" x14ac:dyDescent="0.25">
      <c r="A4328" t="s">
        <v>168</v>
      </c>
    </row>
    <row r="4329" spans="1:1" x14ac:dyDescent="0.25">
      <c r="A4329" t="s">
        <v>169</v>
      </c>
    </row>
    <row r="4330" spans="1:1" x14ac:dyDescent="0.25">
      <c r="A4330" t="s">
        <v>170</v>
      </c>
    </row>
    <row r="4331" spans="1:1" x14ac:dyDescent="0.25">
      <c r="A4331" t="s">
        <v>171</v>
      </c>
    </row>
    <row r="4332" spans="1:1" x14ac:dyDescent="0.25">
      <c r="A4332" t="s">
        <v>172</v>
      </c>
    </row>
    <row r="4333" spans="1:1" x14ac:dyDescent="0.25">
      <c r="A4333" t="s">
        <v>173</v>
      </c>
    </row>
    <row r="4334" spans="1:1" x14ac:dyDescent="0.25">
      <c r="A4334" t="s">
        <v>174</v>
      </c>
    </row>
    <row r="4335" spans="1:1" x14ac:dyDescent="0.25">
      <c r="A4335" t="s">
        <v>175</v>
      </c>
    </row>
    <row r="4336" spans="1:1" x14ac:dyDescent="0.25">
      <c r="A4336" t="s">
        <v>176</v>
      </c>
    </row>
    <row r="4337" spans="1:1" x14ac:dyDescent="0.25">
      <c r="A4337" t="s">
        <v>177</v>
      </c>
    </row>
    <row r="4338" spans="1:1" x14ac:dyDescent="0.25">
      <c r="A4338" t="s">
        <v>178</v>
      </c>
    </row>
    <row r="4339" spans="1:1" x14ac:dyDescent="0.25">
      <c r="A4339" t="s">
        <v>179</v>
      </c>
    </row>
    <row r="4340" spans="1:1" x14ac:dyDescent="0.25">
      <c r="A4340" t="s">
        <v>180</v>
      </c>
    </row>
    <row r="4341" spans="1:1" x14ac:dyDescent="0.25">
      <c r="A4341" t="s">
        <v>181</v>
      </c>
    </row>
    <row r="4342" spans="1:1" x14ac:dyDescent="0.25">
      <c r="A4342" t="s">
        <v>182</v>
      </c>
    </row>
    <row r="4343" spans="1:1" x14ac:dyDescent="0.25">
      <c r="A4343" t="s">
        <v>183</v>
      </c>
    </row>
    <row r="4344" spans="1:1" x14ac:dyDescent="0.25">
      <c r="A4344" t="s">
        <v>184</v>
      </c>
    </row>
    <row r="4345" spans="1:1" x14ac:dyDescent="0.25">
      <c r="A4345" t="s">
        <v>185</v>
      </c>
    </row>
    <row r="4346" spans="1:1" x14ac:dyDescent="0.25">
      <c r="A4346" t="s">
        <v>186</v>
      </c>
    </row>
    <row r="4347" spans="1:1" x14ac:dyDescent="0.25">
      <c r="A4347" t="s">
        <v>187</v>
      </c>
    </row>
    <row r="4348" spans="1:1" x14ac:dyDescent="0.25">
      <c r="A4348" t="s">
        <v>188</v>
      </c>
    </row>
    <row r="4349" spans="1:1" x14ac:dyDescent="0.25">
      <c r="A4349" t="s">
        <v>189</v>
      </c>
    </row>
    <row r="4350" spans="1:1" x14ac:dyDescent="0.25">
      <c r="A4350" t="s">
        <v>190</v>
      </c>
    </row>
    <row r="4351" spans="1:1" x14ac:dyDescent="0.25">
      <c r="A4351" t="s">
        <v>191</v>
      </c>
    </row>
    <row r="4352" spans="1:1" x14ac:dyDescent="0.25">
      <c r="A4352" t="s">
        <v>192</v>
      </c>
    </row>
    <row r="4353" spans="1:1" x14ac:dyDescent="0.25">
      <c r="A4353" t="s">
        <v>193</v>
      </c>
    </row>
    <row r="4354" spans="1:1" x14ac:dyDescent="0.25">
      <c r="A4354" t="s">
        <v>194</v>
      </c>
    </row>
    <row r="4355" spans="1:1" x14ac:dyDescent="0.25">
      <c r="A4355" t="s">
        <v>195</v>
      </c>
    </row>
    <row r="4356" spans="1:1" x14ac:dyDescent="0.25">
      <c r="A4356" t="s">
        <v>196</v>
      </c>
    </row>
    <row r="4357" spans="1:1" x14ac:dyDescent="0.25">
      <c r="A4357" t="s">
        <v>197</v>
      </c>
    </row>
    <row r="4358" spans="1:1" x14ac:dyDescent="0.25">
      <c r="A4358" t="s">
        <v>198</v>
      </c>
    </row>
    <row r="4359" spans="1:1" x14ac:dyDescent="0.25">
      <c r="A4359" t="s">
        <v>199</v>
      </c>
    </row>
    <row r="4360" spans="1:1" x14ac:dyDescent="0.25">
      <c r="A4360" t="s">
        <v>200</v>
      </c>
    </row>
    <row r="4361" spans="1:1" x14ac:dyDescent="0.25">
      <c r="A4361" t="s">
        <v>201</v>
      </c>
    </row>
    <row r="4362" spans="1:1" x14ac:dyDescent="0.25">
      <c r="A4362" t="s">
        <v>202</v>
      </c>
    </row>
    <row r="4363" spans="1:1" x14ac:dyDescent="0.25">
      <c r="A4363" t="s">
        <v>203</v>
      </c>
    </row>
    <row r="4364" spans="1:1" x14ac:dyDescent="0.25">
      <c r="A4364" t="s">
        <v>204</v>
      </c>
    </row>
    <row r="4365" spans="1:1" x14ac:dyDescent="0.25">
      <c r="A4365" t="s">
        <v>205</v>
      </c>
    </row>
    <row r="4366" spans="1:1" x14ac:dyDescent="0.25">
      <c r="A4366" t="s">
        <v>206</v>
      </c>
    </row>
    <row r="4367" spans="1:1" x14ac:dyDescent="0.25">
      <c r="A4367" t="s">
        <v>207</v>
      </c>
    </row>
    <row r="4368" spans="1:1" x14ac:dyDescent="0.25">
      <c r="A4368" t="s">
        <v>208</v>
      </c>
    </row>
    <row r="4369" spans="1:1" x14ac:dyDescent="0.25">
      <c r="A4369" t="s">
        <v>209</v>
      </c>
    </row>
    <row r="4370" spans="1:1" x14ac:dyDescent="0.25">
      <c r="A4370" t="s">
        <v>210</v>
      </c>
    </row>
    <row r="4371" spans="1:1" x14ac:dyDescent="0.25">
      <c r="A4371" t="s">
        <v>211</v>
      </c>
    </row>
    <row r="4372" spans="1:1" x14ac:dyDescent="0.25">
      <c r="A4372" t="s">
        <v>212</v>
      </c>
    </row>
    <row r="4373" spans="1:1" x14ac:dyDescent="0.25">
      <c r="A4373" t="s">
        <v>213</v>
      </c>
    </row>
    <row r="4374" spans="1:1" x14ac:dyDescent="0.25">
      <c r="A4374" t="s">
        <v>214</v>
      </c>
    </row>
    <row r="4375" spans="1:1" x14ac:dyDescent="0.25">
      <c r="A4375" t="s">
        <v>215</v>
      </c>
    </row>
    <row r="4376" spans="1:1" x14ac:dyDescent="0.25">
      <c r="A4376" t="s">
        <v>216</v>
      </c>
    </row>
    <row r="4377" spans="1:1" x14ac:dyDescent="0.25">
      <c r="A4377" t="s">
        <v>217</v>
      </c>
    </row>
    <row r="4378" spans="1:1" x14ac:dyDescent="0.25">
      <c r="A4378" t="s">
        <v>218</v>
      </c>
    </row>
    <row r="4379" spans="1:1" x14ac:dyDescent="0.25">
      <c r="A4379" t="s">
        <v>219</v>
      </c>
    </row>
    <row r="4380" spans="1:1" x14ac:dyDescent="0.25">
      <c r="A4380" t="s">
        <v>220</v>
      </c>
    </row>
    <row r="4381" spans="1:1" x14ac:dyDescent="0.25">
      <c r="A4381" t="s">
        <v>221</v>
      </c>
    </row>
    <row r="4382" spans="1:1" x14ac:dyDescent="0.25">
      <c r="A4382" t="s">
        <v>222</v>
      </c>
    </row>
    <row r="4383" spans="1:1" x14ac:dyDescent="0.25">
      <c r="A4383" t="s">
        <v>223</v>
      </c>
    </row>
    <row r="4384" spans="1:1" x14ac:dyDescent="0.25">
      <c r="A4384" t="s">
        <v>224</v>
      </c>
    </row>
    <row r="4385" spans="1:1" x14ac:dyDescent="0.25">
      <c r="A4385" t="s">
        <v>225</v>
      </c>
    </row>
    <row r="4386" spans="1:1" x14ac:dyDescent="0.25">
      <c r="A4386" t="s">
        <v>226</v>
      </c>
    </row>
    <row r="4387" spans="1:1" x14ac:dyDescent="0.25">
      <c r="A4387" t="s">
        <v>227</v>
      </c>
    </row>
    <row r="4388" spans="1:1" x14ac:dyDescent="0.25">
      <c r="A4388" t="s">
        <v>228</v>
      </c>
    </row>
    <row r="4389" spans="1:1" x14ac:dyDescent="0.25">
      <c r="A4389" t="s">
        <v>229</v>
      </c>
    </row>
    <row r="4390" spans="1:1" x14ac:dyDescent="0.25">
      <c r="A4390" t="s">
        <v>230</v>
      </c>
    </row>
    <row r="4391" spans="1:1" x14ac:dyDescent="0.25">
      <c r="A4391" t="s">
        <v>231</v>
      </c>
    </row>
    <row r="4392" spans="1:1" x14ac:dyDescent="0.25">
      <c r="A4392" t="s">
        <v>232</v>
      </c>
    </row>
    <row r="4393" spans="1:1" x14ac:dyDescent="0.25">
      <c r="A4393" t="s">
        <v>233</v>
      </c>
    </row>
    <row r="4394" spans="1:1" x14ac:dyDescent="0.25">
      <c r="A4394" t="s">
        <v>234</v>
      </c>
    </row>
    <row r="4395" spans="1:1" x14ac:dyDescent="0.25">
      <c r="A4395" t="s">
        <v>235</v>
      </c>
    </row>
    <row r="4396" spans="1:1" x14ac:dyDescent="0.25">
      <c r="A4396" t="s">
        <v>236</v>
      </c>
    </row>
    <row r="4397" spans="1:1" x14ac:dyDescent="0.25">
      <c r="A4397" t="s">
        <v>237</v>
      </c>
    </row>
    <row r="4398" spans="1:1" x14ac:dyDescent="0.25">
      <c r="A4398" t="s">
        <v>238</v>
      </c>
    </row>
    <row r="4399" spans="1:1" x14ac:dyDescent="0.25">
      <c r="A4399" t="s">
        <v>239</v>
      </c>
    </row>
    <row r="4400" spans="1:1" x14ac:dyDescent="0.25">
      <c r="A4400" t="s">
        <v>240</v>
      </c>
    </row>
    <row r="4401" spans="1:1" x14ac:dyDescent="0.25">
      <c r="A4401" t="s">
        <v>241</v>
      </c>
    </row>
    <row r="4402" spans="1:1" x14ac:dyDescent="0.25">
      <c r="A4402" t="s">
        <v>242</v>
      </c>
    </row>
    <row r="4403" spans="1:1" x14ac:dyDescent="0.25">
      <c r="A4403" t="s">
        <v>243</v>
      </c>
    </row>
    <row r="4404" spans="1:1" x14ac:dyDescent="0.25">
      <c r="A4404" t="s">
        <v>244</v>
      </c>
    </row>
    <row r="4405" spans="1:1" x14ac:dyDescent="0.25">
      <c r="A4405" t="s">
        <v>245</v>
      </c>
    </row>
    <row r="4406" spans="1:1" x14ac:dyDescent="0.25">
      <c r="A4406" t="s">
        <v>246</v>
      </c>
    </row>
    <row r="4407" spans="1:1" x14ac:dyDescent="0.25">
      <c r="A4407" t="s">
        <v>247</v>
      </c>
    </row>
    <row r="4408" spans="1:1" x14ac:dyDescent="0.25">
      <c r="A4408" t="s">
        <v>248</v>
      </c>
    </row>
    <row r="4409" spans="1:1" x14ac:dyDescent="0.25">
      <c r="A4409" t="s">
        <v>249</v>
      </c>
    </row>
    <row r="4410" spans="1:1" x14ac:dyDescent="0.25">
      <c r="A4410" t="s">
        <v>250</v>
      </c>
    </row>
    <row r="4411" spans="1:1" x14ac:dyDescent="0.25">
      <c r="A4411" t="s">
        <v>251</v>
      </c>
    </row>
    <row r="4412" spans="1:1" x14ac:dyDescent="0.25">
      <c r="A4412" t="s">
        <v>252</v>
      </c>
    </row>
    <row r="4413" spans="1:1" x14ac:dyDescent="0.25">
      <c r="A4413" t="s">
        <v>32</v>
      </c>
    </row>
    <row r="4414" spans="1:1" x14ac:dyDescent="0.25">
      <c r="A4414" t="s">
        <v>253</v>
      </c>
    </row>
    <row r="4415" spans="1:1" x14ac:dyDescent="0.25">
      <c r="A4415" t="s">
        <v>254</v>
      </c>
    </row>
    <row r="4416" spans="1:1" x14ac:dyDescent="0.25">
      <c r="A4416" t="s">
        <v>255</v>
      </c>
    </row>
    <row r="4417" spans="1:1" x14ac:dyDescent="0.25">
      <c r="A4417" t="s">
        <v>256</v>
      </c>
    </row>
    <row r="4418" spans="1:1" x14ac:dyDescent="0.25">
      <c r="A4418" t="s">
        <v>257</v>
      </c>
    </row>
    <row r="4419" spans="1:1" x14ac:dyDescent="0.25">
      <c r="A4419" t="s">
        <v>258</v>
      </c>
    </row>
    <row r="4420" spans="1:1" x14ac:dyDescent="0.25">
      <c r="A4420" t="s">
        <v>259</v>
      </c>
    </row>
    <row r="4421" spans="1:1" x14ac:dyDescent="0.25">
      <c r="A4421" t="s">
        <v>260</v>
      </c>
    </row>
    <row r="4422" spans="1:1" x14ac:dyDescent="0.25">
      <c r="A4422" t="s">
        <v>261</v>
      </c>
    </row>
    <row r="4423" spans="1:1" x14ac:dyDescent="0.25">
      <c r="A4423" t="s">
        <v>262</v>
      </c>
    </row>
    <row r="4424" spans="1:1" x14ac:dyDescent="0.25">
      <c r="A4424" t="s">
        <v>263</v>
      </c>
    </row>
    <row r="4425" spans="1:1" x14ac:dyDescent="0.25">
      <c r="A4425" t="s">
        <v>264</v>
      </c>
    </row>
    <row r="4426" spans="1:1" x14ac:dyDescent="0.25">
      <c r="A4426" t="s">
        <v>265</v>
      </c>
    </row>
    <row r="4427" spans="1:1" x14ac:dyDescent="0.25">
      <c r="A4427" t="s">
        <v>266</v>
      </c>
    </row>
    <row r="4428" spans="1:1" x14ac:dyDescent="0.25">
      <c r="A4428" t="s">
        <v>267</v>
      </c>
    </row>
    <row r="4429" spans="1:1" x14ac:dyDescent="0.25">
      <c r="A4429" t="s">
        <v>268</v>
      </c>
    </row>
    <row r="4430" spans="1:1" x14ac:dyDescent="0.25">
      <c r="A4430" t="s">
        <v>269</v>
      </c>
    </row>
    <row r="4431" spans="1:1" x14ac:dyDescent="0.25">
      <c r="A4431" t="s">
        <v>270</v>
      </c>
    </row>
    <row r="4432" spans="1:1" x14ac:dyDescent="0.25">
      <c r="A4432" t="s">
        <v>271</v>
      </c>
    </row>
    <row r="4433" spans="1:1" x14ac:dyDescent="0.25">
      <c r="A4433" t="s">
        <v>272</v>
      </c>
    </row>
    <row r="4434" spans="1:1" x14ac:dyDescent="0.25">
      <c r="A4434" t="s">
        <v>273</v>
      </c>
    </row>
    <row r="4435" spans="1:1" x14ac:dyDescent="0.25">
      <c r="A4435" t="s">
        <v>274</v>
      </c>
    </row>
    <row r="4436" spans="1:1" x14ac:dyDescent="0.25">
      <c r="A4436" t="s">
        <v>275</v>
      </c>
    </row>
    <row r="4437" spans="1:1" x14ac:dyDescent="0.25">
      <c r="A4437" t="s">
        <v>276</v>
      </c>
    </row>
    <row r="4438" spans="1:1" x14ac:dyDescent="0.25">
      <c r="A4438" t="s">
        <v>277</v>
      </c>
    </row>
    <row r="4439" spans="1:1" x14ac:dyDescent="0.25">
      <c r="A4439" t="s">
        <v>278</v>
      </c>
    </row>
    <row r="4440" spans="1:1" x14ac:dyDescent="0.25">
      <c r="A4440" t="s">
        <v>279</v>
      </c>
    </row>
    <row r="4441" spans="1:1" x14ac:dyDescent="0.25">
      <c r="A4441" t="s">
        <v>280</v>
      </c>
    </row>
    <row r="4442" spans="1:1" x14ac:dyDescent="0.25">
      <c r="A4442" t="s">
        <v>281</v>
      </c>
    </row>
    <row r="4443" spans="1:1" x14ac:dyDescent="0.25">
      <c r="A4443" t="s">
        <v>282</v>
      </c>
    </row>
    <row r="4444" spans="1:1" x14ac:dyDescent="0.25">
      <c r="A4444" t="s">
        <v>283</v>
      </c>
    </row>
    <row r="4445" spans="1:1" x14ac:dyDescent="0.25">
      <c r="A4445" t="s">
        <v>284</v>
      </c>
    </row>
    <row r="4446" spans="1:1" x14ac:dyDescent="0.25">
      <c r="A4446" t="s">
        <v>285</v>
      </c>
    </row>
    <row r="4447" spans="1:1" x14ac:dyDescent="0.25">
      <c r="A4447" t="s">
        <v>286</v>
      </c>
    </row>
    <row r="4448" spans="1:1" x14ac:dyDescent="0.25">
      <c r="A4448" t="s">
        <v>287</v>
      </c>
    </row>
    <row r="4449" spans="1:1" x14ac:dyDescent="0.25">
      <c r="A4449" t="s">
        <v>288</v>
      </c>
    </row>
    <row r="4450" spans="1:1" x14ac:dyDescent="0.25">
      <c r="A4450" t="s">
        <v>289</v>
      </c>
    </row>
    <row r="4451" spans="1:1" x14ac:dyDescent="0.25">
      <c r="A4451" t="s">
        <v>290</v>
      </c>
    </row>
    <row r="4452" spans="1:1" x14ac:dyDescent="0.25">
      <c r="A4452" t="s">
        <v>291</v>
      </c>
    </row>
    <row r="4453" spans="1:1" x14ac:dyDescent="0.25">
      <c r="A4453" t="s">
        <v>292</v>
      </c>
    </row>
    <row r="4454" spans="1:1" x14ac:dyDescent="0.25">
      <c r="A4454" t="s">
        <v>293</v>
      </c>
    </row>
    <row r="4455" spans="1:1" x14ac:dyDescent="0.25">
      <c r="A4455" t="s">
        <v>294</v>
      </c>
    </row>
    <row r="4456" spans="1:1" x14ac:dyDescent="0.25">
      <c r="A4456" t="s">
        <v>295</v>
      </c>
    </row>
    <row r="4457" spans="1:1" x14ac:dyDescent="0.25">
      <c r="A4457" t="s">
        <v>296</v>
      </c>
    </row>
    <row r="4458" spans="1:1" x14ac:dyDescent="0.25">
      <c r="A4458" t="s">
        <v>297</v>
      </c>
    </row>
    <row r="4459" spans="1:1" x14ac:dyDescent="0.25">
      <c r="A4459" t="s">
        <v>298</v>
      </c>
    </row>
    <row r="4460" spans="1:1" x14ac:dyDescent="0.25">
      <c r="A4460" t="s">
        <v>299</v>
      </c>
    </row>
    <row r="4461" spans="1:1" x14ac:dyDescent="0.25">
      <c r="A4461" t="s">
        <v>300</v>
      </c>
    </row>
    <row r="4462" spans="1:1" x14ac:dyDescent="0.25">
      <c r="A4462" t="s">
        <v>301</v>
      </c>
    </row>
    <row r="4463" spans="1:1" x14ac:dyDescent="0.25">
      <c r="A4463" t="s">
        <v>302</v>
      </c>
    </row>
    <row r="4464" spans="1:1" x14ac:dyDescent="0.25">
      <c r="A4464" t="s">
        <v>303</v>
      </c>
    </row>
    <row r="4465" spans="1:1" x14ac:dyDescent="0.25">
      <c r="A4465" t="s">
        <v>304</v>
      </c>
    </row>
    <row r="4466" spans="1:1" x14ac:dyDescent="0.25">
      <c r="A4466" t="s">
        <v>305</v>
      </c>
    </row>
    <row r="4467" spans="1:1" x14ac:dyDescent="0.25">
      <c r="A4467" t="s">
        <v>306</v>
      </c>
    </row>
    <row r="4468" spans="1:1" x14ac:dyDescent="0.25">
      <c r="A4468" t="s">
        <v>307</v>
      </c>
    </row>
    <row r="4469" spans="1:1" x14ac:dyDescent="0.25">
      <c r="A4469" t="s">
        <v>308</v>
      </c>
    </row>
    <row r="4470" spans="1:1" x14ac:dyDescent="0.25">
      <c r="A4470" t="s">
        <v>309</v>
      </c>
    </row>
    <row r="4471" spans="1:1" x14ac:dyDescent="0.25">
      <c r="A4471" t="s">
        <v>310</v>
      </c>
    </row>
    <row r="4472" spans="1:1" x14ac:dyDescent="0.25">
      <c r="A4472" t="s">
        <v>311</v>
      </c>
    </row>
    <row r="4473" spans="1:1" x14ac:dyDescent="0.25">
      <c r="A4473" t="s">
        <v>312</v>
      </c>
    </row>
    <row r="4474" spans="1:1" x14ac:dyDescent="0.25">
      <c r="A4474" t="s">
        <v>313</v>
      </c>
    </row>
    <row r="4475" spans="1:1" x14ac:dyDescent="0.25">
      <c r="A4475" t="s">
        <v>314</v>
      </c>
    </row>
    <row r="4476" spans="1:1" x14ac:dyDescent="0.25">
      <c r="A4476" t="s">
        <v>315</v>
      </c>
    </row>
    <row r="4477" spans="1:1" x14ac:dyDescent="0.25">
      <c r="A4477" t="s">
        <v>316</v>
      </c>
    </row>
    <row r="4478" spans="1:1" x14ac:dyDescent="0.25">
      <c r="A4478" t="s">
        <v>317</v>
      </c>
    </row>
    <row r="4479" spans="1:1" x14ac:dyDescent="0.25">
      <c r="A4479" t="s">
        <v>318</v>
      </c>
    </row>
    <row r="4480" spans="1:1" x14ac:dyDescent="0.25">
      <c r="A4480" t="s">
        <v>319</v>
      </c>
    </row>
    <row r="4481" spans="1:1" x14ac:dyDescent="0.25">
      <c r="A4481" t="s">
        <v>320</v>
      </c>
    </row>
    <row r="4482" spans="1:1" x14ac:dyDescent="0.25">
      <c r="A4482" t="s">
        <v>321</v>
      </c>
    </row>
    <row r="4483" spans="1:1" x14ac:dyDescent="0.25">
      <c r="A4483" t="s">
        <v>322</v>
      </c>
    </row>
    <row r="4484" spans="1:1" x14ac:dyDescent="0.25">
      <c r="A4484" t="s">
        <v>323</v>
      </c>
    </row>
    <row r="4485" spans="1:1" x14ac:dyDescent="0.25">
      <c r="A4485" t="s">
        <v>324</v>
      </c>
    </row>
    <row r="4486" spans="1:1" x14ac:dyDescent="0.25">
      <c r="A4486" t="s">
        <v>325</v>
      </c>
    </row>
    <row r="4487" spans="1:1" x14ac:dyDescent="0.25">
      <c r="A4487" t="s">
        <v>326</v>
      </c>
    </row>
    <row r="4488" spans="1:1" x14ac:dyDescent="0.25">
      <c r="A4488" t="s">
        <v>327</v>
      </c>
    </row>
    <row r="4489" spans="1:1" x14ac:dyDescent="0.25">
      <c r="A4489" t="s">
        <v>328</v>
      </c>
    </row>
    <row r="4490" spans="1:1" x14ac:dyDescent="0.25">
      <c r="A4490" t="s">
        <v>329</v>
      </c>
    </row>
    <row r="4491" spans="1:1" x14ac:dyDescent="0.25">
      <c r="A4491" t="s">
        <v>330</v>
      </c>
    </row>
    <row r="4492" spans="1:1" x14ac:dyDescent="0.25">
      <c r="A4492" t="s">
        <v>331</v>
      </c>
    </row>
    <row r="4493" spans="1:1" x14ac:dyDescent="0.25">
      <c r="A4493" t="s">
        <v>332</v>
      </c>
    </row>
    <row r="4494" spans="1:1" x14ac:dyDescent="0.25">
      <c r="A4494" t="s">
        <v>333</v>
      </c>
    </row>
    <row r="4495" spans="1:1" x14ac:dyDescent="0.25">
      <c r="A4495" t="s">
        <v>334</v>
      </c>
    </row>
    <row r="4496" spans="1:1" x14ac:dyDescent="0.25">
      <c r="A4496" t="s">
        <v>335</v>
      </c>
    </row>
    <row r="4497" spans="1:1" x14ac:dyDescent="0.25">
      <c r="A4497" t="s">
        <v>336</v>
      </c>
    </row>
    <row r="4498" spans="1:1" x14ac:dyDescent="0.25">
      <c r="A4498" t="s">
        <v>337</v>
      </c>
    </row>
    <row r="4499" spans="1:1" x14ac:dyDescent="0.25">
      <c r="A4499" t="s">
        <v>338</v>
      </c>
    </row>
    <row r="4500" spans="1:1" x14ac:dyDescent="0.25">
      <c r="A4500" t="s">
        <v>339</v>
      </c>
    </row>
    <row r="4501" spans="1:1" x14ac:dyDescent="0.25">
      <c r="A4501" t="s">
        <v>340</v>
      </c>
    </row>
    <row r="4502" spans="1:1" x14ac:dyDescent="0.25">
      <c r="A4502" t="s">
        <v>341</v>
      </c>
    </row>
    <row r="4503" spans="1:1" x14ac:dyDescent="0.25">
      <c r="A4503" t="s">
        <v>342</v>
      </c>
    </row>
    <row r="4504" spans="1:1" x14ac:dyDescent="0.25">
      <c r="A4504" t="s">
        <v>343</v>
      </c>
    </row>
    <row r="4505" spans="1:1" x14ac:dyDescent="0.25">
      <c r="A4505" t="s">
        <v>344</v>
      </c>
    </row>
    <row r="4506" spans="1:1" x14ac:dyDescent="0.25">
      <c r="A4506" t="s">
        <v>345</v>
      </c>
    </row>
    <row r="4507" spans="1:1" x14ac:dyDescent="0.25">
      <c r="A4507" t="s">
        <v>346</v>
      </c>
    </row>
    <row r="4508" spans="1:1" x14ac:dyDescent="0.25">
      <c r="A4508" t="s">
        <v>347</v>
      </c>
    </row>
    <row r="4509" spans="1:1" x14ac:dyDescent="0.25">
      <c r="A4509" t="s">
        <v>348</v>
      </c>
    </row>
    <row r="4510" spans="1:1" x14ac:dyDescent="0.25">
      <c r="A4510" t="s">
        <v>349</v>
      </c>
    </row>
    <row r="4511" spans="1:1" x14ac:dyDescent="0.25">
      <c r="A4511" t="s">
        <v>350</v>
      </c>
    </row>
    <row r="4512" spans="1:1" x14ac:dyDescent="0.25">
      <c r="A4512" t="s">
        <v>351</v>
      </c>
    </row>
    <row r="4513" spans="1:1" x14ac:dyDescent="0.25">
      <c r="A4513" t="s">
        <v>352</v>
      </c>
    </row>
    <row r="4514" spans="1:1" x14ac:dyDescent="0.25">
      <c r="A4514" t="s">
        <v>353</v>
      </c>
    </row>
    <row r="4515" spans="1:1" x14ac:dyDescent="0.25">
      <c r="A4515" t="s">
        <v>354</v>
      </c>
    </row>
    <row r="4516" spans="1:1" x14ac:dyDescent="0.25">
      <c r="A4516" t="s">
        <v>355</v>
      </c>
    </row>
    <row r="4517" spans="1:1" x14ac:dyDescent="0.25">
      <c r="A4517" t="s">
        <v>356</v>
      </c>
    </row>
    <row r="4518" spans="1:1" x14ac:dyDescent="0.25">
      <c r="A4518" t="s">
        <v>357</v>
      </c>
    </row>
    <row r="4519" spans="1:1" x14ac:dyDescent="0.25">
      <c r="A4519" t="s">
        <v>358</v>
      </c>
    </row>
    <row r="4520" spans="1:1" x14ac:dyDescent="0.25">
      <c r="A4520" t="s">
        <v>359</v>
      </c>
    </row>
    <row r="4521" spans="1:1" x14ac:dyDescent="0.25">
      <c r="A4521" t="s">
        <v>360</v>
      </c>
    </row>
    <row r="4522" spans="1:1" x14ac:dyDescent="0.25">
      <c r="A4522" t="s">
        <v>361</v>
      </c>
    </row>
    <row r="4523" spans="1:1" x14ac:dyDescent="0.25">
      <c r="A4523" t="s">
        <v>362</v>
      </c>
    </row>
    <row r="4524" spans="1:1" x14ac:dyDescent="0.25">
      <c r="A4524" t="s">
        <v>363</v>
      </c>
    </row>
    <row r="4525" spans="1:1" x14ac:dyDescent="0.25">
      <c r="A4525" t="s">
        <v>364</v>
      </c>
    </row>
    <row r="4526" spans="1:1" x14ac:dyDescent="0.25">
      <c r="A4526" t="s">
        <v>365</v>
      </c>
    </row>
    <row r="4527" spans="1:1" x14ac:dyDescent="0.25">
      <c r="A4527" t="s">
        <v>366</v>
      </c>
    </row>
    <row r="4528" spans="1:1" x14ac:dyDescent="0.25">
      <c r="A4528" t="s">
        <v>367</v>
      </c>
    </row>
    <row r="4529" spans="1:1" x14ac:dyDescent="0.25">
      <c r="A4529" t="s">
        <v>368</v>
      </c>
    </row>
    <row r="4530" spans="1:1" x14ac:dyDescent="0.25">
      <c r="A4530" t="s">
        <v>369</v>
      </c>
    </row>
    <row r="4531" spans="1:1" x14ac:dyDescent="0.25">
      <c r="A4531" t="s">
        <v>370</v>
      </c>
    </row>
    <row r="4532" spans="1:1" x14ac:dyDescent="0.25">
      <c r="A4532" t="s">
        <v>371</v>
      </c>
    </row>
    <row r="4533" spans="1:1" x14ac:dyDescent="0.25">
      <c r="A4533" t="s">
        <v>372</v>
      </c>
    </row>
    <row r="4534" spans="1:1" x14ac:dyDescent="0.25">
      <c r="A4534" t="s">
        <v>373</v>
      </c>
    </row>
    <row r="4535" spans="1:1" x14ac:dyDescent="0.25">
      <c r="A4535" t="s">
        <v>374</v>
      </c>
    </row>
    <row r="4536" spans="1:1" x14ac:dyDescent="0.25">
      <c r="A4536" t="s">
        <v>375</v>
      </c>
    </row>
    <row r="4537" spans="1:1" x14ac:dyDescent="0.25">
      <c r="A4537" t="s">
        <v>376</v>
      </c>
    </row>
    <row r="4538" spans="1:1" x14ac:dyDescent="0.25">
      <c r="A4538" t="s">
        <v>377</v>
      </c>
    </row>
    <row r="4539" spans="1:1" x14ac:dyDescent="0.25">
      <c r="A4539" t="s">
        <v>378</v>
      </c>
    </row>
    <row r="4540" spans="1:1" x14ac:dyDescent="0.25">
      <c r="A4540" t="s">
        <v>379</v>
      </c>
    </row>
    <row r="4541" spans="1:1" x14ac:dyDescent="0.25">
      <c r="A4541" t="s">
        <v>380</v>
      </c>
    </row>
    <row r="4542" spans="1:1" x14ac:dyDescent="0.25">
      <c r="A4542" t="s">
        <v>381</v>
      </c>
    </row>
    <row r="4543" spans="1:1" x14ac:dyDescent="0.25">
      <c r="A4543" t="s">
        <v>382</v>
      </c>
    </row>
    <row r="4544" spans="1:1" x14ac:dyDescent="0.25">
      <c r="A4544" t="s">
        <v>383</v>
      </c>
    </row>
    <row r="4545" spans="1:1" x14ac:dyDescent="0.25">
      <c r="A4545" t="s">
        <v>384</v>
      </c>
    </row>
    <row r="4546" spans="1:1" x14ac:dyDescent="0.25">
      <c r="A4546" t="s">
        <v>385</v>
      </c>
    </row>
    <row r="4547" spans="1:1" x14ac:dyDescent="0.25">
      <c r="A4547" t="s">
        <v>386</v>
      </c>
    </row>
    <row r="4548" spans="1:1" x14ac:dyDescent="0.25">
      <c r="A4548" t="s">
        <v>387</v>
      </c>
    </row>
    <row r="4549" spans="1:1" x14ac:dyDescent="0.25">
      <c r="A4549" t="s">
        <v>388</v>
      </c>
    </row>
    <row r="4550" spans="1:1" x14ac:dyDescent="0.25">
      <c r="A4550" t="s">
        <v>389</v>
      </c>
    </row>
    <row r="4551" spans="1:1" x14ac:dyDescent="0.25">
      <c r="A4551" t="s">
        <v>390</v>
      </c>
    </row>
    <row r="4552" spans="1:1" x14ac:dyDescent="0.25">
      <c r="A4552" t="s">
        <v>391</v>
      </c>
    </row>
    <row r="4553" spans="1:1" x14ac:dyDescent="0.25">
      <c r="A4553" t="s">
        <v>392</v>
      </c>
    </row>
    <row r="4554" spans="1:1" x14ac:dyDescent="0.25">
      <c r="A4554" t="s">
        <v>393</v>
      </c>
    </row>
    <row r="4555" spans="1:1" x14ac:dyDescent="0.25">
      <c r="A4555" t="s">
        <v>394</v>
      </c>
    </row>
    <row r="4556" spans="1:1" x14ac:dyDescent="0.25">
      <c r="A4556" t="s">
        <v>395</v>
      </c>
    </row>
    <row r="4557" spans="1:1" x14ac:dyDescent="0.25">
      <c r="A4557" t="s">
        <v>396</v>
      </c>
    </row>
    <row r="4558" spans="1:1" x14ac:dyDescent="0.25">
      <c r="A4558" t="s">
        <v>397</v>
      </c>
    </row>
    <row r="4559" spans="1:1" x14ac:dyDescent="0.25">
      <c r="A4559" t="s">
        <v>398</v>
      </c>
    </row>
    <row r="4560" spans="1:1" x14ac:dyDescent="0.25">
      <c r="A4560" t="s">
        <v>399</v>
      </c>
    </row>
    <row r="4561" spans="1:1" x14ac:dyDescent="0.25">
      <c r="A4561" t="s">
        <v>400</v>
      </c>
    </row>
    <row r="4562" spans="1:1" x14ac:dyDescent="0.25">
      <c r="A4562" t="s">
        <v>401</v>
      </c>
    </row>
    <row r="4563" spans="1:1" x14ac:dyDescent="0.25">
      <c r="A4563" t="s">
        <v>402</v>
      </c>
    </row>
    <row r="4564" spans="1:1" x14ac:dyDescent="0.25">
      <c r="A4564" t="s">
        <v>403</v>
      </c>
    </row>
    <row r="4565" spans="1:1" x14ac:dyDescent="0.25">
      <c r="A4565" t="s">
        <v>404</v>
      </c>
    </row>
    <row r="4566" spans="1:1" x14ac:dyDescent="0.25">
      <c r="A4566" t="s">
        <v>405</v>
      </c>
    </row>
    <row r="4567" spans="1:1" x14ac:dyDescent="0.25">
      <c r="A4567" t="s">
        <v>406</v>
      </c>
    </row>
    <row r="4568" spans="1:1" x14ac:dyDescent="0.25">
      <c r="A4568" t="s">
        <v>407</v>
      </c>
    </row>
    <row r="4569" spans="1:1" x14ac:dyDescent="0.25">
      <c r="A4569" t="s">
        <v>408</v>
      </c>
    </row>
    <row r="4570" spans="1:1" x14ac:dyDescent="0.25">
      <c r="A4570" t="s">
        <v>409</v>
      </c>
    </row>
    <row r="4571" spans="1:1" x14ac:dyDescent="0.25">
      <c r="A4571" t="s">
        <v>410</v>
      </c>
    </row>
    <row r="4572" spans="1:1" x14ac:dyDescent="0.25">
      <c r="A4572" t="s">
        <v>411</v>
      </c>
    </row>
    <row r="4573" spans="1:1" x14ac:dyDescent="0.25">
      <c r="A4573" t="s">
        <v>36</v>
      </c>
    </row>
    <row r="4574" spans="1:1" x14ac:dyDescent="0.25">
      <c r="A4574" t="s">
        <v>37</v>
      </c>
    </row>
    <row r="4575" spans="1:1" x14ac:dyDescent="0.25">
      <c r="A4575" t="s">
        <v>38</v>
      </c>
    </row>
    <row r="4576" spans="1:1" x14ac:dyDescent="0.25">
      <c r="A4576" t="s">
        <v>39</v>
      </c>
    </row>
    <row r="4577" spans="1:1" x14ac:dyDescent="0.25">
      <c r="A4577" t="s">
        <v>31</v>
      </c>
    </row>
    <row r="4578" spans="1:1" x14ac:dyDescent="0.25">
      <c r="A4578" t="s">
        <v>40</v>
      </c>
    </row>
    <row r="4579" spans="1:1" x14ac:dyDescent="0.25">
      <c r="A4579" t="s">
        <v>23</v>
      </c>
    </row>
    <row r="4580" spans="1:1" x14ac:dyDescent="0.25">
      <c r="A4580" t="s">
        <v>41</v>
      </c>
    </row>
    <row r="4581" spans="1:1" x14ac:dyDescent="0.25">
      <c r="A4581" t="s">
        <v>42</v>
      </c>
    </row>
    <row r="4582" spans="1:1" x14ac:dyDescent="0.25">
      <c r="A4582" t="s">
        <v>43</v>
      </c>
    </row>
    <row r="4583" spans="1:1" x14ac:dyDescent="0.25">
      <c r="A4583" t="s">
        <v>44</v>
      </c>
    </row>
    <row r="4584" spans="1:1" x14ac:dyDescent="0.25">
      <c r="A4584" t="s">
        <v>45</v>
      </c>
    </row>
    <row r="4585" spans="1:1" x14ac:dyDescent="0.25">
      <c r="A4585" t="s">
        <v>46</v>
      </c>
    </row>
    <row r="4586" spans="1:1" x14ac:dyDescent="0.25">
      <c r="A4586" t="s">
        <v>47</v>
      </c>
    </row>
    <row r="4587" spans="1:1" x14ac:dyDescent="0.25">
      <c r="A4587" t="s">
        <v>48</v>
      </c>
    </row>
    <row r="4588" spans="1:1" x14ac:dyDescent="0.25">
      <c r="A4588" t="s">
        <v>49</v>
      </c>
    </row>
    <row r="4589" spans="1:1" x14ac:dyDescent="0.25">
      <c r="A4589" t="s">
        <v>50</v>
      </c>
    </row>
    <row r="4590" spans="1:1" x14ac:dyDescent="0.25">
      <c r="A4590" t="s">
        <v>51</v>
      </c>
    </row>
    <row r="4591" spans="1:1" x14ac:dyDescent="0.25">
      <c r="A4591" t="s">
        <v>52</v>
      </c>
    </row>
    <row r="4592" spans="1:1" x14ac:dyDescent="0.25">
      <c r="A4592" t="s">
        <v>53</v>
      </c>
    </row>
    <row r="4593" spans="1:1" x14ac:dyDescent="0.25">
      <c r="A4593" t="s">
        <v>54</v>
      </c>
    </row>
    <row r="4594" spans="1:1" x14ac:dyDescent="0.25">
      <c r="A4594" t="s">
        <v>55</v>
      </c>
    </row>
    <row r="4595" spans="1:1" x14ac:dyDescent="0.25">
      <c r="A4595" t="s">
        <v>56</v>
      </c>
    </row>
    <row r="4596" spans="1:1" x14ac:dyDescent="0.25">
      <c r="A4596" t="s">
        <v>25</v>
      </c>
    </row>
    <row r="4597" spans="1:1" x14ac:dyDescent="0.25">
      <c r="A4597" t="s">
        <v>57</v>
      </c>
    </row>
    <row r="4598" spans="1:1" x14ac:dyDescent="0.25">
      <c r="A4598" t="s">
        <v>27</v>
      </c>
    </row>
    <row r="4599" spans="1:1" x14ac:dyDescent="0.25">
      <c r="A4599" t="s">
        <v>58</v>
      </c>
    </row>
    <row r="4600" spans="1:1" x14ac:dyDescent="0.25">
      <c r="A4600" t="s">
        <v>59</v>
      </c>
    </row>
    <row r="4601" spans="1:1" x14ac:dyDescent="0.25">
      <c r="A4601" t="s">
        <v>60</v>
      </c>
    </row>
    <row r="4602" spans="1:1" x14ac:dyDescent="0.25">
      <c r="A4602" t="s">
        <v>61</v>
      </c>
    </row>
    <row r="4603" spans="1:1" x14ac:dyDescent="0.25">
      <c r="A4603" t="s">
        <v>62</v>
      </c>
    </row>
    <row r="4604" spans="1:1" x14ac:dyDescent="0.25">
      <c r="A4604" t="s">
        <v>63</v>
      </c>
    </row>
    <row r="4605" spans="1:1" x14ac:dyDescent="0.25">
      <c r="A4605" t="s">
        <v>64</v>
      </c>
    </row>
    <row r="4606" spans="1:1" x14ac:dyDescent="0.25">
      <c r="A4606" t="s">
        <v>65</v>
      </c>
    </row>
    <row r="4607" spans="1:1" x14ac:dyDescent="0.25">
      <c r="A4607" t="s">
        <v>66</v>
      </c>
    </row>
    <row r="4608" spans="1:1" x14ac:dyDescent="0.25">
      <c r="A4608" t="s">
        <v>67</v>
      </c>
    </row>
    <row r="4609" spans="1:1" x14ac:dyDescent="0.25">
      <c r="A4609" t="s">
        <v>68</v>
      </c>
    </row>
    <row r="4610" spans="1:1" x14ac:dyDescent="0.25">
      <c r="A4610" t="s">
        <v>69</v>
      </c>
    </row>
    <row r="4611" spans="1:1" x14ac:dyDescent="0.25">
      <c r="A4611" t="s">
        <v>70</v>
      </c>
    </row>
    <row r="4612" spans="1:1" x14ac:dyDescent="0.25">
      <c r="A4612" t="s">
        <v>71</v>
      </c>
    </row>
    <row r="4613" spans="1:1" x14ac:dyDescent="0.25">
      <c r="A4613" t="s">
        <v>72</v>
      </c>
    </row>
    <row r="4614" spans="1:1" x14ac:dyDescent="0.25">
      <c r="A4614" t="s">
        <v>73</v>
      </c>
    </row>
    <row r="4615" spans="1:1" x14ac:dyDescent="0.25">
      <c r="A4615" t="s">
        <v>74</v>
      </c>
    </row>
    <row r="4616" spans="1:1" x14ac:dyDescent="0.25">
      <c r="A4616" t="s">
        <v>75</v>
      </c>
    </row>
    <row r="4617" spans="1:1" x14ac:dyDescent="0.25">
      <c r="A4617" t="s">
        <v>76</v>
      </c>
    </row>
    <row r="4618" spans="1:1" x14ac:dyDescent="0.25">
      <c r="A4618" t="s">
        <v>77</v>
      </c>
    </row>
    <row r="4619" spans="1:1" x14ac:dyDescent="0.25">
      <c r="A4619" t="s">
        <v>78</v>
      </c>
    </row>
    <row r="4620" spans="1:1" x14ac:dyDescent="0.25">
      <c r="A4620" t="s">
        <v>79</v>
      </c>
    </row>
    <row r="4621" spans="1:1" x14ac:dyDescent="0.25">
      <c r="A4621" t="s">
        <v>80</v>
      </c>
    </row>
    <row r="4622" spans="1:1" x14ac:dyDescent="0.25">
      <c r="A4622" t="s">
        <v>81</v>
      </c>
    </row>
    <row r="4623" spans="1:1" x14ac:dyDescent="0.25">
      <c r="A4623" t="s">
        <v>82</v>
      </c>
    </row>
    <row r="4624" spans="1:1" x14ac:dyDescent="0.25">
      <c r="A4624" t="s">
        <v>83</v>
      </c>
    </row>
    <row r="4625" spans="1:1" x14ac:dyDescent="0.25">
      <c r="A4625" t="s">
        <v>84</v>
      </c>
    </row>
    <row r="4626" spans="1:1" x14ac:dyDescent="0.25">
      <c r="A4626" t="s">
        <v>85</v>
      </c>
    </row>
    <row r="4627" spans="1:1" x14ac:dyDescent="0.25">
      <c r="A4627" t="s">
        <v>86</v>
      </c>
    </row>
    <row r="4628" spans="1:1" x14ac:dyDescent="0.25">
      <c r="A4628" t="s">
        <v>87</v>
      </c>
    </row>
    <row r="4629" spans="1:1" x14ac:dyDescent="0.25">
      <c r="A4629" t="s">
        <v>88</v>
      </c>
    </row>
    <row r="4630" spans="1:1" x14ac:dyDescent="0.25">
      <c r="A4630" t="s">
        <v>89</v>
      </c>
    </row>
    <row r="4631" spans="1:1" x14ac:dyDescent="0.25">
      <c r="A4631" t="s">
        <v>90</v>
      </c>
    </row>
    <row r="4632" spans="1:1" x14ac:dyDescent="0.25">
      <c r="A4632" t="s">
        <v>91</v>
      </c>
    </row>
    <row r="4633" spans="1:1" x14ac:dyDescent="0.25">
      <c r="A4633" t="s">
        <v>92</v>
      </c>
    </row>
    <row r="4634" spans="1:1" x14ac:dyDescent="0.25">
      <c r="A4634" t="s">
        <v>93</v>
      </c>
    </row>
    <row r="4635" spans="1:1" x14ac:dyDescent="0.25">
      <c r="A4635" t="s">
        <v>94</v>
      </c>
    </row>
    <row r="4636" spans="1:1" x14ac:dyDescent="0.25">
      <c r="A4636" t="s">
        <v>95</v>
      </c>
    </row>
    <row r="4637" spans="1:1" x14ac:dyDescent="0.25">
      <c r="A4637" t="s">
        <v>96</v>
      </c>
    </row>
    <row r="4638" spans="1:1" x14ac:dyDescent="0.25">
      <c r="A4638" t="s">
        <v>97</v>
      </c>
    </row>
    <row r="4639" spans="1:1" x14ac:dyDescent="0.25">
      <c r="A4639" t="s">
        <v>98</v>
      </c>
    </row>
    <row r="4640" spans="1:1" x14ac:dyDescent="0.25">
      <c r="A4640" t="s">
        <v>99</v>
      </c>
    </row>
    <row r="4641" spans="1:1" x14ac:dyDescent="0.25">
      <c r="A4641" t="s">
        <v>100</v>
      </c>
    </row>
    <row r="4642" spans="1:1" x14ac:dyDescent="0.25">
      <c r="A4642" t="s">
        <v>101</v>
      </c>
    </row>
    <row r="4643" spans="1:1" x14ac:dyDescent="0.25">
      <c r="A4643" t="s">
        <v>102</v>
      </c>
    </row>
    <row r="4644" spans="1:1" x14ac:dyDescent="0.25">
      <c r="A4644" t="s">
        <v>103</v>
      </c>
    </row>
    <row r="4645" spans="1:1" x14ac:dyDescent="0.25">
      <c r="A4645" t="s">
        <v>104</v>
      </c>
    </row>
    <row r="4646" spans="1:1" x14ac:dyDescent="0.25">
      <c r="A4646" t="s">
        <v>105</v>
      </c>
    </row>
    <row r="4647" spans="1:1" x14ac:dyDescent="0.25">
      <c r="A4647" t="s">
        <v>106</v>
      </c>
    </row>
    <row r="4648" spans="1:1" x14ac:dyDescent="0.25">
      <c r="A4648" t="s">
        <v>107</v>
      </c>
    </row>
    <row r="4649" spans="1:1" x14ac:dyDescent="0.25">
      <c r="A4649" t="s">
        <v>108</v>
      </c>
    </row>
    <row r="4650" spans="1:1" x14ac:dyDescent="0.25">
      <c r="A4650" t="s">
        <v>109</v>
      </c>
    </row>
    <row r="4651" spans="1:1" x14ac:dyDescent="0.25">
      <c r="A4651" t="s">
        <v>110</v>
      </c>
    </row>
    <row r="4652" spans="1:1" x14ac:dyDescent="0.25">
      <c r="A4652" t="s">
        <v>111</v>
      </c>
    </row>
    <row r="4653" spans="1:1" x14ac:dyDescent="0.25">
      <c r="A4653" t="s">
        <v>112</v>
      </c>
    </row>
    <row r="4654" spans="1:1" x14ac:dyDescent="0.25">
      <c r="A4654" t="s">
        <v>113</v>
      </c>
    </row>
    <row r="4655" spans="1:1" x14ac:dyDescent="0.25">
      <c r="A4655" t="s">
        <v>114</v>
      </c>
    </row>
    <row r="4656" spans="1:1" x14ac:dyDescent="0.25">
      <c r="A4656" t="s">
        <v>115</v>
      </c>
    </row>
    <row r="4657" spans="1:1" x14ac:dyDescent="0.25">
      <c r="A4657" t="s">
        <v>116</v>
      </c>
    </row>
    <row r="4658" spans="1:1" x14ac:dyDescent="0.25">
      <c r="A4658" t="s">
        <v>117</v>
      </c>
    </row>
    <row r="4659" spans="1:1" x14ac:dyDescent="0.25">
      <c r="A4659" t="s">
        <v>118</v>
      </c>
    </row>
    <row r="4660" spans="1:1" x14ac:dyDescent="0.25">
      <c r="A4660" t="s">
        <v>119</v>
      </c>
    </row>
    <row r="4661" spans="1:1" x14ac:dyDescent="0.25">
      <c r="A4661" t="s">
        <v>120</v>
      </c>
    </row>
    <row r="4662" spans="1:1" x14ac:dyDescent="0.25">
      <c r="A4662" t="s">
        <v>121</v>
      </c>
    </row>
    <row r="4663" spans="1:1" x14ac:dyDescent="0.25">
      <c r="A4663" t="s">
        <v>122</v>
      </c>
    </row>
    <row r="4664" spans="1:1" x14ac:dyDescent="0.25">
      <c r="A4664" t="s">
        <v>123</v>
      </c>
    </row>
    <row r="4665" spans="1:1" x14ac:dyDescent="0.25">
      <c r="A4665" t="s">
        <v>124</v>
      </c>
    </row>
    <row r="4666" spans="1:1" x14ac:dyDescent="0.25">
      <c r="A4666" t="s">
        <v>125</v>
      </c>
    </row>
    <row r="4667" spans="1:1" x14ac:dyDescent="0.25">
      <c r="A4667" t="s">
        <v>126</v>
      </c>
    </row>
    <row r="4668" spans="1:1" x14ac:dyDescent="0.25">
      <c r="A4668" t="s">
        <v>127</v>
      </c>
    </row>
    <row r="4669" spans="1:1" x14ac:dyDescent="0.25">
      <c r="A4669" t="s">
        <v>128</v>
      </c>
    </row>
    <row r="4670" spans="1:1" x14ac:dyDescent="0.25">
      <c r="A4670" t="s">
        <v>129</v>
      </c>
    </row>
    <row r="4671" spans="1:1" x14ac:dyDescent="0.25">
      <c r="A4671" t="s">
        <v>130</v>
      </c>
    </row>
    <row r="4672" spans="1:1" x14ac:dyDescent="0.25">
      <c r="A4672" t="s">
        <v>131</v>
      </c>
    </row>
    <row r="4673" spans="1:1" x14ac:dyDescent="0.25">
      <c r="A4673" t="s">
        <v>132</v>
      </c>
    </row>
    <row r="4674" spans="1:1" x14ac:dyDescent="0.25">
      <c r="A4674" t="s">
        <v>133</v>
      </c>
    </row>
    <row r="4675" spans="1:1" x14ac:dyDescent="0.25">
      <c r="A4675" t="s">
        <v>134</v>
      </c>
    </row>
    <row r="4676" spans="1:1" x14ac:dyDescent="0.25">
      <c r="A4676" t="s">
        <v>135</v>
      </c>
    </row>
    <row r="4677" spans="1:1" x14ac:dyDescent="0.25">
      <c r="A4677" t="s">
        <v>136</v>
      </c>
    </row>
    <row r="4678" spans="1:1" x14ac:dyDescent="0.25">
      <c r="A4678" t="s">
        <v>137</v>
      </c>
    </row>
    <row r="4679" spans="1:1" x14ac:dyDescent="0.25">
      <c r="A4679" t="s">
        <v>138</v>
      </c>
    </row>
    <row r="4680" spans="1:1" x14ac:dyDescent="0.25">
      <c r="A4680" t="s">
        <v>139</v>
      </c>
    </row>
    <row r="4681" spans="1:1" x14ac:dyDescent="0.25">
      <c r="A4681" t="s">
        <v>140</v>
      </c>
    </row>
    <row r="4682" spans="1:1" x14ac:dyDescent="0.25">
      <c r="A4682" t="s">
        <v>141</v>
      </c>
    </row>
    <row r="4683" spans="1:1" x14ac:dyDescent="0.25">
      <c r="A4683" t="s">
        <v>142</v>
      </c>
    </row>
    <row r="4684" spans="1:1" x14ac:dyDescent="0.25">
      <c r="A4684" t="s">
        <v>143</v>
      </c>
    </row>
    <row r="4685" spans="1:1" x14ac:dyDescent="0.25">
      <c r="A4685" t="s">
        <v>144</v>
      </c>
    </row>
    <row r="4686" spans="1:1" x14ac:dyDescent="0.25">
      <c r="A4686" t="s">
        <v>145</v>
      </c>
    </row>
    <row r="4687" spans="1:1" x14ac:dyDescent="0.25">
      <c r="A4687" t="s">
        <v>146</v>
      </c>
    </row>
    <row r="4688" spans="1:1" x14ac:dyDescent="0.25">
      <c r="A4688" t="s">
        <v>147</v>
      </c>
    </row>
    <row r="4689" spans="1:1" x14ac:dyDescent="0.25">
      <c r="A4689" t="s">
        <v>148</v>
      </c>
    </row>
    <row r="4690" spans="1:1" x14ac:dyDescent="0.25">
      <c r="A4690" t="s">
        <v>149</v>
      </c>
    </row>
    <row r="4691" spans="1:1" x14ac:dyDescent="0.25">
      <c r="A4691" t="s">
        <v>150</v>
      </c>
    </row>
    <row r="4692" spans="1:1" x14ac:dyDescent="0.25">
      <c r="A4692" t="s">
        <v>151</v>
      </c>
    </row>
    <row r="4693" spans="1:1" x14ac:dyDescent="0.25">
      <c r="A4693" t="s">
        <v>152</v>
      </c>
    </row>
    <row r="4694" spans="1:1" x14ac:dyDescent="0.25">
      <c r="A4694" t="s">
        <v>153</v>
      </c>
    </row>
    <row r="4695" spans="1:1" x14ac:dyDescent="0.25">
      <c r="A4695" t="s">
        <v>154</v>
      </c>
    </row>
    <row r="4696" spans="1:1" x14ac:dyDescent="0.25">
      <c r="A4696" t="s">
        <v>155</v>
      </c>
    </row>
    <row r="4697" spans="1:1" x14ac:dyDescent="0.25">
      <c r="A4697" t="s">
        <v>156</v>
      </c>
    </row>
    <row r="4698" spans="1:1" x14ac:dyDescent="0.25">
      <c r="A4698" t="s">
        <v>157</v>
      </c>
    </row>
    <row r="4699" spans="1:1" x14ac:dyDescent="0.25">
      <c r="A4699" t="s">
        <v>158</v>
      </c>
    </row>
    <row r="4700" spans="1:1" x14ac:dyDescent="0.25">
      <c r="A4700" t="s">
        <v>159</v>
      </c>
    </row>
    <row r="4701" spans="1:1" x14ac:dyDescent="0.25">
      <c r="A4701" t="s">
        <v>160</v>
      </c>
    </row>
    <row r="4702" spans="1:1" x14ac:dyDescent="0.25">
      <c r="A4702" t="s">
        <v>161</v>
      </c>
    </row>
    <row r="4703" spans="1:1" x14ac:dyDescent="0.25">
      <c r="A4703" t="s">
        <v>162</v>
      </c>
    </row>
    <row r="4704" spans="1:1" x14ac:dyDescent="0.25">
      <c r="A4704" t="s">
        <v>163</v>
      </c>
    </row>
    <row r="4705" spans="1:1" x14ac:dyDescent="0.25">
      <c r="A4705" t="s">
        <v>164</v>
      </c>
    </row>
    <row r="4706" spans="1:1" x14ac:dyDescent="0.25">
      <c r="A4706" t="s">
        <v>165</v>
      </c>
    </row>
    <row r="4707" spans="1:1" x14ac:dyDescent="0.25">
      <c r="A4707" t="s">
        <v>166</v>
      </c>
    </row>
    <row r="4708" spans="1:1" x14ac:dyDescent="0.25">
      <c r="A4708" t="s">
        <v>167</v>
      </c>
    </row>
    <row r="4709" spans="1:1" x14ac:dyDescent="0.25">
      <c r="A4709" t="s">
        <v>168</v>
      </c>
    </row>
    <row r="4710" spans="1:1" x14ac:dyDescent="0.25">
      <c r="A4710" t="s">
        <v>169</v>
      </c>
    </row>
    <row r="4711" spans="1:1" x14ac:dyDescent="0.25">
      <c r="A4711" t="s">
        <v>170</v>
      </c>
    </row>
    <row r="4712" spans="1:1" x14ac:dyDescent="0.25">
      <c r="A4712" t="s">
        <v>171</v>
      </c>
    </row>
    <row r="4713" spans="1:1" x14ac:dyDescent="0.25">
      <c r="A4713" t="s">
        <v>172</v>
      </c>
    </row>
    <row r="4714" spans="1:1" x14ac:dyDescent="0.25">
      <c r="A4714" t="s">
        <v>173</v>
      </c>
    </row>
    <row r="4715" spans="1:1" x14ac:dyDescent="0.25">
      <c r="A4715" t="s">
        <v>174</v>
      </c>
    </row>
    <row r="4716" spans="1:1" x14ac:dyDescent="0.25">
      <c r="A4716" t="s">
        <v>175</v>
      </c>
    </row>
    <row r="4717" spans="1:1" x14ac:dyDescent="0.25">
      <c r="A4717" t="s">
        <v>176</v>
      </c>
    </row>
    <row r="4718" spans="1:1" x14ac:dyDescent="0.25">
      <c r="A4718" t="s">
        <v>177</v>
      </c>
    </row>
    <row r="4719" spans="1:1" x14ac:dyDescent="0.25">
      <c r="A4719" t="s">
        <v>178</v>
      </c>
    </row>
    <row r="4720" spans="1:1" x14ac:dyDescent="0.25">
      <c r="A4720" t="s">
        <v>179</v>
      </c>
    </row>
    <row r="4721" spans="1:1" x14ac:dyDescent="0.25">
      <c r="A4721" t="s">
        <v>180</v>
      </c>
    </row>
    <row r="4722" spans="1:1" x14ac:dyDescent="0.25">
      <c r="A4722" t="s">
        <v>181</v>
      </c>
    </row>
    <row r="4723" spans="1:1" x14ac:dyDescent="0.25">
      <c r="A4723" t="s">
        <v>182</v>
      </c>
    </row>
    <row r="4724" spans="1:1" x14ac:dyDescent="0.25">
      <c r="A4724" t="s">
        <v>183</v>
      </c>
    </row>
    <row r="4725" spans="1:1" x14ac:dyDescent="0.25">
      <c r="A4725" t="s">
        <v>184</v>
      </c>
    </row>
    <row r="4726" spans="1:1" x14ac:dyDescent="0.25">
      <c r="A4726" t="s">
        <v>185</v>
      </c>
    </row>
    <row r="4727" spans="1:1" x14ac:dyDescent="0.25">
      <c r="A4727" t="s">
        <v>186</v>
      </c>
    </row>
    <row r="4728" spans="1:1" x14ac:dyDescent="0.25">
      <c r="A4728" t="s">
        <v>187</v>
      </c>
    </row>
    <row r="4729" spans="1:1" x14ac:dyDescent="0.25">
      <c r="A4729" t="s">
        <v>188</v>
      </c>
    </row>
    <row r="4730" spans="1:1" x14ac:dyDescent="0.25">
      <c r="A4730" t="s">
        <v>189</v>
      </c>
    </row>
    <row r="4731" spans="1:1" x14ac:dyDescent="0.25">
      <c r="A4731" t="s">
        <v>190</v>
      </c>
    </row>
    <row r="4732" spans="1:1" x14ac:dyDescent="0.25">
      <c r="A4732" t="s">
        <v>191</v>
      </c>
    </row>
    <row r="4733" spans="1:1" x14ac:dyDescent="0.25">
      <c r="A4733" t="s">
        <v>192</v>
      </c>
    </row>
    <row r="4734" spans="1:1" x14ac:dyDescent="0.25">
      <c r="A4734" t="s">
        <v>193</v>
      </c>
    </row>
    <row r="4735" spans="1:1" x14ac:dyDescent="0.25">
      <c r="A4735" t="s">
        <v>194</v>
      </c>
    </row>
    <row r="4736" spans="1:1" x14ac:dyDescent="0.25">
      <c r="A4736" t="s">
        <v>195</v>
      </c>
    </row>
    <row r="4737" spans="1:1" x14ac:dyDescent="0.25">
      <c r="A4737" t="s">
        <v>196</v>
      </c>
    </row>
    <row r="4738" spans="1:1" x14ac:dyDescent="0.25">
      <c r="A4738" t="s">
        <v>197</v>
      </c>
    </row>
    <row r="4739" spans="1:1" x14ac:dyDescent="0.25">
      <c r="A4739" t="s">
        <v>198</v>
      </c>
    </row>
    <row r="4740" spans="1:1" x14ac:dyDescent="0.25">
      <c r="A4740" t="s">
        <v>199</v>
      </c>
    </row>
    <row r="4741" spans="1:1" x14ac:dyDescent="0.25">
      <c r="A4741" t="s">
        <v>200</v>
      </c>
    </row>
    <row r="4742" spans="1:1" x14ac:dyDescent="0.25">
      <c r="A4742" t="s">
        <v>201</v>
      </c>
    </row>
    <row r="4743" spans="1:1" x14ac:dyDescent="0.25">
      <c r="A4743" t="s">
        <v>202</v>
      </c>
    </row>
    <row r="4744" spans="1:1" x14ac:dyDescent="0.25">
      <c r="A4744" t="s">
        <v>203</v>
      </c>
    </row>
    <row r="4745" spans="1:1" x14ac:dyDescent="0.25">
      <c r="A4745" t="s">
        <v>204</v>
      </c>
    </row>
    <row r="4746" spans="1:1" x14ac:dyDescent="0.25">
      <c r="A4746" t="s">
        <v>205</v>
      </c>
    </row>
    <row r="4747" spans="1:1" x14ac:dyDescent="0.25">
      <c r="A4747" t="s">
        <v>206</v>
      </c>
    </row>
    <row r="4748" spans="1:1" x14ac:dyDescent="0.25">
      <c r="A4748" t="s">
        <v>207</v>
      </c>
    </row>
    <row r="4749" spans="1:1" x14ac:dyDescent="0.25">
      <c r="A4749" t="s">
        <v>208</v>
      </c>
    </row>
    <row r="4750" spans="1:1" x14ac:dyDescent="0.25">
      <c r="A4750" t="s">
        <v>209</v>
      </c>
    </row>
    <row r="4751" spans="1:1" x14ac:dyDescent="0.25">
      <c r="A4751" t="s">
        <v>210</v>
      </c>
    </row>
    <row r="4752" spans="1:1" x14ac:dyDescent="0.25">
      <c r="A4752" t="s">
        <v>211</v>
      </c>
    </row>
    <row r="4753" spans="1:1" x14ac:dyDescent="0.25">
      <c r="A4753" t="s">
        <v>212</v>
      </c>
    </row>
    <row r="4754" spans="1:1" x14ac:dyDescent="0.25">
      <c r="A4754" t="s">
        <v>213</v>
      </c>
    </row>
    <row r="4755" spans="1:1" x14ac:dyDescent="0.25">
      <c r="A4755" t="s">
        <v>214</v>
      </c>
    </row>
    <row r="4756" spans="1:1" x14ac:dyDescent="0.25">
      <c r="A4756" t="s">
        <v>215</v>
      </c>
    </row>
    <row r="4757" spans="1:1" x14ac:dyDescent="0.25">
      <c r="A4757" t="s">
        <v>216</v>
      </c>
    </row>
    <row r="4758" spans="1:1" x14ac:dyDescent="0.25">
      <c r="A4758" t="s">
        <v>217</v>
      </c>
    </row>
    <row r="4759" spans="1:1" x14ac:dyDescent="0.25">
      <c r="A4759" t="s">
        <v>218</v>
      </c>
    </row>
    <row r="4760" spans="1:1" x14ac:dyDescent="0.25">
      <c r="A4760" t="s">
        <v>219</v>
      </c>
    </row>
    <row r="4761" spans="1:1" x14ac:dyDescent="0.25">
      <c r="A4761" t="s">
        <v>220</v>
      </c>
    </row>
    <row r="4762" spans="1:1" x14ac:dyDescent="0.25">
      <c r="A4762" t="s">
        <v>221</v>
      </c>
    </row>
    <row r="4763" spans="1:1" x14ac:dyDescent="0.25">
      <c r="A4763" t="s">
        <v>222</v>
      </c>
    </row>
    <row r="4764" spans="1:1" x14ac:dyDescent="0.25">
      <c r="A4764" t="s">
        <v>223</v>
      </c>
    </row>
    <row r="4765" spans="1:1" x14ac:dyDescent="0.25">
      <c r="A4765" t="s">
        <v>224</v>
      </c>
    </row>
    <row r="4766" spans="1:1" x14ac:dyDescent="0.25">
      <c r="A4766" t="s">
        <v>225</v>
      </c>
    </row>
    <row r="4767" spans="1:1" x14ac:dyDescent="0.25">
      <c r="A4767" t="s">
        <v>226</v>
      </c>
    </row>
    <row r="4768" spans="1:1" x14ac:dyDescent="0.25">
      <c r="A4768" t="s">
        <v>227</v>
      </c>
    </row>
    <row r="4769" spans="1:1" x14ac:dyDescent="0.25">
      <c r="A4769" t="s">
        <v>228</v>
      </c>
    </row>
    <row r="4770" spans="1:1" x14ac:dyDescent="0.25">
      <c r="A4770" t="s">
        <v>229</v>
      </c>
    </row>
    <row r="4771" spans="1:1" x14ac:dyDescent="0.25">
      <c r="A4771" t="s">
        <v>230</v>
      </c>
    </row>
    <row r="4772" spans="1:1" x14ac:dyDescent="0.25">
      <c r="A4772" t="s">
        <v>231</v>
      </c>
    </row>
    <row r="4773" spans="1:1" x14ac:dyDescent="0.25">
      <c r="A4773" t="s">
        <v>232</v>
      </c>
    </row>
    <row r="4774" spans="1:1" x14ac:dyDescent="0.25">
      <c r="A4774" t="s">
        <v>233</v>
      </c>
    </row>
    <row r="4775" spans="1:1" x14ac:dyDescent="0.25">
      <c r="A4775" t="s">
        <v>234</v>
      </c>
    </row>
    <row r="4776" spans="1:1" x14ac:dyDescent="0.25">
      <c r="A4776" t="s">
        <v>235</v>
      </c>
    </row>
    <row r="4777" spans="1:1" x14ac:dyDescent="0.25">
      <c r="A4777" t="s">
        <v>236</v>
      </c>
    </row>
    <row r="4778" spans="1:1" x14ac:dyDescent="0.25">
      <c r="A4778" t="s">
        <v>237</v>
      </c>
    </row>
    <row r="4779" spans="1:1" x14ac:dyDescent="0.25">
      <c r="A4779" t="s">
        <v>238</v>
      </c>
    </row>
    <row r="4780" spans="1:1" x14ac:dyDescent="0.25">
      <c r="A4780" t="s">
        <v>239</v>
      </c>
    </row>
    <row r="4781" spans="1:1" x14ac:dyDescent="0.25">
      <c r="A4781" t="s">
        <v>240</v>
      </c>
    </row>
    <row r="4782" spans="1:1" x14ac:dyDescent="0.25">
      <c r="A4782" t="s">
        <v>241</v>
      </c>
    </row>
    <row r="4783" spans="1:1" x14ac:dyDescent="0.25">
      <c r="A4783" t="s">
        <v>242</v>
      </c>
    </row>
    <row r="4784" spans="1:1" x14ac:dyDescent="0.25">
      <c r="A4784" t="s">
        <v>243</v>
      </c>
    </row>
    <row r="4785" spans="1:1" x14ac:dyDescent="0.25">
      <c r="A4785" t="s">
        <v>244</v>
      </c>
    </row>
    <row r="4786" spans="1:1" x14ac:dyDescent="0.25">
      <c r="A4786" t="s">
        <v>245</v>
      </c>
    </row>
    <row r="4787" spans="1:1" x14ac:dyDescent="0.25">
      <c r="A4787" t="s">
        <v>246</v>
      </c>
    </row>
    <row r="4788" spans="1:1" x14ac:dyDescent="0.25">
      <c r="A4788" t="s">
        <v>247</v>
      </c>
    </row>
    <row r="4789" spans="1:1" x14ac:dyDescent="0.25">
      <c r="A4789" t="s">
        <v>248</v>
      </c>
    </row>
    <row r="4790" spans="1:1" x14ac:dyDescent="0.25">
      <c r="A4790" t="s">
        <v>249</v>
      </c>
    </row>
    <row r="4791" spans="1:1" x14ac:dyDescent="0.25">
      <c r="A4791" t="s">
        <v>250</v>
      </c>
    </row>
    <row r="4792" spans="1:1" x14ac:dyDescent="0.25">
      <c r="A4792" t="s">
        <v>251</v>
      </c>
    </row>
    <row r="4793" spans="1:1" x14ac:dyDescent="0.25">
      <c r="A4793" t="s">
        <v>252</v>
      </c>
    </row>
    <row r="4794" spans="1:1" x14ac:dyDescent="0.25">
      <c r="A4794" t="s">
        <v>32</v>
      </c>
    </row>
    <row r="4795" spans="1:1" x14ac:dyDescent="0.25">
      <c r="A4795" t="s">
        <v>253</v>
      </c>
    </row>
    <row r="4796" spans="1:1" x14ac:dyDescent="0.25">
      <c r="A4796" t="s">
        <v>254</v>
      </c>
    </row>
    <row r="4797" spans="1:1" x14ac:dyDescent="0.25">
      <c r="A4797" t="s">
        <v>255</v>
      </c>
    </row>
    <row r="4798" spans="1:1" x14ac:dyDescent="0.25">
      <c r="A4798" t="s">
        <v>256</v>
      </c>
    </row>
    <row r="4799" spans="1:1" x14ac:dyDescent="0.25">
      <c r="A4799" t="s">
        <v>257</v>
      </c>
    </row>
    <row r="4800" spans="1:1" x14ac:dyDescent="0.25">
      <c r="A4800" t="s">
        <v>258</v>
      </c>
    </row>
    <row r="4801" spans="1:1" x14ac:dyDescent="0.25">
      <c r="A4801" t="s">
        <v>259</v>
      </c>
    </row>
    <row r="4802" spans="1:1" x14ac:dyDescent="0.25">
      <c r="A4802" t="s">
        <v>260</v>
      </c>
    </row>
    <row r="4803" spans="1:1" x14ac:dyDescent="0.25">
      <c r="A4803" t="s">
        <v>261</v>
      </c>
    </row>
    <row r="4804" spans="1:1" x14ac:dyDescent="0.25">
      <c r="A4804" t="s">
        <v>262</v>
      </c>
    </row>
    <row r="4805" spans="1:1" x14ac:dyDescent="0.25">
      <c r="A4805" t="s">
        <v>263</v>
      </c>
    </row>
    <row r="4806" spans="1:1" x14ac:dyDescent="0.25">
      <c r="A4806" t="s">
        <v>264</v>
      </c>
    </row>
    <row r="4807" spans="1:1" x14ac:dyDescent="0.25">
      <c r="A4807" t="s">
        <v>265</v>
      </c>
    </row>
    <row r="4808" spans="1:1" x14ac:dyDescent="0.25">
      <c r="A4808" t="s">
        <v>266</v>
      </c>
    </row>
    <row r="4809" spans="1:1" x14ac:dyDescent="0.25">
      <c r="A4809" t="s">
        <v>267</v>
      </c>
    </row>
    <row r="4810" spans="1:1" x14ac:dyDescent="0.25">
      <c r="A4810" t="s">
        <v>268</v>
      </c>
    </row>
    <row r="4811" spans="1:1" x14ac:dyDescent="0.25">
      <c r="A4811" t="s">
        <v>269</v>
      </c>
    </row>
    <row r="4812" spans="1:1" x14ac:dyDescent="0.25">
      <c r="A4812" t="s">
        <v>270</v>
      </c>
    </row>
    <row r="4813" spans="1:1" x14ac:dyDescent="0.25">
      <c r="A4813" t="s">
        <v>271</v>
      </c>
    </row>
    <row r="4814" spans="1:1" x14ac:dyDescent="0.25">
      <c r="A4814" t="s">
        <v>272</v>
      </c>
    </row>
    <row r="4815" spans="1:1" x14ac:dyDescent="0.25">
      <c r="A4815" t="s">
        <v>273</v>
      </c>
    </row>
    <row r="4816" spans="1:1" x14ac:dyDescent="0.25">
      <c r="A4816" t="s">
        <v>274</v>
      </c>
    </row>
    <row r="4817" spans="1:1" x14ac:dyDescent="0.25">
      <c r="A4817" t="s">
        <v>275</v>
      </c>
    </row>
    <row r="4818" spans="1:1" x14ac:dyDescent="0.25">
      <c r="A4818" t="s">
        <v>276</v>
      </c>
    </row>
    <row r="4819" spans="1:1" x14ac:dyDescent="0.25">
      <c r="A4819" t="s">
        <v>277</v>
      </c>
    </row>
    <row r="4820" spans="1:1" x14ac:dyDescent="0.25">
      <c r="A4820" t="s">
        <v>278</v>
      </c>
    </row>
    <row r="4821" spans="1:1" x14ac:dyDescent="0.25">
      <c r="A4821" t="s">
        <v>279</v>
      </c>
    </row>
    <row r="4822" spans="1:1" x14ac:dyDescent="0.25">
      <c r="A4822" t="s">
        <v>280</v>
      </c>
    </row>
    <row r="4823" spans="1:1" x14ac:dyDescent="0.25">
      <c r="A4823" t="s">
        <v>281</v>
      </c>
    </row>
    <row r="4824" spans="1:1" x14ac:dyDescent="0.25">
      <c r="A4824" t="s">
        <v>282</v>
      </c>
    </row>
    <row r="4825" spans="1:1" x14ac:dyDescent="0.25">
      <c r="A4825" t="s">
        <v>283</v>
      </c>
    </row>
    <row r="4826" spans="1:1" x14ac:dyDescent="0.25">
      <c r="A4826" t="s">
        <v>284</v>
      </c>
    </row>
    <row r="4827" spans="1:1" x14ac:dyDescent="0.25">
      <c r="A4827" t="s">
        <v>285</v>
      </c>
    </row>
    <row r="4828" spans="1:1" x14ac:dyDescent="0.25">
      <c r="A4828" t="s">
        <v>286</v>
      </c>
    </row>
    <row r="4829" spans="1:1" x14ac:dyDescent="0.25">
      <c r="A4829" t="s">
        <v>287</v>
      </c>
    </row>
    <row r="4830" spans="1:1" x14ac:dyDescent="0.25">
      <c r="A4830" t="s">
        <v>288</v>
      </c>
    </row>
    <row r="4831" spans="1:1" x14ac:dyDescent="0.25">
      <c r="A4831" t="s">
        <v>289</v>
      </c>
    </row>
    <row r="4832" spans="1:1" x14ac:dyDescent="0.25">
      <c r="A4832" t="s">
        <v>290</v>
      </c>
    </row>
    <row r="4833" spans="1:1" x14ac:dyDescent="0.25">
      <c r="A4833" t="s">
        <v>291</v>
      </c>
    </row>
    <row r="4834" spans="1:1" x14ac:dyDescent="0.25">
      <c r="A4834" t="s">
        <v>292</v>
      </c>
    </row>
    <row r="4835" spans="1:1" x14ac:dyDescent="0.25">
      <c r="A4835" t="s">
        <v>293</v>
      </c>
    </row>
    <row r="4836" spans="1:1" x14ac:dyDescent="0.25">
      <c r="A4836" t="s">
        <v>294</v>
      </c>
    </row>
    <row r="4837" spans="1:1" x14ac:dyDescent="0.25">
      <c r="A4837" t="s">
        <v>295</v>
      </c>
    </row>
    <row r="4838" spans="1:1" x14ac:dyDescent="0.25">
      <c r="A4838" t="s">
        <v>296</v>
      </c>
    </row>
    <row r="4839" spans="1:1" x14ac:dyDescent="0.25">
      <c r="A4839" t="s">
        <v>297</v>
      </c>
    </row>
    <row r="4840" spans="1:1" x14ac:dyDescent="0.25">
      <c r="A4840" t="s">
        <v>298</v>
      </c>
    </row>
    <row r="4841" spans="1:1" x14ac:dyDescent="0.25">
      <c r="A4841" t="s">
        <v>299</v>
      </c>
    </row>
    <row r="4842" spans="1:1" x14ac:dyDescent="0.25">
      <c r="A4842" t="s">
        <v>300</v>
      </c>
    </row>
    <row r="4843" spans="1:1" x14ac:dyDescent="0.25">
      <c r="A4843" t="s">
        <v>301</v>
      </c>
    </row>
    <row r="4844" spans="1:1" x14ac:dyDescent="0.25">
      <c r="A4844" t="s">
        <v>302</v>
      </c>
    </row>
    <row r="4845" spans="1:1" x14ac:dyDescent="0.25">
      <c r="A4845" t="s">
        <v>303</v>
      </c>
    </row>
    <row r="4846" spans="1:1" x14ac:dyDescent="0.25">
      <c r="A4846" t="s">
        <v>304</v>
      </c>
    </row>
    <row r="4847" spans="1:1" x14ac:dyDescent="0.25">
      <c r="A4847" t="s">
        <v>305</v>
      </c>
    </row>
    <row r="4848" spans="1:1" x14ac:dyDescent="0.25">
      <c r="A4848" t="s">
        <v>306</v>
      </c>
    </row>
    <row r="4849" spans="1:1" x14ac:dyDescent="0.25">
      <c r="A4849" t="s">
        <v>307</v>
      </c>
    </row>
    <row r="4850" spans="1:1" x14ac:dyDescent="0.25">
      <c r="A4850" t="s">
        <v>308</v>
      </c>
    </row>
    <row r="4851" spans="1:1" x14ac:dyDescent="0.25">
      <c r="A4851" t="s">
        <v>309</v>
      </c>
    </row>
    <row r="4852" spans="1:1" x14ac:dyDescent="0.25">
      <c r="A4852" t="s">
        <v>310</v>
      </c>
    </row>
    <row r="4853" spans="1:1" x14ac:dyDescent="0.25">
      <c r="A4853" t="s">
        <v>311</v>
      </c>
    </row>
    <row r="4854" spans="1:1" x14ac:dyDescent="0.25">
      <c r="A4854" t="s">
        <v>312</v>
      </c>
    </row>
    <row r="4855" spans="1:1" x14ac:dyDescent="0.25">
      <c r="A4855" t="s">
        <v>313</v>
      </c>
    </row>
    <row r="4856" spans="1:1" x14ac:dyDescent="0.25">
      <c r="A4856" t="s">
        <v>314</v>
      </c>
    </row>
    <row r="4857" spans="1:1" x14ac:dyDescent="0.25">
      <c r="A4857" t="s">
        <v>315</v>
      </c>
    </row>
    <row r="4858" spans="1:1" x14ac:dyDescent="0.25">
      <c r="A4858" t="s">
        <v>316</v>
      </c>
    </row>
    <row r="4859" spans="1:1" x14ac:dyDescent="0.25">
      <c r="A4859" t="s">
        <v>317</v>
      </c>
    </row>
    <row r="4860" spans="1:1" x14ac:dyDescent="0.25">
      <c r="A4860" t="s">
        <v>318</v>
      </c>
    </row>
    <row r="4861" spans="1:1" x14ac:dyDescent="0.25">
      <c r="A4861" t="s">
        <v>319</v>
      </c>
    </row>
    <row r="4862" spans="1:1" x14ac:dyDescent="0.25">
      <c r="A4862" t="s">
        <v>320</v>
      </c>
    </row>
    <row r="4863" spans="1:1" x14ac:dyDescent="0.25">
      <c r="A4863" t="s">
        <v>321</v>
      </c>
    </row>
    <row r="4864" spans="1:1" x14ac:dyDescent="0.25">
      <c r="A4864" t="s">
        <v>322</v>
      </c>
    </row>
    <row r="4865" spans="1:1" x14ac:dyDescent="0.25">
      <c r="A4865" t="s">
        <v>323</v>
      </c>
    </row>
    <row r="4866" spans="1:1" x14ac:dyDescent="0.25">
      <c r="A4866" t="s">
        <v>324</v>
      </c>
    </row>
    <row r="4867" spans="1:1" x14ac:dyDescent="0.25">
      <c r="A4867" t="s">
        <v>325</v>
      </c>
    </row>
    <row r="4868" spans="1:1" x14ac:dyDescent="0.25">
      <c r="A4868" t="s">
        <v>326</v>
      </c>
    </row>
    <row r="4869" spans="1:1" x14ac:dyDescent="0.25">
      <c r="A4869" t="s">
        <v>327</v>
      </c>
    </row>
    <row r="4870" spans="1:1" x14ac:dyDescent="0.25">
      <c r="A4870" t="s">
        <v>328</v>
      </c>
    </row>
    <row r="4871" spans="1:1" x14ac:dyDescent="0.25">
      <c r="A4871" t="s">
        <v>329</v>
      </c>
    </row>
    <row r="4872" spans="1:1" x14ac:dyDescent="0.25">
      <c r="A4872" t="s">
        <v>330</v>
      </c>
    </row>
    <row r="4873" spans="1:1" x14ac:dyDescent="0.25">
      <c r="A4873" t="s">
        <v>331</v>
      </c>
    </row>
    <row r="4874" spans="1:1" x14ac:dyDescent="0.25">
      <c r="A4874" t="s">
        <v>332</v>
      </c>
    </row>
    <row r="4875" spans="1:1" x14ac:dyDescent="0.25">
      <c r="A4875" t="s">
        <v>333</v>
      </c>
    </row>
    <row r="4876" spans="1:1" x14ac:dyDescent="0.25">
      <c r="A4876" t="s">
        <v>334</v>
      </c>
    </row>
    <row r="4877" spans="1:1" x14ac:dyDescent="0.25">
      <c r="A4877" t="s">
        <v>335</v>
      </c>
    </row>
    <row r="4878" spans="1:1" x14ac:dyDescent="0.25">
      <c r="A4878" t="s">
        <v>336</v>
      </c>
    </row>
    <row r="4879" spans="1:1" x14ac:dyDescent="0.25">
      <c r="A4879" t="s">
        <v>337</v>
      </c>
    </row>
    <row r="4880" spans="1:1" x14ac:dyDescent="0.25">
      <c r="A4880" t="s">
        <v>338</v>
      </c>
    </row>
    <row r="4881" spans="1:1" x14ac:dyDescent="0.25">
      <c r="A4881" t="s">
        <v>339</v>
      </c>
    </row>
    <row r="4882" spans="1:1" x14ac:dyDescent="0.25">
      <c r="A4882" t="s">
        <v>340</v>
      </c>
    </row>
    <row r="4883" spans="1:1" x14ac:dyDescent="0.25">
      <c r="A4883" t="s">
        <v>341</v>
      </c>
    </row>
    <row r="4884" spans="1:1" x14ac:dyDescent="0.25">
      <c r="A4884" t="s">
        <v>342</v>
      </c>
    </row>
    <row r="4885" spans="1:1" x14ac:dyDescent="0.25">
      <c r="A4885" t="s">
        <v>343</v>
      </c>
    </row>
    <row r="4886" spans="1:1" x14ac:dyDescent="0.25">
      <c r="A4886" t="s">
        <v>344</v>
      </c>
    </row>
    <row r="4887" spans="1:1" x14ac:dyDescent="0.25">
      <c r="A4887" t="s">
        <v>345</v>
      </c>
    </row>
    <row r="4888" spans="1:1" x14ac:dyDescent="0.25">
      <c r="A4888" t="s">
        <v>346</v>
      </c>
    </row>
    <row r="4889" spans="1:1" x14ac:dyDescent="0.25">
      <c r="A4889" t="s">
        <v>347</v>
      </c>
    </row>
    <row r="4890" spans="1:1" x14ac:dyDescent="0.25">
      <c r="A4890" t="s">
        <v>348</v>
      </c>
    </row>
    <row r="4891" spans="1:1" x14ac:dyDescent="0.25">
      <c r="A4891" t="s">
        <v>349</v>
      </c>
    </row>
    <row r="4892" spans="1:1" x14ac:dyDescent="0.25">
      <c r="A4892" t="s">
        <v>350</v>
      </c>
    </row>
    <row r="4893" spans="1:1" x14ac:dyDescent="0.25">
      <c r="A4893" t="s">
        <v>351</v>
      </c>
    </row>
    <row r="4894" spans="1:1" x14ac:dyDescent="0.25">
      <c r="A4894" t="s">
        <v>352</v>
      </c>
    </row>
    <row r="4895" spans="1:1" x14ac:dyDescent="0.25">
      <c r="A4895" t="s">
        <v>353</v>
      </c>
    </row>
    <row r="4896" spans="1:1" x14ac:dyDescent="0.25">
      <c r="A4896" t="s">
        <v>354</v>
      </c>
    </row>
    <row r="4897" spans="1:1" x14ac:dyDescent="0.25">
      <c r="A4897" t="s">
        <v>355</v>
      </c>
    </row>
    <row r="4898" spans="1:1" x14ac:dyDescent="0.25">
      <c r="A4898" t="s">
        <v>356</v>
      </c>
    </row>
    <row r="4899" spans="1:1" x14ac:dyDescent="0.25">
      <c r="A4899" t="s">
        <v>357</v>
      </c>
    </row>
    <row r="4900" spans="1:1" x14ac:dyDescent="0.25">
      <c r="A4900" t="s">
        <v>358</v>
      </c>
    </row>
    <row r="4901" spans="1:1" x14ac:dyDescent="0.25">
      <c r="A4901" t="s">
        <v>359</v>
      </c>
    </row>
    <row r="4902" spans="1:1" x14ac:dyDescent="0.25">
      <c r="A4902" t="s">
        <v>360</v>
      </c>
    </row>
    <row r="4903" spans="1:1" x14ac:dyDescent="0.25">
      <c r="A4903" t="s">
        <v>361</v>
      </c>
    </row>
    <row r="4904" spans="1:1" x14ac:dyDescent="0.25">
      <c r="A4904" t="s">
        <v>362</v>
      </c>
    </row>
    <row r="4905" spans="1:1" x14ac:dyDescent="0.25">
      <c r="A4905" t="s">
        <v>363</v>
      </c>
    </row>
    <row r="4906" spans="1:1" x14ac:dyDescent="0.25">
      <c r="A4906" t="s">
        <v>364</v>
      </c>
    </row>
    <row r="4907" spans="1:1" x14ac:dyDescent="0.25">
      <c r="A4907" t="s">
        <v>365</v>
      </c>
    </row>
    <row r="4908" spans="1:1" x14ac:dyDescent="0.25">
      <c r="A4908" t="s">
        <v>366</v>
      </c>
    </row>
    <row r="4909" spans="1:1" x14ac:dyDescent="0.25">
      <c r="A4909" t="s">
        <v>367</v>
      </c>
    </row>
    <row r="4910" spans="1:1" x14ac:dyDescent="0.25">
      <c r="A4910" t="s">
        <v>368</v>
      </c>
    </row>
    <row r="4911" spans="1:1" x14ac:dyDescent="0.25">
      <c r="A4911" t="s">
        <v>369</v>
      </c>
    </row>
    <row r="4912" spans="1:1" x14ac:dyDescent="0.25">
      <c r="A4912" t="s">
        <v>370</v>
      </c>
    </row>
    <row r="4913" spans="1:1" x14ac:dyDescent="0.25">
      <c r="A4913" t="s">
        <v>371</v>
      </c>
    </row>
    <row r="4914" spans="1:1" x14ac:dyDescent="0.25">
      <c r="A4914" t="s">
        <v>372</v>
      </c>
    </row>
    <row r="4915" spans="1:1" x14ac:dyDescent="0.25">
      <c r="A4915" t="s">
        <v>373</v>
      </c>
    </row>
    <row r="4916" spans="1:1" x14ac:dyDescent="0.25">
      <c r="A4916" t="s">
        <v>374</v>
      </c>
    </row>
    <row r="4917" spans="1:1" x14ac:dyDescent="0.25">
      <c r="A4917" t="s">
        <v>375</v>
      </c>
    </row>
    <row r="4918" spans="1:1" x14ac:dyDescent="0.25">
      <c r="A4918" t="s">
        <v>376</v>
      </c>
    </row>
    <row r="4919" spans="1:1" x14ac:dyDescent="0.25">
      <c r="A4919" t="s">
        <v>377</v>
      </c>
    </row>
    <row r="4920" spans="1:1" x14ac:dyDescent="0.25">
      <c r="A4920" t="s">
        <v>378</v>
      </c>
    </row>
    <row r="4921" spans="1:1" x14ac:dyDescent="0.25">
      <c r="A4921" t="s">
        <v>379</v>
      </c>
    </row>
    <row r="4922" spans="1:1" x14ac:dyDescent="0.25">
      <c r="A4922" t="s">
        <v>380</v>
      </c>
    </row>
    <row r="4923" spans="1:1" x14ac:dyDescent="0.25">
      <c r="A4923" t="s">
        <v>381</v>
      </c>
    </row>
    <row r="4924" spans="1:1" x14ac:dyDescent="0.25">
      <c r="A4924" t="s">
        <v>382</v>
      </c>
    </row>
    <row r="4925" spans="1:1" x14ac:dyDescent="0.25">
      <c r="A4925" t="s">
        <v>383</v>
      </c>
    </row>
    <row r="4926" spans="1:1" x14ac:dyDescent="0.25">
      <c r="A4926" t="s">
        <v>384</v>
      </c>
    </row>
    <row r="4927" spans="1:1" x14ac:dyDescent="0.25">
      <c r="A4927" t="s">
        <v>385</v>
      </c>
    </row>
    <row r="4928" spans="1:1" x14ac:dyDescent="0.25">
      <c r="A4928" t="s">
        <v>386</v>
      </c>
    </row>
    <row r="4929" spans="1:1" x14ac:dyDescent="0.25">
      <c r="A4929" t="s">
        <v>387</v>
      </c>
    </row>
    <row r="4930" spans="1:1" x14ac:dyDescent="0.25">
      <c r="A4930" t="s">
        <v>388</v>
      </c>
    </row>
    <row r="4931" spans="1:1" x14ac:dyDescent="0.25">
      <c r="A4931" t="s">
        <v>389</v>
      </c>
    </row>
    <row r="4932" spans="1:1" x14ac:dyDescent="0.25">
      <c r="A4932" t="s">
        <v>390</v>
      </c>
    </row>
    <row r="4933" spans="1:1" x14ac:dyDescent="0.25">
      <c r="A4933" t="s">
        <v>391</v>
      </c>
    </row>
    <row r="4934" spans="1:1" x14ac:dyDescent="0.25">
      <c r="A4934" t="s">
        <v>392</v>
      </c>
    </row>
    <row r="4935" spans="1:1" x14ac:dyDescent="0.25">
      <c r="A4935" t="s">
        <v>393</v>
      </c>
    </row>
    <row r="4936" spans="1:1" x14ac:dyDescent="0.25">
      <c r="A4936" t="s">
        <v>394</v>
      </c>
    </row>
    <row r="4937" spans="1:1" x14ac:dyDescent="0.25">
      <c r="A4937" t="s">
        <v>395</v>
      </c>
    </row>
    <row r="4938" spans="1:1" x14ac:dyDescent="0.25">
      <c r="A4938" t="s">
        <v>396</v>
      </c>
    </row>
    <row r="4939" spans="1:1" x14ac:dyDescent="0.25">
      <c r="A4939" t="s">
        <v>397</v>
      </c>
    </row>
    <row r="4940" spans="1:1" x14ac:dyDescent="0.25">
      <c r="A4940" t="s">
        <v>398</v>
      </c>
    </row>
    <row r="4941" spans="1:1" x14ac:dyDescent="0.25">
      <c r="A4941" t="s">
        <v>399</v>
      </c>
    </row>
    <row r="4942" spans="1:1" x14ac:dyDescent="0.25">
      <c r="A4942" t="s">
        <v>400</v>
      </c>
    </row>
    <row r="4943" spans="1:1" x14ac:dyDescent="0.25">
      <c r="A4943" t="s">
        <v>401</v>
      </c>
    </row>
    <row r="4944" spans="1:1" x14ac:dyDescent="0.25">
      <c r="A4944" t="s">
        <v>402</v>
      </c>
    </row>
    <row r="4945" spans="1:1" x14ac:dyDescent="0.25">
      <c r="A4945" t="s">
        <v>403</v>
      </c>
    </row>
    <row r="4946" spans="1:1" x14ac:dyDescent="0.25">
      <c r="A4946" t="s">
        <v>404</v>
      </c>
    </row>
    <row r="4947" spans="1:1" x14ac:dyDescent="0.25">
      <c r="A4947" t="s">
        <v>405</v>
      </c>
    </row>
    <row r="4948" spans="1:1" x14ac:dyDescent="0.25">
      <c r="A4948" t="s">
        <v>406</v>
      </c>
    </row>
    <row r="4949" spans="1:1" x14ac:dyDescent="0.25">
      <c r="A4949" t="s">
        <v>407</v>
      </c>
    </row>
    <row r="4950" spans="1:1" x14ac:dyDescent="0.25">
      <c r="A4950" t="s">
        <v>408</v>
      </c>
    </row>
    <row r="4951" spans="1:1" x14ac:dyDescent="0.25">
      <c r="A4951" t="s">
        <v>409</v>
      </c>
    </row>
    <row r="4952" spans="1:1" x14ac:dyDescent="0.25">
      <c r="A4952" t="s">
        <v>410</v>
      </c>
    </row>
    <row r="4953" spans="1:1" x14ac:dyDescent="0.25">
      <c r="A4953" t="s">
        <v>411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94BA7-40B9-41D2-957C-CCB5BBC14712}">
  <sheetPr codeName="Planilha1"/>
  <dimension ref="A1:B28"/>
  <sheetViews>
    <sheetView topLeftCell="A10" workbookViewId="0"/>
  </sheetViews>
  <sheetFormatPr defaultRowHeight="15" x14ac:dyDescent="0.25"/>
  <cols>
    <col min="1" max="1" width="106.140625" bestFit="1" customWidth="1"/>
    <col min="2" max="2" width="15.7109375" bestFit="1" customWidth="1"/>
  </cols>
  <sheetData>
    <row r="1" spans="1:2" x14ac:dyDescent="0.25">
      <c r="A1" t="s">
        <v>474</v>
      </c>
      <c r="B1" t="s">
        <v>484</v>
      </c>
    </row>
    <row r="2" spans="1:2" x14ac:dyDescent="0.25">
      <c r="A2" t="s">
        <v>475</v>
      </c>
      <c r="B2" t="s">
        <v>21</v>
      </c>
    </row>
    <row r="3" spans="1:2" x14ac:dyDescent="0.25">
      <c r="A3" t="s">
        <v>431</v>
      </c>
      <c r="B3" t="s">
        <v>21</v>
      </c>
    </row>
    <row r="4" spans="1:2" x14ac:dyDescent="0.25">
      <c r="A4" t="s">
        <v>432</v>
      </c>
      <c r="B4" t="s">
        <v>21</v>
      </c>
    </row>
    <row r="5" spans="1:2" x14ac:dyDescent="0.25">
      <c r="A5" t="s">
        <v>476</v>
      </c>
      <c r="B5" t="s">
        <v>21</v>
      </c>
    </row>
    <row r="6" spans="1:2" x14ac:dyDescent="0.25">
      <c r="A6" t="s">
        <v>433</v>
      </c>
      <c r="B6" t="s">
        <v>21</v>
      </c>
    </row>
    <row r="7" spans="1:2" x14ac:dyDescent="0.25">
      <c r="A7" t="s">
        <v>477</v>
      </c>
      <c r="B7" t="s">
        <v>21</v>
      </c>
    </row>
    <row r="8" spans="1:2" x14ac:dyDescent="0.25">
      <c r="A8" t="s">
        <v>434</v>
      </c>
      <c r="B8" t="s">
        <v>21</v>
      </c>
    </row>
    <row r="9" spans="1:2" x14ac:dyDescent="0.25">
      <c r="A9" t="s">
        <v>435</v>
      </c>
      <c r="B9" t="s">
        <v>21</v>
      </c>
    </row>
    <row r="10" spans="1:2" x14ac:dyDescent="0.25">
      <c r="A10" t="s">
        <v>478</v>
      </c>
      <c r="B10" t="s">
        <v>21</v>
      </c>
    </row>
    <row r="11" spans="1:2" x14ac:dyDescent="0.25">
      <c r="A11" t="s">
        <v>436</v>
      </c>
      <c r="B11" t="s">
        <v>21</v>
      </c>
    </row>
    <row r="12" spans="1:2" x14ac:dyDescent="0.25">
      <c r="A12" t="s">
        <v>437</v>
      </c>
      <c r="B12" t="s">
        <v>21</v>
      </c>
    </row>
    <row r="13" spans="1:2" x14ac:dyDescent="0.25">
      <c r="A13" t="s">
        <v>479</v>
      </c>
      <c r="B13" t="s">
        <v>21</v>
      </c>
    </row>
    <row r="14" spans="1:2" x14ac:dyDescent="0.25">
      <c r="A14" t="s">
        <v>438</v>
      </c>
      <c r="B14" t="s">
        <v>21</v>
      </c>
    </row>
    <row r="15" spans="1:2" x14ac:dyDescent="0.25">
      <c r="A15" t="s">
        <v>439</v>
      </c>
      <c r="B15" t="s">
        <v>21</v>
      </c>
    </row>
    <row r="16" spans="1:2" x14ac:dyDescent="0.25">
      <c r="A16" t="s">
        <v>480</v>
      </c>
      <c r="B16" t="s">
        <v>29</v>
      </c>
    </row>
    <row r="17" spans="1:2" x14ac:dyDescent="0.25">
      <c r="A17" t="s">
        <v>453</v>
      </c>
      <c r="B17" t="s">
        <v>29</v>
      </c>
    </row>
    <row r="18" spans="1:2" x14ac:dyDescent="0.25">
      <c r="A18" t="s">
        <v>454</v>
      </c>
      <c r="B18" t="s">
        <v>29</v>
      </c>
    </row>
    <row r="19" spans="1:2" x14ac:dyDescent="0.25">
      <c r="A19" t="s">
        <v>455</v>
      </c>
      <c r="B19" t="s">
        <v>29</v>
      </c>
    </row>
    <row r="20" spans="1:2" x14ac:dyDescent="0.25">
      <c r="A20" t="s">
        <v>481</v>
      </c>
      <c r="B20" t="s">
        <v>29</v>
      </c>
    </row>
    <row r="21" spans="1:2" x14ac:dyDescent="0.25">
      <c r="A21" t="s">
        <v>456</v>
      </c>
      <c r="B21" t="s">
        <v>29</v>
      </c>
    </row>
    <row r="22" spans="1:2" x14ac:dyDescent="0.25">
      <c r="A22" t="s">
        <v>457</v>
      </c>
      <c r="B22" t="s">
        <v>29</v>
      </c>
    </row>
    <row r="23" spans="1:2" x14ac:dyDescent="0.25">
      <c r="A23" t="s">
        <v>482</v>
      </c>
      <c r="B23" t="s">
        <v>29</v>
      </c>
    </row>
    <row r="24" spans="1:2" x14ac:dyDescent="0.25">
      <c r="A24" t="s">
        <v>458</v>
      </c>
      <c r="B24" t="s">
        <v>29</v>
      </c>
    </row>
    <row r="25" spans="1:2" x14ac:dyDescent="0.25">
      <c r="A25" t="s">
        <v>459</v>
      </c>
      <c r="B25" t="s">
        <v>29</v>
      </c>
    </row>
    <row r="26" spans="1:2" x14ac:dyDescent="0.25">
      <c r="A26" t="s">
        <v>483</v>
      </c>
      <c r="B26" t="s">
        <v>29</v>
      </c>
    </row>
    <row r="27" spans="1:2" x14ac:dyDescent="0.25">
      <c r="A27" t="s">
        <v>460</v>
      </c>
      <c r="B27" t="s">
        <v>29</v>
      </c>
    </row>
    <row r="28" spans="1:2" x14ac:dyDescent="0.25">
      <c r="A28" t="s">
        <v>461</v>
      </c>
      <c r="B28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703AB1-F48E-4B58-9262-E3F935A4BF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LALUR</vt:lpstr>
      <vt:lpstr>Processar</vt:lpstr>
      <vt:lpstr>BASE M</vt:lpstr>
      <vt:lpstr>ECF_M</vt:lpstr>
      <vt:lpstr>RESUMO M</vt:lpstr>
      <vt:lpstr>LANÇAMENTOS (412-462)</vt:lpstr>
      <vt:lpstr>Código - Histórico</vt:lpstr>
      <vt:lpstr>ECF_Modelo</vt:lpstr>
      <vt:lpstr>LALUR!Area_de_impressao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 Company Serviços Contábeis Ltda.</dc:creator>
  <cp:lastModifiedBy>Data Company Serviços Contábeis Ltda.</cp:lastModifiedBy>
  <dcterms:created xsi:type="dcterms:W3CDTF">2025-06-10T17:18:49Z</dcterms:created>
  <dcterms:modified xsi:type="dcterms:W3CDTF">2025-09-01T21:25:41Z</dcterms:modified>
</cp:coreProperties>
</file>